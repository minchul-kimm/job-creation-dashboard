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공유 드라이브\기획팀\25. 성과관리\4. 일자리 창출 효과\2026 일자리 창출 효과 트래킹\6월\"/>
    </mc:Choice>
  </mc:AlternateContent>
  <xr:revisionPtr revIDLastSave="0" documentId="13_ncr:1_{7007D237-FEDF-42BE-A40E-0F43FE1B07EE}" xr6:coauthVersionLast="47" xr6:coauthVersionMax="47" xr10:uidLastSave="{00000000-0000-0000-0000-000000000000}"/>
  <bookViews>
    <workbookView xWindow="25490" yWindow="-2910" windowWidth="38620" windowHeight="21100" xr2:uid="{00000000-000D-0000-FFFF-FFFF00000000}"/>
  </bookViews>
  <sheets>
    <sheet name="메인" sheetId="1" r:id="rId1"/>
    <sheet name="데이터시트" sheetId="2" r:id="rId2"/>
    <sheet name="검색불가(336개사_26년 6월)" sheetId="3" r:id="rId3"/>
  </sheets>
  <definedNames>
    <definedName name="_xlnm._FilterDatabase" localSheetId="1" hidden="1">데이터시트!$A$15:$X$1583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Ylhp9uFPlqJag7TvOxkV6g+3p6uORF4Be7Lfba+2tg="/>
    </ext>
  </extLst>
</workbook>
</file>

<file path=xl/calcChain.xml><?xml version="1.0" encoding="utf-8"?>
<calcChain xmlns="http://schemas.openxmlformats.org/spreadsheetml/2006/main">
  <c r="AE1583" i="2" l="1"/>
  <c r="AD1583" i="2"/>
  <c r="AH1583" i="2" s="1"/>
  <c r="AC1583" i="2"/>
  <c r="AG1583" i="2" s="1"/>
  <c r="AB1583" i="2"/>
  <c r="AF1583" i="2" s="1"/>
  <c r="AA1583" i="2"/>
  <c r="Z1583" i="2"/>
  <c r="Y1583" i="2"/>
  <c r="R1583" i="2"/>
  <c r="Q1583" i="2"/>
  <c r="P1583" i="2"/>
  <c r="AG1582" i="2"/>
  <c r="AC1582" i="2"/>
  <c r="AB1582" i="2"/>
  <c r="AF1582" i="2" s="1"/>
  <c r="AA1582" i="2"/>
  <c r="AE1582" i="2" s="1"/>
  <c r="Z1582" i="2"/>
  <c r="Y1582" i="2"/>
  <c r="S1582" i="2"/>
  <c r="O1582" i="2"/>
  <c r="AD1582" i="2" s="1"/>
  <c r="AH1582" i="2" s="1"/>
  <c r="N1582" i="2"/>
  <c r="AH1581" i="2"/>
  <c r="AC1581" i="2"/>
  <c r="AG1581" i="2" s="1"/>
  <c r="AA1581" i="2"/>
  <c r="AE1581" i="2" s="1"/>
  <c r="Z1581" i="2"/>
  <c r="Y1581" i="2"/>
  <c r="S1581" i="2"/>
  <c r="O1581" i="2"/>
  <c r="AD1581" i="2" s="1"/>
  <c r="N1581" i="2"/>
  <c r="AB1581" i="2" s="1"/>
  <c r="AF1581" i="2" s="1"/>
  <c r="AH1580" i="2"/>
  <c r="AC1580" i="2"/>
  <c r="AG1580" i="2" s="1"/>
  <c r="AA1580" i="2"/>
  <c r="AE1580" i="2" s="1"/>
  <c r="Z1580" i="2"/>
  <c r="Y1580" i="2"/>
  <c r="S1580" i="2"/>
  <c r="O1580" i="2"/>
  <c r="AD1580" i="2" s="1"/>
  <c r="N1580" i="2"/>
  <c r="AB1580" i="2" s="1"/>
  <c r="AF1580" i="2" s="1"/>
  <c r="AE1579" i="2"/>
  <c r="AD1579" i="2"/>
  <c r="AH1579" i="2" s="1"/>
  <c r="AC1579" i="2"/>
  <c r="AG1579" i="2" s="1"/>
  <c r="AA1579" i="2"/>
  <c r="Z1579" i="2"/>
  <c r="Y1579" i="2"/>
  <c r="S1579" i="2"/>
  <c r="O1579" i="2"/>
  <c r="N1579" i="2"/>
  <c r="AB1579" i="2" s="1"/>
  <c r="AF1579" i="2" s="1"/>
  <c r="AE1578" i="2"/>
  <c r="AD1578" i="2"/>
  <c r="AH1578" i="2" s="1"/>
  <c r="AC1578" i="2"/>
  <c r="AG1578" i="2" s="1"/>
  <c r="AA1578" i="2"/>
  <c r="Z1578" i="2"/>
  <c r="Y1578" i="2"/>
  <c r="S1578" i="2"/>
  <c r="O1578" i="2"/>
  <c r="N1578" i="2"/>
  <c r="AB1578" i="2" s="1"/>
  <c r="AF1578" i="2" s="1"/>
  <c r="AF1577" i="2"/>
  <c r="AD1577" i="2"/>
  <c r="AH1577" i="2" s="1"/>
  <c r="AC1577" i="2"/>
  <c r="AG1577" i="2" s="1"/>
  <c r="AB1577" i="2"/>
  <c r="AA1577" i="2"/>
  <c r="AE1577" i="2" s="1"/>
  <c r="Z1577" i="2"/>
  <c r="Y1577" i="2"/>
  <c r="S1577" i="2"/>
  <c r="O1577" i="2"/>
  <c r="N1577" i="2"/>
  <c r="AH1576" i="2"/>
  <c r="AG1576" i="2"/>
  <c r="AF1576" i="2"/>
  <c r="AD1576" i="2"/>
  <c r="AC1576" i="2"/>
  <c r="AA1576" i="2"/>
  <c r="AE1576" i="2" s="1"/>
  <c r="Z1576" i="2"/>
  <c r="Y1576" i="2"/>
  <c r="S1576" i="2"/>
  <c r="O1576" i="2"/>
  <c r="N1576" i="2"/>
  <c r="AB1576" i="2" s="1"/>
  <c r="AH1575" i="2"/>
  <c r="AD1575" i="2"/>
  <c r="AC1575" i="2"/>
  <c r="AG1575" i="2" s="1"/>
  <c r="AA1575" i="2"/>
  <c r="AE1575" i="2" s="1"/>
  <c r="Z1575" i="2"/>
  <c r="Y1575" i="2"/>
  <c r="S1575" i="2"/>
  <c r="O1575" i="2"/>
  <c r="N1575" i="2"/>
  <c r="AB1575" i="2" s="1"/>
  <c r="AF1575" i="2" s="1"/>
  <c r="AC1574" i="2"/>
  <c r="AG1574" i="2" s="1"/>
  <c r="AA1574" i="2"/>
  <c r="AE1574" i="2" s="1"/>
  <c r="Z1574" i="2"/>
  <c r="Y1574" i="2"/>
  <c r="S1574" i="2"/>
  <c r="O1574" i="2"/>
  <c r="AD1574" i="2" s="1"/>
  <c r="AH1574" i="2" s="1"/>
  <c r="N1574" i="2"/>
  <c r="AB1574" i="2" s="1"/>
  <c r="AF1574" i="2" s="1"/>
  <c r="AD1573" i="2"/>
  <c r="AH1573" i="2" s="1"/>
  <c r="AB1573" i="2"/>
  <c r="AF1573" i="2" s="1"/>
  <c r="AA1573" i="2"/>
  <c r="AE1573" i="2" s="1"/>
  <c r="Z1573" i="2"/>
  <c r="Y1573" i="2"/>
  <c r="S1573" i="2"/>
  <c r="O1573" i="2"/>
  <c r="AC1573" i="2" s="1"/>
  <c r="AG1573" i="2" s="1"/>
  <c r="N1573" i="2"/>
  <c r="AD1572" i="2"/>
  <c r="AH1572" i="2" s="1"/>
  <c r="Z1572" i="2"/>
  <c r="Y1572" i="2"/>
  <c r="S1572" i="2"/>
  <c r="O1572" i="2"/>
  <c r="AC1572" i="2" s="1"/>
  <c r="AG1572" i="2" s="1"/>
  <c r="N1572" i="2"/>
  <c r="AG1571" i="2"/>
  <c r="AF1571" i="2"/>
  <c r="AD1571" i="2"/>
  <c r="AH1571" i="2" s="1"/>
  <c r="AC1571" i="2"/>
  <c r="AB1571" i="2"/>
  <c r="AA1571" i="2"/>
  <c r="AE1571" i="2" s="1"/>
  <c r="Z1571" i="2"/>
  <c r="Y1571" i="2"/>
  <c r="S1571" i="2"/>
  <c r="O1571" i="2"/>
  <c r="N1571" i="2"/>
  <c r="AG1570" i="2"/>
  <c r="AD1570" i="2"/>
  <c r="AH1570" i="2" s="1"/>
  <c r="AA1570" i="2"/>
  <c r="AE1570" i="2" s="1"/>
  <c r="Z1570" i="2"/>
  <c r="Y1570" i="2"/>
  <c r="S1570" i="2"/>
  <c r="O1570" i="2"/>
  <c r="AC1570" i="2" s="1"/>
  <c r="N1570" i="2"/>
  <c r="AB1570" i="2" s="1"/>
  <c r="AF1570" i="2" s="1"/>
  <c r="AH1569" i="2"/>
  <c r="AG1569" i="2"/>
  <c r="AD1569" i="2"/>
  <c r="AB1569" i="2"/>
  <c r="AF1569" i="2" s="1"/>
  <c r="Z1569" i="2"/>
  <c r="Y1569" i="2"/>
  <c r="S1569" i="2"/>
  <c r="O1569" i="2"/>
  <c r="AC1569" i="2" s="1"/>
  <c r="N1569" i="2"/>
  <c r="AA1569" i="2" s="1"/>
  <c r="AE1569" i="2" s="1"/>
  <c r="AD1568" i="2"/>
  <c r="AH1568" i="2" s="1"/>
  <c r="AC1568" i="2"/>
  <c r="AG1568" i="2" s="1"/>
  <c r="AB1568" i="2"/>
  <c r="AF1568" i="2" s="1"/>
  <c r="Z1568" i="2"/>
  <c r="Y1568" i="2"/>
  <c r="S1568" i="2"/>
  <c r="O1568" i="2"/>
  <c r="N1568" i="2"/>
  <c r="AA1568" i="2" s="1"/>
  <c r="AE1568" i="2" s="1"/>
  <c r="AG1567" i="2"/>
  <c r="AE1567" i="2"/>
  <c r="AC1567" i="2"/>
  <c r="AB1567" i="2"/>
  <c r="AF1567" i="2" s="1"/>
  <c r="AA1567" i="2"/>
  <c r="Z1567" i="2"/>
  <c r="Y1567" i="2"/>
  <c r="S1567" i="2"/>
  <c r="O1567" i="2"/>
  <c r="AD1567" i="2" s="1"/>
  <c r="AH1567" i="2" s="1"/>
  <c r="N1567" i="2"/>
  <c r="AE1566" i="2"/>
  <c r="AC1566" i="2"/>
  <c r="AG1566" i="2" s="1"/>
  <c r="AB1566" i="2"/>
  <c r="AF1566" i="2" s="1"/>
  <c r="AA1566" i="2"/>
  <c r="Z1566" i="2"/>
  <c r="Y1566" i="2"/>
  <c r="S1566" i="2"/>
  <c r="O1566" i="2"/>
  <c r="AD1566" i="2" s="1"/>
  <c r="AH1566" i="2" s="1"/>
  <c r="N1566" i="2"/>
  <c r="AG1565" i="2"/>
  <c r="AF1565" i="2"/>
  <c r="AD1565" i="2"/>
  <c r="AH1565" i="2" s="1"/>
  <c r="AB1565" i="2"/>
  <c r="Z1565" i="2"/>
  <c r="Y1565" i="2"/>
  <c r="S1565" i="2"/>
  <c r="O1565" i="2"/>
  <c r="AC1565" i="2" s="1"/>
  <c r="N1565" i="2"/>
  <c r="AA1565" i="2" s="1"/>
  <c r="AE1565" i="2" s="1"/>
  <c r="AH1564" i="2"/>
  <c r="AG1564" i="2"/>
  <c r="AD1564" i="2"/>
  <c r="AC1564" i="2"/>
  <c r="AB1564" i="2"/>
  <c r="AF1564" i="2" s="1"/>
  <c r="AA1564" i="2"/>
  <c r="AE1564" i="2" s="1"/>
  <c r="Z1564" i="2"/>
  <c r="Y1564" i="2"/>
  <c r="S1564" i="2"/>
  <c r="O1564" i="2"/>
  <c r="N1564" i="2"/>
  <c r="AH1563" i="2"/>
  <c r="AC1563" i="2"/>
  <c r="AG1563" i="2" s="1"/>
  <c r="AA1563" i="2"/>
  <c r="AE1563" i="2" s="1"/>
  <c r="Z1563" i="2"/>
  <c r="Y1563" i="2"/>
  <c r="S1563" i="2"/>
  <c r="O1563" i="2"/>
  <c r="AD1563" i="2" s="1"/>
  <c r="N1563" i="2"/>
  <c r="AB1563" i="2" s="1"/>
  <c r="AF1563" i="2" s="1"/>
  <c r="AG1562" i="2"/>
  <c r="AC1562" i="2"/>
  <c r="AA1562" i="2"/>
  <c r="AE1562" i="2" s="1"/>
  <c r="Z1562" i="2"/>
  <c r="Y1562" i="2"/>
  <c r="S1562" i="2"/>
  <c r="O1562" i="2"/>
  <c r="AD1562" i="2" s="1"/>
  <c r="AH1562" i="2" s="1"/>
  <c r="N1562" i="2"/>
  <c r="AB1562" i="2" s="1"/>
  <c r="AF1562" i="2" s="1"/>
  <c r="AE1561" i="2"/>
  <c r="AD1561" i="2"/>
  <c r="AH1561" i="2" s="1"/>
  <c r="AC1561" i="2"/>
  <c r="AG1561" i="2" s="1"/>
  <c r="AB1561" i="2"/>
  <c r="AF1561" i="2" s="1"/>
  <c r="Z1561" i="2"/>
  <c r="Y1561" i="2"/>
  <c r="S1561" i="2"/>
  <c r="O1561" i="2"/>
  <c r="N1561" i="2"/>
  <c r="AA1561" i="2" s="1"/>
  <c r="AF1560" i="2"/>
  <c r="AE1560" i="2"/>
  <c r="AD1560" i="2"/>
  <c r="AH1560" i="2" s="1"/>
  <c r="AC1560" i="2"/>
  <c r="AG1560" i="2" s="1"/>
  <c r="AB1560" i="2"/>
  <c r="AA1560" i="2"/>
  <c r="Z1560" i="2"/>
  <c r="Y1560" i="2"/>
  <c r="S1560" i="2"/>
  <c r="O1560" i="2"/>
  <c r="N1560" i="2"/>
  <c r="AC1559" i="2"/>
  <c r="AG1559" i="2" s="1"/>
  <c r="AA1559" i="2"/>
  <c r="AE1559" i="2" s="1"/>
  <c r="Z1559" i="2"/>
  <c r="Y1559" i="2"/>
  <c r="S1559" i="2"/>
  <c r="O1559" i="2"/>
  <c r="AD1559" i="2" s="1"/>
  <c r="AH1559" i="2" s="1"/>
  <c r="N1559" i="2"/>
  <c r="AB1559" i="2" s="1"/>
  <c r="AF1559" i="2" s="1"/>
  <c r="AH1558" i="2"/>
  <c r="AG1558" i="2"/>
  <c r="AF1558" i="2"/>
  <c r="AE1558" i="2"/>
  <c r="AD1558" i="2"/>
  <c r="AC1558" i="2"/>
  <c r="AA1558" i="2"/>
  <c r="Z1558" i="2"/>
  <c r="Y1558" i="2"/>
  <c r="S1558" i="2"/>
  <c r="O1558" i="2"/>
  <c r="N1558" i="2"/>
  <c r="AB1558" i="2" s="1"/>
  <c r="AH1557" i="2"/>
  <c r="AD1557" i="2"/>
  <c r="AC1557" i="2"/>
  <c r="AG1557" i="2" s="1"/>
  <c r="AB1557" i="2"/>
  <c r="AF1557" i="2" s="1"/>
  <c r="AA1557" i="2"/>
  <c r="AE1557" i="2" s="1"/>
  <c r="Z1557" i="2"/>
  <c r="Y1557" i="2"/>
  <c r="S1557" i="2"/>
  <c r="O1557" i="2"/>
  <c r="N1557" i="2"/>
  <c r="AC1556" i="2"/>
  <c r="AG1556" i="2" s="1"/>
  <c r="AA1556" i="2"/>
  <c r="AE1556" i="2" s="1"/>
  <c r="Z1556" i="2"/>
  <c r="Y1556" i="2"/>
  <c r="S1556" i="2"/>
  <c r="O1556" i="2"/>
  <c r="AD1556" i="2" s="1"/>
  <c r="AH1556" i="2" s="1"/>
  <c r="N1556" i="2"/>
  <c r="AB1556" i="2" s="1"/>
  <c r="AF1556" i="2" s="1"/>
  <c r="AC1555" i="2"/>
  <c r="AG1555" i="2" s="1"/>
  <c r="AA1555" i="2"/>
  <c r="AE1555" i="2" s="1"/>
  <c r="Z1555" i="2"/>
  <c r="Y1555" i="2"/>
  <c r="S1555" i="2"/>
  <c r="O1555" i="2"/>
  <c r="AD1555" i="2" s="1"/>
  <c r="AH1555" i="2" s="1"/>
  <c r="N1555" i="2"/>
  <c r="AB1555" i="2" s="1"/>
  <c r="AF1555" i="2" s="1"/>
  <c r="AE1554" i="2"/>
  <c r="AD1554" i="2"/>
  <c r="AH1554" i="2" s="1"/>
  <c r="AC1554" i="2"/>
  <c r="AG1554" i="2" s="1"/>
  <c r="AA1554" i="2"/>
  <c r="Z1554" i="2"/>
  <c r="Y1554" i="2"/>
  <c r="S1554" i="2"/>
  <c r="O1554" i="2"/>
  <c r="N1554" i="2"/>
  <c r="AB1554" i="2" s="1"/>
  <c r="AF1554" i="2" s="1"/>
  <c r="AG1553" i="2"/>
  <c r="AF1553" i="2"/>
  <c r="AD1553" i="2"/>
  <c r="AH1553" i="2" s="1"/>
  <c r="AC1553" i="2"/>
  <c r="AB1553" i="2"/>
  <c r="AA1553" i="2"/>
  <c r="AE1553" i="2" s="1"/>
  <c r="Z1553" i="2"/>
  <c r="Y1553" i="2"/>
  <c r="S1553" i="2"/>
  <c r="O1553" i="2"/>
  <c r="N1553" i="2"/>
  <c r="AG1552" i="2"/>
  <c r="AD1552" i="2"/>
  <c r="AH1552" i="2" s="1"/>
  <c r="AC1552" i="2"/>
  <c r="AA1552" i="2"/>
  <c r="AE1552" i="2" s="1"/>
  <c r="Z1552" i="2"/>
  <c r="Y1552" i="2"/>
  <c r="S1552" i="2"/>
  <c r="O1552" i="2"/>
  <c r="N1552" i="2"/>
  <c r="AB1552" i="2" s="1"/>
  <c r="AF1552" i="2" s="1"/>
  <c r="AH1551" i="2"/>
  <c r="AG1551" i="2"/>
  <c r="AC1551" i="2"/>
  <c r="AB1551" i="2"/>
  <c r="AF1551" i="2" s="1"/>
  <c r="AA1551" i="2"/>
  <c r="AE1551" i="2" s="1"/>
  <c r="Z1551" i="2"/>
  <c r="Y1551" i="2"/>
  <c r="S1551" i="2"/>
  <c r="O1551" i="2"/>
  <c r="AD1551" i="2" s="1"/>
  <c r="N1551" i="2"/>
  <c r="AC1550" i="2"/>
  <c r="AG1550" i="2" s="1"/>
  <c r="AB1550" i="2"/>
  <c r="AF1550" i="2" s="1"/>
  <c r="AA1550" i="2"/>
  <c r="AE1550" i="2" s="1"/>
  <c r="Z1550" i="2"/>
  <c r="Y1550" i="2"/>
  <c r="S1550" i="2"/>
  <c r="O1550" i="2"/>
  <c r="AD1550" i="2" s="1"/>
  <c r="AH1550" i="2" s="1"/>
  <c r="N1550" i="2"/>
  <c r="AG1549" i="2"/>
  <c r="AE1549" i="2"/>
  <c r="AD1549" i="2"/>
  <c r="AH1549" i="2" s="1"/>
  <c r="AC1549" i="2"/>
  <c r="AB1549" i="2"/>
  <c r="AF1549" i="2" s="1"/>
  <c r="AA1549" i="2"/>
  <c r="Z1549" i="2"/>
  <c r="Y1549" i="2"/>
  <c r="S1549" i="2"/>
  <c r="O1549" i="2"/>
  <c r="N1549" i="2"/>
  <c r="AE1548" i="2"/>
  <c r="AC1548" i="2"/>
  <c r="AG1548" i="2" s="1"/>
  <c r="AB1548" i="2"/>
  <c r="AF1548" i="2" s="1"/>
  <c r="AA1548" i="2"/>
  <c r="Z1548" i="2"/>
  <c r="Y1548" i="2"/>
  <c r="S1548" i="2"/>
  <c r="O1548" i="2"/>
  <c r="AD1548" i="2" s="1"/>
  <c r="AH1548" i="2" s="1"/>
  <c r="N1548" i="2"/>
  <c r="AG1547" i="2"/>
  <c r="AE1547" i="2"/>
  <c r="AC1547" i="2"/>
  <c r="AA1547" i="2"/>
  <c r="Z1547" i="2"/>
  <c r="Y1547" i="2"/>
  <c r="S1547" i="2"/>
  <c r="O1547" i="2"/>
  <c r="AD1547" i="2" s="1"/>
  <c r="AH1547" i="2" s="1"/>
  <c r="N1547" i="2"/>
  <c r="AB1547" i="2" s="1"/>
  <c r="AF1547" i="2" s="1"/>
  <c r="AH1546" i="2"/>
  <c r="AG1546" i="2"/>
  <c r="AF1546" i="2"/>
  <c r="AD1546" i="2"/>
  <c r="AC1546" i="2"/>
  <c r="AB1546" i="2"/>
  <c r="AA1546" i="2"/>
  <c r="AE1546" i="2" s="1"/>
  <c r="Z1546" i="2"/>
  <c r="Y1546" i="2"/>
  <c r="S1546" i="2"/>
  <c r="O1546" i="2"/>
  <c r="N1546" i="2"/>
  <c r="AC1545" i="2"/>
  <c r="AG1545" i="2" s="1"/>
  <c r="AA1545" i="2"/>
  <c r="AE1545" i="2" s="1"/>
  <c r="Z1545" i="2"/>
  <c r="Y1545" i="2"/>
  <c r="S1545" i="2"/>
  <c r="O1545" i="2"/>
  <c r="AD1545" i="2" s="1"/>
  <c r="AH1545" i="2" s="1"/>
  <c r="N1545" i="2"/>
  <c r="AB1545" i="2" s="1"/>
  <c r="AF1545" i="2" s="1"/>
  <c r="AH1544" i="2"/>
  <c r="AC1544" i="2"/>
  <c r="AG1544" i="2" s="1"/>
  <c r="Z1544" i="2"/>
  <c r="Y1544" i="2"/>
  <c r="S1544" i="2"/>
  <c r="O1544" i="2"/>
  <c r="AD1544" i="2" s="1"/>
  <c r="N1544" i="2"/>
  <c r="AH1543" i="2"/>
  <c r="AE1543" i="2"/>
  <c r="AD1543" i="2"/>
  <c r="AC1543" i="2"/>
  <c r="AG1543" i="2" s="1"/>
  <c r="AB1543" i="2"/>
  <c r="AF1543" i="2" s="1"/>
  <c r="AA1543" i="2"/>
  <c r="Z1543" i="2"/>
  <c r="Y1543" i="2"/>
  <c r="S1543" i="2"/>
  <c r="O1543" i="2"/>
  <c r="N1543" i="2"/>
  <c r="AF1542" i="2"/>
  <c r="AE1542" i="2"/>
  <c r="AC1542" i="2"/>
  <c r="AG1542" i="2" s="1"/>
  <c r="AB1542" i="2"/>
  <c r="AA1542" i="2"/>
  <c r="Z1542" i="2"/>
  <c r="Y1542" i="2"/>
  <c r="S1542" i="2"/>
  <c r="O1542" i="2"/>
  <c r="AD1542" i="2" s="1"/>
  <c r="AH1542" i="2" s="1"/>
  <c r="N1542" i="2"/>
  <c r="AF1541" i="2"/>
  <c r="AC1541" i="2"/>
  <c r="AG1541" i="2" s="1"/>
  <c r="AA1541" i="2"/>
  <c r="AE1541" i="2" s="1"/>
  <c r="Z1541" i="2"/>
  <c r="Y1541" i="2"/>
  <c r="S1541" i="2"/>
  <c r="O1541" i="2"/>
  <c r="AD1541" i="2" s="1"/>
  <c r="AH1541" i="2" s="1"/>
  <c r="N1541" i="2"/>
  <c r="AB1541" i="2" s="1"/>
  <c r="AH1540" i="2"/>
  <c r="AG1540" i="2"/>
  <c r="AD1540" i="2"/>
  <c r="AC1540" i="2"/>
  <c r="AA1540" i="2"/>
  <c r="AE1540" i="2" s="1"/>
  <c r="Z1540" i="2"/>
  <c r="Y1540" i="2"/>
  <c r="S1540" i="2"/>
  <c r="O1540" i="2"/>
  <c r="N1540" i="2"/>
  <c r="AB1540" i="2" s="1"/>
  <c r="AF1540" i="2" s="1"/>
  <c r="AH1539" i="2"/>
  <c r="AG1539" i="2"/>
  <c r="AF1539" i="2"/>
  <c r="AD1539" i="2"/>
  <c r="AC1539" i="2"/>
  <c r="AB1539" i="2"/>
  <c r="AA1539" i="2"/>
  <c r="AE1539" i="2" s="1"/>
  <c r="Z1539" i="2"/>
  <c r="Y1539" i="2"/>
  <c r="S1539" i="2"/>
  <c r="O1539" i="2"/>
  <c r="N1539" i="2"/>
  <c r="AC1538" i="2"/>
  <c r="AG1538" i="2" s="1"/>
  <c r="AB1538" i="2"/>
  <c r="AF1538" i="2" s="1"/>
  <c r="AA1538" i="2"/>
  <c r="AE1538" i="2" s="1"/>
  <c r="Z1538" i="2"/>
  <c r="Y1538" i="2"/>
  <c r="S1538" i="2"/>
  <c r="O1538" i="2"/>
  <c r="AD1538" i="2" s="1"/>
  <c r="AH1538" i="2" s="1"/>
  <c r="N1538" i="2"/>
  <c r="AA1537" i="2"/>
  <c r="AE1537" i="2" s="1"/>
  <c r="Z1537" i="2"/>
  <c r="Y1537" i="2"/>
  <c r="S1537" i="2"/>
  <c r="O1537" i="2"/>
  <c r="AC1537" i="2" s="1"/>
  <c r="AG1537" i="2" s="1"/>
  <c r="N1537" i="2"/>
  <c r="AB1537" i="2" s="1"/>
  <c r="AF1537" i="2" s="1"/>
  <c r="AE1536" i="2"/>
  <c r="AD1536" i="2"/>
  <c r="AH1536" i="2" s="1"/>
  <c r="AC1536" i="2"/>
  <c r="AG1536" i="2" s="1"/>
  <c r="AA1536" i="2"/>
  <c r="Z1536" i="2"/>
  <c r="Y1536" i="2"/>
  <c r="S1536" i="2"/>
  <c r="O1536" i="2"/>
  <c r="N1536" i="2"/>
  <c r="AB1536" i="2" s="1"/>
  <c r="AF1536" i="2" s="1"/>
  <c r="AG1535" i="2"/>
  <c r="AF1535" i="2"/>
  <c r="AE1535" i="2"/>
  <c r="AD1535" i="2"/>
  <c r="AH1535" i="2" s="1"/>
  <c r="AC1535" i="2"/>
  <c r="AB1535" i="2"/>
  <c r="AA1535" i="2"/>
  <c r="Z1535" i="2"/>
  <c r="Y1535" i="2"/>
  <c r="S1535" i="2"/>
  <c r="O1535" i="2"/>
  <c r="N1535" i="2"/>
  <c r="AG1534" i="2"/>
  <c r="AD1534" i="2"/>
  <c r="AH1534" i="2" s="1"/>
  <c r="AC1534" i="2"/>
  <c r="AA1534" i="2"/>
  <c r="AE1534" i="2" s="1"/>
  <c r="Z1534" i="2"/>
  <c r="Y1534" i="2"/>
  <c r="S1534" i="2"/>
  <c r="O1534" i="2"/>
  <c r="N1534" i="2"/>
  <c r="AB1534" i="2" s="1"/>
  <c r="AF1534" i="2" s="1"/>
  <c r="AG1533" i="2"/>
  <c r="AC1533" i="2"/>
  <c r="AA1533" i="2"/>
  <c r="AE1533" i="2" s="1"/>
  <c r="Z1533" i="2"/>
  <c r="Y1533" i="2"/>
  <c r="S1533" i="2"/>
  <c r="O1533" i="2"/>
  <c r="AD1533" i="2" s="1"/>
  <c r="AH1533" i="2" s="1"/>
  <c r="N1533" i="2"/>
  <c r="AB1533" i="2" s="1"/>
  <c r="AF1533" i="2" s="1"/>
  <c r="AH1532" i="2"/>
  <c r="AG1532" i="2"/>
  <c r="AD1532" i="2"/>
  <c r="AC1532" i="2"/>
  <c r="AB1532" i="2"/>
  <c r="AF1532" i="2" s="1"/>
  <c r="AA1532" i="2"/>
  <c r="AE1532" i="2" s="1"/>
  <c r="Z1532" i="2"/>
  <c r="Y1532" i="2"/>
  <c r="S1532" i="2"/>
  <c r="O1532" i="2"/>
  <c r="N1532" i="2"/>
  <c r="AE1531" i="2"/>
  <c r="AC1531" i="2"/>
  <c r="AG1531" i="2" s="1"/>
  <c r="AB1531" i="2"/>
  <c r="AF1531" i="2" s="1"/>
  <c r="AA1531" i="2"/>
  <c r="Z1531" i="2"/>
  <c r="Y1531" i="2"/>
  <c r="S1531" i="2"/>
  <c r="O1531" i="2"/>
  <c r="AD1531" i="2" s="1"/>
  <c r="AH1531" i="2" s="1"/>
  <c r="N1531" i="2"/>
  <c r="AE1530" i="2"/>
  <c r="AB1530" i="2"/>
  <c r="AF1530" i="2" s="1"/>
  <c r="Z1530" i="2"/>
  <c r="Y1530" i="2"/>
  <c r="S1530" i="2"/>
  <c r="O1530" i="2"/>
  <c r="N1530" i="2"/>
  <c r="AA1530" i="2" s="1"/>
  <c r="AG1529" i="2"/>
  <c r="AE1529" i="2"/>
  <c r="AC1529" i="2"/>
  <c r="AA1529" i="2"/>
  <c r="Z1529" i="2"/>
  <c r="Y1529" i="2"/>
  <c r="S1529" i="2"/>
  <c r="O1529" i="2"/>
  <c r="AD1529" i="2" s="1"/>
  <c r="AH1529" i="2" s="1"/>
  <c r="N1529" i="2"/>
  <c r="AB1529" i="2" s="1"/>
  <c r="AF1529" i="2" s="1"/>
  <c r="AH1528" i="2"/>
  <c r="AG1528" i="2"/>
  <c r="AF1528" i="2"/>
  <c r="AE1528" i="2"/>
  <c r="AD1528" i="2"/>
  <c r="AC1528" i="2"/>
  <c r="AB1528" i="2"/>
  <c r="AA1528" i="2"/>
  <c r="Z1528" i="2"/>
  <c r="Y1528" i="2"/>
  <c r="S1528" i="2"/>
  <c r="O1528" i="2"/>
  <c r="N1528" i="2"/>
  <c r="AH1527" i="2"/>
  <c r="AC1527" i="2"/>
  <c r="AG1527" i="2" s="1"/>
  <c r="AA1527" i="2"/>
  <c r="AE1527" i="2" s="1"/>
  <c r="Z1527" i="2"/>
  <c r="Y1527" i="2"/>
  <c r="S1527" i="2"/>
  <c r="O1527" i="2"/>
  <c r="AD1527" i="2" s="1"/>
  <c r="N1527" i="2"/>
  <c r="AB1527" i="2" s="1"/>
  <c r="AF1527" i="2" s="1"/>
  <c r="Z1526" i="2"/>
  <c r="Y1526" i="2"/>
  <c r="S1526" i="2"/>
  <c r="O1526" i="2"/>
  <c r="N1526" i="2"/>
  <c r="AH1525" i="2"/>
  <c r="AE1525" i="2"/>
  <c r="AD1525" i="2"/>
  <c r="AC1525" i="2"/>
  <c r="AG1525" i="2" s="1"/>
  <c r="AB1525" i="2"/>
  <c r="AF1525" i="2" s="1"/>
  <c r="AA1525" i="2"/>
  <c r="Z1525" i="2"/>
  <c r="Y1525" i="2"/>
  <c r="S1525" i="2"/>
  <c r="O1525" i="2"/>
  <c r="N1525" i="2"/>
  <c r="AF1524" i="2"/>
  <c r="AE1524" i="2"/>
  <c r="AC1524" i="2"/>
  <c r="AG1524" i="2" s="1"/>
  <c r="AB1524" i="2"/>
  <c r="AA1524" i="2"/>
  <c r="Z1524" i="2"/>
  <c r="Y1524" i="2"/>
  <c r="S1524" i="2"/>
  <c r="O1524" i="2"/>
  <c r="AD1524" i="2" s="1"/>
  <c r="AH1524" i="2" s="1"/>
  <c r="N1524" i="2"/>
  <c r="AF1523" i="2"/>
  <c r="AC1523" i="2"/>
  <c r="AG1523" i="2" s="1"/>
  <c r="AA1523" i="2"/>
  <c r="AE1523" i="2" s="1"/>
  <c r="Z1523" i="2"/>
  <c r="Y1523" i="2"/>
  <c r="S1523" i="2"/>
  <c r="O1523" i="2"/>
  <c r="AD1523" i="2" s="1"/>
  <c r="AH1523" i="2" s="1"/>
  <c r="N1523" i="2"/>
  <c r="AB1523" i="2" s="1"/>
  <c r="AH1522" i="2"/>
  <c r="AD1522" i="2"/>
  <c r="AA1522" i="2"/>
  <c r="AE1522" i="2" s="1"/>
  <c r="Z1522" i="2"/>
  <c r="Y1522" i="2"/>
  <c r="S1522" i="2"/>
  <c r="O1522" i="2"/>
  <c r="AC1522" i="2" s="1"/>
  <c r="AG1522" i="2" s="1"/>
  <c r="N1522" i="2"/>
  <c r="AB1522" i="2" s="1"/>
  <c r="AF1522" i="2" s="1"/>
  <c r="AH1521" i="2"/>
  <c r="AG1521" i="2"/>
  <c r="AF1521" i="2"/>
  <c r="AD1521" i="2"/>
  <c r="AC1521" i="2"/>
  <c r="AB1521" i="2"/>
  <c r="Z1521" i="2"/>
  <c r="Y1521" i="2"/>
  <c r="S1521" i="2"/>
  <c r="O1521" i="2"/>
  <c r="N1521" i="2"/>
  <c r="AA1521" i="2" s="1"/>
  <c r="AE1521" i="2" s="1"/>
  <c r="AF1520" i="2"/>
  <c r="AD1520" i="2"/>
  <c r="AH1520" i="2" s="1"/>
  <c r="AC1520" i="2"/>
  <c r="AG1520" i="2" s="1"/>
  <c r="AB1520" i="2"/>
  <c r="AA1520" i="2"/>
  <c r="AE1520" i="2" s="1"/>
  <c r="Z1520" i="2"/>
  <c r="Y1520" i="2"/>
  <c r="S1520" i="2"/>
  <c r="O1520" i="2"/>
  <c r="N1520" i="2"/>
  <c r="AC1519" i="2"/>
  <c r="AG1519" i="2" s="1"/>
  <c r="AA1519" i="2"/>
  <c r="AE1519" i="2" s="1"/>
  <c r="Z1519" i="2"/>
  <c r="Y1519" i="2"/>
  <c r="S1519" i="2"/>
  <c r="O1519" i="2"/>
  <c r="AD1519" i="2" s="1"/>
  <c r="AH1519" i="2" s="1"/>
  <c r="N1519" i="2"/>
  <c r="AB1519" i="2" s="1"/>
  <c r="AF1519" i="2" s="1"/>
  <c r="AD1518" i="2"/>
  <c r="AH1518" i="2" s="1"/>
  <c r="AC1518" i="2"/>
  <c r="AG1518" i="2" s="1"/>
  <c r="Z1518" i="2"/>
  <c r="Y1518" i="2"/>
  <c r="S1518" i="2"/>
  <c r="O1518" i="2"/>
  <c r="N1518" i="2"/>
  <c r="AG1517" i="2"/>
  <c r="AF1517" i="2"/>
  <c r="AD1517" i="2"/>
  <c r="AH1517" i="2" s="1"/>
  <c r="AC1517" i="2"/>
  <c r="AB1517" i="2"/>
  <c r="AA1517" i="2"/>
  <c r="AE1517" i="2" s="1"/>
  <c r="Z1517" i="2"/>
  <c r="Y1517" i="2"/>
  <c r="S1517" i="2"/>
  <c r="O1517" i="2"/>
  <c r="N1517" i="2"/>
  <c r="AG1516" i="2"/>
  <c r="AD1516" i="2"/>
  <c r="AH1516" i="2" s="1"/>
  <c r="AC1516" i="2"/>
  <c r="AB1516" i="2"/>
  <c r="AF1516" i="2" s="1"/>
  <c r="AA1516" i="2"/>
  <c r="AE1516" i="2" s="1"/>
  <c r="Z1516" i="2"/>
  <c r="Y1516" i="2"/>
  <c r="S1516" i="2"/>
  <c r="O1516" i="2"/>
  <c r="N1516" i="2"/>
  <c r="AG1515" i="2"/>
  <c r="AC1515" i="2"/>
  <c r="AB1515" i="2"/>
  <c r="AF1515" i="2" s="1"/>
  <c r="AA1515" i="2"/>
  <c r="AE1515" i="2" s="1"/>
  <c r="Z1515" i="2"/>
  <c r="Y1515" i="2"/>
  <c r="S1515" i="2"/>
  <c r="O1515" i="2"/>
  <c r="AD1515" i="2" s="1"/>
  <c r="AH1515" i="2" s="1"/>
  <c r="N1515" i="2"/>
  <c r="AB1514" i="2"/>
  <c r="AF1514" i="2" s="1"/>
  <c r="AA1514" i="2"/>
  <c r="AE1514" i="2" s="1"/>
  <c r="Z1514" i="2"/>
  <c r="Y1514" i="2"/>
  <c r="S1514" i="2"/>
  <c r="O1514" i="2"/>
  <c r="N1514" i="2"/>
  <c r="AE1513" i="2"/>
  <c r="AD1513" i="2"/>
  <c r="AH1513" i="2" s="1"/>
  <c r="AC1513" i="2"/>
  <c r="AG1513" i="2" s="1"/>
  <c r="AB1513" i="2"/>
  <c r="AF1513" i="2" s="1"/>
  <c r="AA1513" i="2"/>
  <c r="Z1513" i="2"/>
  <c r="Y1513" i="2"/>
  <c r="S1513" i="2"/>
  <c r="O1513" i="2"/>
  <c r="N1513" i="2"/>
  <c r="AE1512" i="2"/>
  <c r="AC1512" i="2"/>
  <c r="AG1512" i="2" s="1"/>
  <c r="AB1512" i="2"/>
  <c r="AF1512" i="2" s="1"/>
  <c r="AA1512" i="2"/>
  <c r="Z1512" i="2"/>
  <c r="Y1512" i="2"/>
  <c r="S1512" i="2"/>
  <c r="O1512" i="2"/>
  <c r="AD1512" i="2" s="1"/>
  <c r="AH1512" i="2" s="1"/>
  <c r="N1512" i="2"/>
  <c r="AG1511" i="2"/>
  <c r="AF1511" i="2"/>
  <c r="AE1511" i="2"/>
  <c r="AD1511" i="2"/>
  <c r="AH1511" i="2" s="1"/>
  <c r="AC1511" i="2"/>
  <c r="AA1511" i="2"/>
  <c r="Z1511" i="2"/>
  <c r="Y1511" i="2"/>
  <c r="S1511" i="2"/>
  <c r="O1511" i="2"/>
  <c r="N1511" i="2"/>
  <c r="AB1511" i="2" s="1"/>
  <c r="AH1510" i="2"/>
  <c r="AG1510" i="2"/>
  <c r="AD1510" i="2"/>
  <c r="AC1510" i="2"/>
  <c r="AB1510" i="2"/>
  <c r="AF1510" i="2" s="1"/>
  <c r="AA1510" i="2"/>
  <c r="AE1510" i="2" s="1"/>
  <c r="Z1510" i="2"/>
  <c r="Y1510" i="2"/>
  <c r="S1510" i="2"/>
  <c r="O1510" i="2"/>
  <c r="N1510" i="2"/>
  <c r="AE1509" i="2"/>
  <c r="AC1509" i="2"/>
  <c r="AG1509" i="2" s="1"/>
  <c r="AA1509" i="2"/>
  <c r="Z1509" i="2"/>
  <c r="Y1509" i="2"/>
  <c r="S1509" i="2"/>
  <c r="O1509" i="2"/>
  <c r="AD1509" i="2" s="1"/>
  <c r="AH1509" i="2" s="1"/>
  <c r="N1509" i="2"/>
  <c r="AB1509" i="2" s="1"/>
  <c r="AF1509" i="2" s="1"/>
  <c r="AG1508" i="2"/>
  <c r="AC1508" i="2"/>
  <c r="AA1508" i="2"/>
  <c r="AE1508" i="2" s="1"/>
  <c r="Z1508" i="2"/>
  <c r="Y1508" i="2"/>
  <c r="S1508" i="2"/>
  <c r="O1508" i="2"/>
  <c r="AD1508" i="2" s="1"/>
  <c r="AH1508" i="2" s="1"/>
  <c r="N1508" i="2"/>
  <c r="AB1508" i="2" s="1"/>
  <c r="AF1508" i="2" s="1"/>
  <c r="AH1507" i="2"/>
  <c r="AE1507" i="2"/>
  <c r="AD1507" i="2"/>
  <c r="AC1507" i="2"/>
  <c r="AG1507" i="2" s="1"/>
  <c r="AB1507" i="2"/>
  <c r="AF1507" i="2" s="1"/>
  <c r="AA1507" i="2"/>
  <c r="Z1507" i="2"/>
  <c r="Y1507" i="2"/>
  <c r="S1507" i="2"/>
  <c r="O1507" i="2"/>
  <c r="N1507" i="2"/>
  <c r="AF1506" i="2"/>
  <c r="AE1506" i="2"/>
  <c r="AD1506" i="2"/>
  <c r="AH1506" i="2" s="1"/>
  <c r="AC1506" i="2"/>
  <c r="AG1506" i="2" s="1"/>
  <c r="AB1506" i="2"/>
  <c r="AA1506" i="2"/>
  <c r="Z1506" i="2"/>
  <c r="Y1506" i="2"/>
  <c r="S1506" i="2"/>
  <c r="O1506" i="2"/>
  <c r="N1506" i="2"/>
  <c r="AC1505" i="2"/>
  <c r="AG1505" i="2" s="1"/>
  <c r="AA1505" i="2"/>
  <c r="AE1505" i="2" s="1"/>
  <c r="Z1505" i="2"/>
  <c r="Y1505" i="2"/>
  <c r="S1505" i="2"/>
  <c r="O1505" i="2"/>
  <c r="AD1505" i="2" s="1"/>
  <c r="AH1505" i="2" s="1"/>
  <c r="N1505" i="2"/>
  <c r="AB1505" i="2" s="1"/>
  <c r="AF1505" i="2" s="1"/>
  <c r="AH1504" i="2"/>
  <c r="AG1504" i="2"/>
  <c r="AF1504" i="2"/>
  <c r="AE1504" i="2"/>
  <c r="AD1504" i="2"/>
  <c r="AB1504" i="2"/>
  <c r="Z1504" i="2"/>
  <c r="Y1504" i="2"/>
  <c r="S1504" i="2"/>
  <c r="O1504" i="2"/>
  <c r="AC1504" i="2" s="1"/>
  <c r="N1504" i="2"/>
  <c r="AA1504" i="2" s="1"/>
  <c r="AH1503" i="2"/>
  <c r="AG1503" i="2"/>
  <c r="AD1503" i="2"/>
  <c r="AC1503" i="2"/>
  <c r="Z1503" i="2"/>
  <c r="Y1503" i="2"/>
  <c r="S1503" i="2"/>
  <c r="O1503" i="2"/>
  <c r="N1503" i="2"/>
  <c r="AD1502" i="2"/>
  <c r="AH1502" i="2" s="1"/>
  <c r="AB1502" i="2"/>
  <c r="AF1502" i="2" s="1"/>
  <c r="Z1502" i="2"/>
  <c r="Y1502" i="2"/>
  <c r="S1502" i="2"/>
  <c r="O1502" i="2"/>
  <c r="AC1502" i="2" s="1"/>
  <c r="AG1502" i="2" s="1"/>
  <c r="N1502" i="2"/>
  <c r="AA1502" i="2" s="1"/>
  <c r="AE1502" i="2" s="1"/>
  <c r="AC1501" i="2"/>
  <c r="AG1501" i="2" s="1"/>
  <c r="AA1501" i="2"/>
  <c r="AE1501" i="2" s="1"/>
  <c r="Z1501" i="2"/>
  <c r="Y1501" i="2"/>
  <c r="S1501" i="2"/>
  <c r="O1501" i="2"/>
  <c r="AD1501" i="2" s="1"/>
  <c r="AH1501" i="2" s="1"/>
  <c r="N1501" i="2"/>
  <c r="AB1501" i="2" s="1"/>
  <c r="AF1501" i="2" s="1"/>
  <c r="AE1500" i="2"/>
  <c r="AD1500" i="2"/>
  <c r="AH1500" i="2" s="1"/>
  <c r="AC1500" i="2"/>
  <c r="AG1500" i="2" s="1"/>
  <c r="AA1500" i="2"/>
  <c r="Z1500" i="2"/>
  <c r="Y1500" i="2"/>
  <c r="S1500" i="2"/>
  <c r="O1500" i="2"/>
  <c r="N1500" i="2"/>
  <c r="AB1500" i="2" s="1"/>
  <c r="AF1500" i="2" s="1"/>
  <c r="AG1499" i="2"/>
  <c r="AF1499" i="2"/>
  <c r="AE1499" i="2"/>
  <c r="AD1499" i="2"/>
  <c r="AH1499" i="2" s="1"/>
  <c r="AC1499" i="2"/>
  <c r="AB1499" i="2"/>
  <c r="AA1499" i="2"/>
  <c r="Z1499" i="2"/>
  <c r="Y1499" i="2"/>
  <c r="S1499" i="2"/>
  <c r="O1499" i="2"/>
  <c r="N1499" i="2"/>
  <c r="AG1498" i="2"/>
  <c r="AD1498" i="2"/>
  <c r="AH1498" i="2" s="1"/>
  <c r="AC1498" i="2"/>
  <c r="AB1498" i="2"/>
  <c r="AF1498" i="2" s="1"/>
  <c r="AA1498" i="2"/>
  <c r="AE1498" i="2" s="1"/>
  <c r="Z1498" i="2"/>
  <c r="Y1498" i="2"/>
  <c r="S1498" i="2"/>
  <c r="O1498" i="2"/>
  <c r="N1498" i="2"/>
  <c r="AG1497" i="2"/>
  <c r="AC1497" i="2"/>
  <c r="AA1497" i="2"/>
  <c r="AE1497" i="2" s="1"/>
  <c r="Z1497" i="2"/>
  <c r="Y1497" i="2"/>
  <c r="S1497" i="2"/>
  <c r="O1497" i="2"/>
  <c r="AD1497" i="2" s="1"/>
  <c r="AH1497" i="2" s="1"/>
  <c r="N1497" i="2"/>
  <c r="AB1497" i="2" s="1"/>
  <c r="AF1497" i="2" s="1"/>
  <c r="AD1496" i="2"/>
  <c r="AH1496" i="2" s="1"/>
  <c r="AC1496" i="2"/>
  <c r="AG1496" i="2" s="1"/>
  <c r="AB1496" i="2"/>
  <c r="AF1496" i="2" s="1"/>
  <c r="AA1496" i="2"/>
  <c r="AE1496" i="2" s="1"/>
  <c r="Z1496" i="2"/>
  <c r="Y1496" i="2"/>
  <c r="S1496" i="2"/>
  <c r="O1496" i="2"/>
  <c r="N1496" i="2"/>
  <c r="AE1495" i="2"/>
  <c r="AC1495" i="2"/>
  <c r="AG1495" i="2" s="1"/>
  <c r="AA1495" i="2"/>
  <c r="Z1495" i="2"/>
  <c r="Y1495" i="2"/>
  <c r="S1495" i="2"/>
  <c r="O1495" i="2"/>
  <c r="AD1495" i="2" s="1"/>
  <c r="AH1495" i="2" s="1"/>
  <c r="N1495" i="2"/>
  <c r="AB1495" i="2" s="1"/>
  <c r="AF1495" i="2" s="1"/>
  <c r="AE1494" i="2"/>
  <c r="AD1494" i="2"/>
  <c r="AH1494" i="2" s="1"/>
  <c r="AB1494" i="2"/>
  <c r="AF1494" i="2" s="1"/>
  <c r="Z1494" i="2"/>
  <c r="Y1494" i="2"/>
  <c r="S1494" i="2"/>
  <c r="O1494" i="2"/>
  <c r="AC1494" i="2" s="1"/>
  <c r="AG1494" i="2" s="1"/>
  <c r="N1494" i="2"/>
  <c r="AA1494" i="2" s="1"/>
  <c r="AF1493" i="2"/>
  <c r="AE1493" i="2"/>
  <c r="AD1493" i="2"/>
  <c r="AH1493" i="2" s="1"/>
  <c r="AB1493" i="2"/>
  <c r="AA1493" i="2"/>
  <c r="Z1493" i="2"/>
  <c r="Y1493" i="2"/>
  <c r="S1493" i="2"/>
  <c r="O1493" i="2"/>
  <c r="AC1493" i="2" s="1"/>
  <c r="AG1493" i="2" s="1"/>
  <c r="N1493" i="2"/>
  <c r="AH1492" i="2"/>
  <c r="AG1492" i="2"/>
  <c r="AF1492" i="2"/>
  <c r="AE1492" i="2"/>
  <c r="AD1492" i="2"/>
  <c r="AC1492" i="2"/>
  <c r="AB1492" i="2"/>
  <c r="AA1492" i="2"/>
  <c r="Z1492" i="2"/>
  <c r="Y1492" i="2"/>
  <c r="S1492" i="2"/>
  <c r="O1492" i="2"/>
  <c r="N1492" i="2"/>
  <c r="AH1491" i="2"/>
  <c r="AE1491" i="2"/>
  <c r="AC1491" i="2"/>
  <c r="AG1491" i="2" s="1"/>
  <c r="AB1491" i="2"/>
  <c r="AF1491" i="2" s="1"/>
  <c r="AA1491" i="2"/>
  <c r="Z1491" i="2"/>
  <c r="Y1491" i="2"/>
  <c r="S1491" i="2"/>
  <c r="O1491" i="2"/>
  <c r="AD1491" i="2" s="1"/>
  <c r="N1491" i="2"/>
  <c r="AG1490" i="2"/>
  <c r="AC1490" i="2"/>
  <c r="AA1490" i="2"/>
  <c r="AE1490" i="2" s="1"/>
  <c r="Z1490" i="2"/>
  <c r="Y1490" i="2"/>
  <c r="S1490" i="2"/>
  <c r="O1490" i="2"/>
  <c r="AD1490" i="2" s="1"/>
  <c r="AH1490" i="2" s="1"/>
  <c r="N1490" i="2"/>
  <c r="AB1490" i="2" s="1"/>
  <c r="AF1490" i="2" s="1"/>
  <c r="AE1489" i="2"/>
  <c r="AD1489" i="2"/>
  <c r="AH1489" i="2" s="1"/>
  <c r="AC1489" i="2"/>
  <c r="AG1489" i="2" s="1"/>
  <c r="AB1489" i="2"/>
  <c r="AF1489" i="2" s="1"/>
  <c r="AA1489" i="2"/>
  <c r="Z1489" i="2"/>
  <c r="Y1489" i="2"/>
  <c r="S1489" i="2"/>
  <c r="O1489" i="2"/>
  <c r="N1489" i="2"/>
  <c r="AF1488" i="2"/>
  <c r="AE1488" i="2"/>
  <c r="AC1488" i="2"/>
  <c r="AG1488" i="2" s="1"/>
  <c r="AB1488" i="2"/>
  <c r="AA1488" i="2"/>
  <c r="Z1488" i="2"/>
  <c r="Y1488" i="2"/>
  <c r="S1488" i="2"/>
  <c r="O1488" i="2"/>
  <c r="AD1488" i="2" s="1"/>
  <c r="AH1488" i="2" s="1"/>
  <c r="N1488" i="2"/>
  <c r="AC1487" i="2"/>
  <c r="AG1487" i="2" s="1"/>
  <c r="AA1487" i="2"/>
  <c r="AE1487" i="2" s="1"/>
  <c r="Z1487" i="2"/>
  <c r="Y1487" i="2"/>
  <c r="S1487" i="2"/>
  <c r="O1487" i="2"/>
  <c r="AD1487" i="2" s="1"/>
  <c r="AH1487" i="2" s="1"/>
  <c r="N1487" i="2"/>
  <c r="AB1487" i="2" s="1"/>
  <c r="AF1487" i="2" s="1"/>
  <c r="AH1486" i="2"/>
  <c r="AG1486" i="2"/>
  <c r="AF1486" i="2"/>
  <c r="AD1486" i="2"/>
  <c r="AB1486" i="2"/>
  <c r="Z1486" i="2"/>
  <c r="Y1486" i="2"/>
  <c r="S1486" i="2"/>
  <c r="O1486" i="2"/>
  <c r="AC1486" i="2" s="1"/>
  <c r="N1486" i="2"/>
  <c r="AA1486" i="2" s="1"/>
  <c r="AE1486" i="2" s="1"/>
  <c r="AH1485" i="2"/>
  <c r="AG1485" i="2"/>
  <c r="AD1485" i="2"/>
  <c r="AC1485" i="2"/>
  <c r="AA1485" i="2"/>
  <c r="AE1485" i="2" s="1"/>
  <c r="Z1485" i="2"/>
  <c r="Y1485" i="2"/>
  <c r="S1485" i="2"/>
  <c r="O1485" i="2"/>
  <c r="N1485" i="2"/>
  <c r="AB1485" i="2" s="1"/>
  <c r="AF1485" i="2" s="1"/>
  <c r="AD1484" i="2"/>
  <c r="AH1484" i="2" s="1"/>
  <c r="AC1484" i="2"/>
  <c r="AG1484" i="2" s="1"/>
  <c r="AB1484" i="2"/>
  <c r="AF1484" i="2" s="1"/>
  <c r="Z1484" i="2"/>
  <c r="Y1484" i="2"/>
  <c r="S1484" i="2"/>
  <c r="O1484" i="2"/>
  <c r="N1484" i="2"/>
  <c r="AA1484" i="2" s="1"/>
  <c r="AE1484" i="2" s="1"/>
  <c r="AC1483" i="2"/>
  <c r="AG1483" i="2" s="1"/>
  <c r="AA1483" i="2"/>
  <c r="AE1483" i="2" s="1"/>
  <c r="Z1483" i="2"/>
  <c r="Y1483" i="2"/>
  <c r="S1483" i="2"/>
  <c r="O1483" i="2"/>
  <c r="AD1483" i="2" s="1"/>
  <c r="AH1483" i="2" s="1"/>
  <c r="N1483" i="2"/>
  <c r="AB1483" i="2" s="1"/>
  <c r="AF1483" i="2" s="1"/>
  <c r="AF1482" i="2"/>
  <c r="AE1482" i="2"/>
  <c r="AD1482" i="2"/>
  <c r="AH1482" i="2" s="1"/>
  <c r="AC1482" i="2"/>
  <c r="AG1482" i="2" s="1"/>
  <c r="AA1482" i="2"/>
  <c r="Z1482" i="2"/>
  <c r="Y1482" i="2"/>
  <c r="S1482" i="2"/>
  <c r="O1482" i="2"/>
  <c r="N1482" i="2"/>
  <c r="AB1482" i="2" s="1"/>
  <c r="AG1481" i="2"/>
  <c r="AF1481" i="2"/>
  <c r="AD1481" i="2"/>
  <c r="AH1481" i="2" s="1"/>
  <c r="AC1481" i="2"/>
  <c r="AB1481" i="2"/>
  <c r="AA1481" i="2"/>
  <c r="AE1481" i="2" s="1"/>
  <c r="Z1481" i="2"/>
  <c r="Y1481" i="2"/>
  <c r="S1481" i="2"/>
  <c r="O1481" i="2"/>
  <c r="N1481" i="2"/>
  <c r="AG1480" i="2"/>
  <c r="AD1480" i="2"/>
  <c r="AH1480" i="2" s="1"/>
  <c r="AC1480" i="2"/>
  <c r="AA1480" i="2"/>
  <c r="AE1480" i="2" s="1"/>
  <c r="Z1480" i="2"/>
  <c r="Y1480" i="2"/>
  <c r="S1480" i="2"/>
  <c r="O1480" i="2"/>
  <c r="N1480" i="2"/>
  <c r="AB1480" i="2" s="1"/>
  <c r="AF1480" i="2" s="1"/>
  <c r="AH1479" i="2"/>
  <c r="AG1479" i="2"/>
  <c r="AC1479" i="2"/>
  <c r="AA1479" i="2"/>
  <c r="AE1479" i="2" s="1"/>
  <c r="Z1479" i="2"/>
  <c r="Y1479" i="2"/>
  <c r="S1479" i="2"/>
  <c r="O1479" i="2"/>
  <c r="AD1479" i="2" s="1"/>
  <c r="N1479" i="2"/>
  <c r="AB1479" i="2" s="1"/>
  <c r="AF1479" i="2" s="1"/>
  <c r="AC1478" i="2"/>
  <c r="AG1478" i="2" s="1"/>
  <c r="AB1478" i="2"/>
  <c r="AF1478" i="2" s="1"/>
  <c r="AA1478" i="2"/>
  <c r="AE1478" i="2" s="1"/>
  <c r="Z1478" i="2"/>
  <c r="Y1478" i="2"/>
  <c r="S1478" i="2"/>
  <c r="O1478" i="2"/>
  <c r="AD1478" i="2" s="1"/>
  <c r="AH1478" i="2" s="1"/>
  <c r="N1478" i="2"/>
  <c r="AG1477" i="2"/>
  <c r="AE1477" i="2"/>
  <c r="AD1477" i="2"/>
  <c r="AH1477" i="2" s="1"/>
  <c r="AC1477" i="2"/>
  <c r="AB1477" i="2"/>
  <c r="AF1477" i="2" s="1"/>
  <c r="AA1477" i="2"/>
  <c r="Z1477" i="2"/>
  <c r="Y1477" i="2"/>
  <c r="S1477" i="2"/>
  <c r="O1477" i="2"/>
  <c r="N1477" i="2"/>
  <c r="AE1476" i="2"/>
  <c r="AC1476" i="2"/>
  <c r="AG1476" i="2" s="1"/>
  <c r="AB1476" i="2"/>
  <c r="AF1476" i="2" s="1"/>
  <c r="AA1476" i="2"/>
  <c r="Z1476" i="2"/>
  <c r="Y1476" i="2"/>
  <c r="S1476" i="2"/>
  <c r="O1476" i="2"/>
  <c r="AD1476" i="2" s="1"/>
  <c r="AH1476" i="2" s="1"/>
  <c r="N1476" i="2"/>
  <c r="AG1475" i="2"/>
  <c r="AE1475" i="2"/>
  <c r="AC1475" i="2"/>
  <c r="AA1475" i="2"/>
  <c r="Z1475" i="2"/>
  <c r="Y1475" i="2"/>
  <c r="S1475" i="2"/>
  <c r="O1475" i="2"/>
  <c r="AD1475" i="2" s="1"/>
  <c r="AH1475" i="2" s="1"/>
  <c r="N1475" i="2"/>
  <c r="AB1475" i="2" s="1"/>
  <c r="AF1475" i="2" s="1"/>
  <c r="AH1474" i="2"/>
  <c r="AG1474" i="2"/>
  <c r="AF1474" i="2"/>
  <c r="AD1474" i="2"/>
  <c r="AC1474" i="2"/>
  <c r="AB1474" i="2"/>
  <c r="AA1474" i="2"/>
  <c r="AE1474" i="2" s="1"/>
  <c r="Z1474" i="2"/>
  <c r="Y1474" i="2"/>
  <c r="S1474" i="2"/>
  <c r="O1474" i="2"/>
  <c r="N1474" i="2"/>
  <c r="AC1473" i="2"/>
  <c r="AG1473" i="2" s="1"/>
  <c r="AA1473" i="2"/>
  <c r="AE1473" i="2" s="1"/>
  <c r="Z1473" i="2"/>
  <c r="Y1473" i="2"/>
  <c r="S1473" i="2"/>
  <c r="O1473" i="2"/>
  <c r="AD1473" i="2" s="1"/>
  <c r="AH1473" i="2" s="1"/>
  <c r="N1473" i="2"/>
  <c r="AB1473" i="2" s="1"/>
  <c r="AF1473" i="2" s="1"/>
  <c r="AH1472" i="2"/>
  <c r="AG1472" i="2"/>
  <c r="AC1472" i="2"/>
  <c r="AA1472" i="2"/>
  <c r="AE1472" i="2" s="1"/>
  <c r="Z1472" i="2"/>
  <c r="Y1472" i="2"/>
  <c r="S1472" i="2"/>
  <c r="O1472" i="2"/>
  <c r="AD1472" i="2" s="1"/>
  <c r="N1472" i="2"/>
  <c r="AB1472" i="2" s="1"/>
  <c r="AF1472" i="2" s="1"/>
  <c r="AE1471" i="2"/>
  <c r="AD1471" i="2"/>
  <c r="AH1471" i="2" s="1"/>
  <c r="AC1471" i="2"/>
  <c r="AG1471" i="2" s="1"/>
  <c r="AB1471" i="2"/>
  <c r="AF1471" i="2" s="1"/>
  <c r="AA1471" i="2"/>
  <c r="Z1471" i="2"/>
  <c r="Y1471" i="2"/>
  <c r="S1471" i="2"/>
  <c r="O1471" i="2"/>
  <c r="N1471" i="2"/>
  <c r="AF1470" i="2"/>
  <c r="AE1470" i="2"/>
  <c r="AD1470" i="2"/>
  <c r="AH1470" i="2" s="1"/>
  <c r="AB1470" i="2"/>
  <c r="AA1470" i="2"/>
  <c r="Z1470" i="2"/>
  <c r="Y1470" i="2"/>
  <c r="S1470" i="2"/>
  <c r="O1470" i="2"/>
  <c r="AC1470" i="2" s="1"/>
  <c r="AG1470" i="2" s="1"/>
  <c r="N1470" i="2"/>
  <c r="AC1469" i="2"/>
  <c r="AG1469" i="2" s="1"/>
  <c r="AA1469" i="2"/>
  <c r="AE1469" i="2" s="1"/>
  <c r="Z1469" i="2"/>
  <c r="Y1469" i="2"/>
  <c r="S1469" i="2"/>
  <c r="O1469" i="2"/>
  <c r="AD1469" i="2" s="1"/>
  <c r="AH1469" i="2" s="1"/>
  <c r="N1469" i="2"/>
  <c r="AB1469" i="2" s="1"/>
  <c r="AF1469" i="2" s="1"/>
  <c r="AH1468" i="2"/>
  <c r="AG1468" i="2"/>
  <c r="AD1468" i="2"/>
  <c r="AC1468" i="2"/>
  <c r="AA1468" i="2"/>
  <c r="AE1468" i="2" s="1"/>
  <c r="Z1468" i="2"/>
  <c r="Y1468" i="2"/>
  <c r="S1468" i="2"/>
  <c r="O1468" i="2"/>
  <c r="N1468" i="2"/>
  <c r="AB1468" i="2" s="1"/>
  <c r="AF1468" i="2" s="1"/>
  <c r="AG1467" i="2"/>
  <c r="AD1467" i="2"/>
  <c r="AH1467" i="2" s="1"/>
  <c r="AC1467" i="2"/>
  <c r="AB1467" i="2"/>
  <c r="AF1467" i="2" s="1"/>
  <c r="Z1467" i="2"/>
  <c r="Y1467" i="2"/>
  <c r="S1467" i="2"/>
  <c r="O1467" i="2"/>
  <c r="N1467" i="2"/>
  <c r="AA1467" i="2" s="1"/>
  <c r="AE1467" i="2" s="1"/>
  <c r="AC1466" i="2"/>
  <c r="AG1466" i="2" s="1"/>
  <c r="AB1466" i="2"/>
  <c r="AF1466" i="2" s="1"/>
  <c r="AA1466" i="2"/>
  <c r="AE1466" i="2" s="1"/>
  <c r="Z1466" i="2"/>
  <c r="Y1466" i="2"/>
  <c r="S1466" i="2"/>
  <c r="O1466" i="2"/>
  <c r="AD1466" i="2" s="1"/>
  <c r="AH1466" i="2" s="1"/>
  <c r="N1466" i="2"/>
  <c r="AD1465" i="2"/>
  <c r="AH1465" i="2" s="1"/>
  <c r="AC1465" i="2"/>
  <c r="AG1465" i="2" s="1"/>
  <c r="AA1465" i="2"/>
  <c r="AE1465" i="2" s="1"/>
  <c r="Z1465" i="2"/>
  <c r="Y1465" i="2"/>
  <c r="S1465" i="2"/>
  <c r="O1465" i="2"/>
  <c r="N1465" i="2"/>
  <c r="AB1465" i="2" s="1"/>
  <c r="AF1465" i="2" s="1"/>
  <c r="AE1464" i="2"/>
  <c r="AD1464" i="2"/>
  <c r="AH1464" i="2" s="1"/>
  <c r="AC1464" i="2"/>
  <c r="AG1464" i="2" s="1"/>
  <c r="AA1464" i="2"/>
  <c r="Z1464" i="2"/>
  <c r="Y1464" i="2"/>
  <c r="S1464" i="2"/>
  <c r="O1464" i="2"/>
  <c r="N1464" i="2"/>
  <c r="AB1464" i="2" s="1"/>
  <c r="AF1464" i="2" s="1"/>
  <c r="AG1463" i="2"/>
  <c r="AF1463" i="2"/>
  <c r="AE1463" i="2"/>
  <c r="AD1463" i="2"/>
  <c r="AH1463" i="2" s="1"/>
  <c r="AC1463" i="2"/>
  <c r="AB1463" i="2"/>
  <c r="AA1463" i="2"/>
  <c r="Z1463" i="2"/>
  <c r="Y1463" i="2"/>
  <c r="S1463" i="2"/>
  <c r="O1463" i="2"/>
  <c r="N1463" i="2"/>
  <c r="AG1462" i="2"/>
  <c r="AD1462" i="2"/>
  <c r="AH1462" i="2" s="1"/>
  <c r="AC1462" i="2"/>
  <c r="AB1462" i="2"/>
  <c r="AF1462" i="2" s="1"/>
  <c r="AA1462" i="2"/>
  <c r="AE1462" i="2" s="1"/>
  <c r="Z1462" i="2"/>
  <c r="Y1462" i="2"/>
  <c r="S1462" i="2"/>
  <c r="O1462" i="2"/>
  <c r="N1462" i="2"/>
  <c r="AG1461" i="2"/>
  <c r="AC1461" i="2"/>
  <c r="AB1461" i="2"/>
  <c r="AF1461" i="2" s="1"/>
  <c r="AA1461" i="2"/>
  <c r="AE1461" i="2" s="1"/>
  <c r="Z1461" i="2"/>
  <c r="Y1461" i="2"/>
  <c r="S1461" i="2"/>
  <c r="O1461" i="2"/>
  <c r="AD1461" i="2" s="1"/>
  <c r="AH1461" i="2" s="1"/>
  <c r="N1461" i="2"/>
  <c r="AE1460" i="2"/>
  <c r="AC1460" i="2"/>
  <c r="AG1460" i="2" s="1"/>
  <c r="AB1460" i="2"/>
  <c r="AF1460" i="2" s="1"/>
  <c r="AA1460" i="2"/>
  <c r="Z1460" i="2"/>
  <c r="Y1460" i="2"/>
  <c r="S1460" i="2"/>
  <c r="O1460" i="2"/>
  <c r="AD1460" i="2" s="1"/>
  <c r="AH1460" i="2" s="1"/>
  <c r="N1460" i="2"/>
  <c r="AG1459" i="2"/>
  <c r="AE1459" i="2"/>
  <c r="AD1459" i="2"/>
  <c r="AH1459" i="2" s="1"/>
  <c r="AC1459" i="2"/>
  <c r="AB1459" i="2"/>
  <c r="AF1459" i="2" s="1"/>
  <c r="Z1459" i="2"/>
  <c r="Y1459" i="2"/>
  <c r="S1459" i="2"/>
  <c r="O1459" i="2"/>
  <c r="N1459" i="2"/>
  <c r="AA1459" i="2" s="1"/>
  <c r="AE1458" i="2"/>
  <c r="AC1458" i="2"/>
  <c r="AG1458" i="2" s="1"/>
  <c r="AB1458" i="2"/>
  <c r="AF1458" i="2" s="1"/>
  <c r="AA1458" i="2"/>
  <c r="Z1458" i="2"/>
  <c r="Y1458" i="2"/>
  <c r="S1458" i="2"/>
  <c r="O1458" i="2"/>
  <c r="AD1458" i="2" s="1"/>
  <c r="AH1458" i="2" s="1"/>
  <c r="N1458" i="2"/>
  <c r="AH1457" i="2"/>
  <c r="AG1457" i="2"/>
  <c r="AF1457" i="2"/>
  <c r="AE1457" i="2"/>
  <c r="AD1457" i="2"/>
  <c r="AC1457" i="2"/>
  <c r="AA1457" i="2"/>
  <c r="Z1457" i="2"/>
  <c r="Y1457" i="2"/>
  <c r="S1457" i="2"/>
  <c r="O1457" i="2"/>
  <c r="N1457" i="2"/>
  <c r="AB1457" i="2" s="1"/>
  <c r="AH1456" i="2"/>
  <c r="AD1456" i="2"/>
  <c r="AC1456" i="2"/>
  <c r="AG1456" i="2" s="1"/>
  <c r="AB1456" i="2"/>
  <c r="AF1456" i="2" s="1"/>
  <c r="AA1456" i="2"/>
  <c r="AE1456" i="2" s="1"/>
  <c r="Z1456" i="2"/>
  <c r="Y1456" i="2"/>
  <c r="S1456" i="2"/>
  <c r="O1456" i="2"/>
  <c r="N1456" i="2"/>
  <c r="AH1455" i="2"/>
  <c r="AC1455" i="2"/>
  <c r="AG1455" i="2" s="1"/>
  <c r="AA1455" i="2"/>
  <c r="AE1455" i="2" s="1"/>
  <c r="Z1455" i="2"/>
  <c r="Y1455" i="2"/>
  <c r="S1455" i="2"/>
  <c r="O1455" i="2"/>
  <c r="AD1455" i="2" s="1"/>
  <c r="N1455" i="2"/>
  <c r="AB1455" i="2" s="1"/>
  <c r="AF1455" i="2" s="1"/>
  <c r="AH1454" i="2"/>
  <c r="AG1454" i="2"/>
  <c r="AC1454" i="2"/>
  <c r="AA1454" i="2"/>
  <c r="AE1454" i="2" s="1"/>
  <c r="Z1454" i="2"/>
  <c r="Y1454" i="2"/>
  <c r="S1454" i="2"/>
  <c r="O1454" i="2"/>
  <c r="AD1454" i="2" s="1"/>
  <c r="N1454" i="2"/>
  <c r="AB1454" i="2" s="1"/>
  <c r="AF1454" i="2" s="1"/>
  <c r="AF1453" i="2"/>
  <c r="AE1453" i="2"/>
  <c r="AD1453" i="2"/>
  <c r="AH1453" i="2" s="1"/>
  <c r="AC1453" i="2"/>
  <c r="AG1453" i="2" s="1"/>
  <c r="AB1453" i="2"/>
  <c r="AA1453" i="2"/>
  <c r="Z1453" i="2"/>
  <c r="Y1453" i="2"/>
  <c r="S1453" i="2"/>
  <c r="O1453" i="2"/>
  <c r="N1453" i="2"/>
  <c r="AF1452" i="2"/>
  <c r="AE1452" i="2"/>
  <c r="AD1452" i="2"/>
  <c r="AH1452" i="2" s="1"/>
  <c r="AC1452" i="2"/>
  <c r="AG1452" i="2" s="1"/>
  <c r="AB1452" i="2"/>
  <c r="AA1452" i="2"/>
  <c r="Z1452" i="2"/>
  <c r="Y1452" i="2"/>
  <c r="S1452" i="2"/>
  <c r="O1452" i="2"/>
  <c r="N1452" i="2"/>
  <c r="AF1451" i="2"/>
  <c r="AD1451" i="2"/>
  <c r="AH1451" i="2" s="1"/>
  <c r="AC1451" i="2"/>
  <c r="AG1451" i="2" s="1"/>
  <c r="AB1451" i="2"/>
  <c r="Z1451" i="2"/>
  <c r="Y1451" i="2"/>
  <c r="S1451" i="2"/>
  <c r="O1451" i="2"/>
  <c r="N1451" i="2"/>
  <c r="AA1451" i="2" s="1"/>
  <c r="AE1451" i="2" s="1"/>
  <c r="AH1450" i="2"/>
  <c r="AG1450" i="2"/>
  <c r="AD1450" i="2"/>
  <c r="Z1450" i="2"/>
  <c r="Y1450" i="2"/>
  <c r="S1450" i="2"/>
  <c r="O1450" i="2"/>
  <c r="AC1450" i="2" s="1"/>
  <c r="N1450" i="2"/>
  <c r="AD1449" i="2"/>
  <c r="AH1449" i="2" s="1"/>
  <c r="AC1449" i="2"/>
  <c r="AG1449" i="2" s="1"/>
  <c r="AB1449" i="2"/>
  <c r="AF1449" i="2" s="1"/>
  <c r="AA1449" i="2"/>
  <c r="AE1449" i="2" s="1"/>
  <c r="Z1449" i="2"/>
  <c r="Y1449" i="2"/>
  <c r="S1449" i="2"/>
  <c r="O1449" i="2"/>
  <c r="N1449" i="2"/>
  <c r="AC1448" i="2"/>
  <c r="AG1448" i="2" s="1"/>
  <c r="AA1448" i="2"/>
  <c r="AE1448" i="2" s="1"/>
  <c r="Z1448" i="2"/>
  <c r="Y1448" i="2"/>
  <c r="S1448" i="2"/>
  <c r="O1448" i="2"/>
  <c r="AD1448" i="2" s="1"/>
  <c r="AH1448" i="2" s="1"/>
  <c r="N1448" i="2"/>
  <c r="AB1448" i="2" s="1"/>
  <c r="AF1448" i="2" s="1"/>
  <c r="AH1447" i="2"/>
  <c r="AD1447" i="2"/>
  <c r="AC1447" i="2"/>
  <c r="AG1447" i="2" s="1"/>
  <c r="AA1447" i="2"/>
  <c r="AE1447" i="2" s="1"/>
  <c r="Z1447" i="2"/>
  <c r="Y1447" i="2"/>
  <c r="S1447" i="2"/>
  <c r="O1447" i="2"/>
  <c r="N1447" i="2"/>
  <c r="AB1447" i="2" s="1"/>
  <c r="AF1447" i="2" s="1"/>
  <c r="AE1446" i="2"/>
  <c r="AD1446" i="2"/>
  <c r="AH1446" i="2" s="1"/>
  <c r="AC1446" i="2"/>
  <c r="AG1446" i="2" s="1"/>
  <c r="AA1446" i="2"/>
  <c r="Z1446" i="2"/>
  <c r="Y1446" i="2"/>
  <c r="S1446" i="2"/>
  <c r="O1446" i="2"/>
  <c r="N1446" i="2"/>
  <c r="AB1446" i="2" s="1"/>
  <c r="AF1446" i="2" s="1"/>
  <c r="AG1445" i="2"/>
  <c r="AE1445" i="2"/>
  <c r="AD1445" i="2"/>
  <c r="AH1445" i="2" s="1"/>
  <c r="AC1445" i="2"/>
  <c r="AB1445" i="2"/>
  <c r="AF1445" i="2" s="1"/>
  <c r="AA1445" i="2"/>
  <c r="Z1445" i="2"/>
  <c r="Y1445" i="2"/>
  <c r="S1445" i="2"/>
  <c r="O1445" i="2"/>
  <c r="N1445" i="2"/>
  <c r="AG1444" i="2"/>
  <c r="AD1444" i="2"/>
  <c r="AH1444" i="2" s="1"/>
  <c r="AC1444" i="2"/>
  <c r="AB1444" i="2"/>
  <c r="AF1444" i="2" s="1"/>
  <c r="AA1444" i="2"/>
  <c r="AE1444" i="2" s="1"/>
  <c r="Z1444" i="2"/>
  <c r="Y1444" i="2"/>
  <c r="S1444" i="2"/>
  <c r="O1444" i="2"/>
  <c r="N1444" i="2"/>
  <c r="AH1443" i="2"/>
  <c r="AG1443" i="2"/>
  <c r="AC1443" i="2"/>
  <c r="AA1443" i="2"/>
  <c r="AE1443" i="2" s="1"/>
  <c r="Z1443" i="2"/>
  <c r="Y1443" i="2"/>
  <c r="S1443" i="2"/>
  <c r="O1443" i="2"/>
  <c r="AD1443" i="2" s="1"/>
  <c r="N1443" i="2"/>
  <c r="AB1443" i="2" s="1"/>
  <c r="AF1443" i="2" s="1"/>
  <c r="AH1442" i="2"/>
  <c r="AG1442" i="2"/>
  <c r="AE1442" i="2"/>
  <c r="AD1442" i="2"/>
  <c r="AC1442" i="2"/>
  <c r="AB1442" i="2"/>
  <c r="AF1442" i="2" s="1"/>
  <c r="AA1442" i="2"/>
  <c r="Z1442" i="2"/>
  <c r="Y1442" i="2"/>
  <c r="S1442" i="2"/>
  <c r="O1442" i="2"/>
  <c r="N1442" i="2"/>
  <c r="AD1441" i="2"/>
  <c r="AH1441" i="2" s="1"/>
  <c r="AC1441" i="2"/>
  <c r="AG1441" i="2" s="1"/>
  <c r="AB1441" i="2"/>
  <c r="AF1441" i="2" s="1"/>
  <c r="Z1441" i="2"/>
  <c r="Y1441" i="2"/>
  <c r="S1441" i="2"/>
  <c r="O1441" i="2"/>
  <c r="N1441" i="2"/>
  <c r="AA1441" i="2" s="1"/>
  <c r="AE1441" i="2" s="1"/>
  <c r="AD1440" i="2"/>
  <c r="AH1440" i="2" s="1"/>
  <c r="AB1440" i="2"/>
  <c r="AF1440" i="2" s="1"/>
  <c r="Z1440" i="2"/>
  <c r="Y1440" i="2"/>
  <c r="S1440" i="2"/>
  <c r="O1440" i="2"/>
  <c r="AC1440" i="2" s="1"/>
  <c r="AG1440" i="2" s="1"/>
  <c r="N1440" i="2"/>
  <c r="AA1440" i="2" s="1"/>
  <c r="AE1440" i="2" s="1"/>
  <c r="AF1439" i="2"/>
  <c r="Z1439" i="2"/>
  <c r="Y1439" i="2"/>
  <c r="S1439" i="2"/>
  <c r="O1439" i="2"/>
  <c r="AC1439" i="2" s="1"/>
  <c r="AG1439" i="2" s="1"/>
  <c r="N1439" i="2"/>
  <c r="AB1439" i="2" s="1"/>
  <c r="AH1438" i="2"/>
  <c r="AG1438" i="2"/>
  <c r="AF1438" i="2"/>
  <c r="AE1438" i="2"/>
  <c r="AD1438" i="2"/>
  <c r="AC1438" i="2"/>
  <c r="AB1438" i="2"/>
  <c r="AA1438" i="2"/>
  <c r="Z1438" i="2"/>
  <c r="Y1438" i="2"/>
  <c r="S1438" i="2"/>
  <c r="O1438" i="2"/>
  <c r="N1438" i="2"/>
  <c r="AH1437" i="2"/>
  <c r="AE1437" i="2"/>
  <c r="AC1437" i="2"/>
  <c r="AG1437" i="2" s="1"/>
  <c r="AB1437" i="2"/>
  <c r="AF1437" i="2" s="1"/>
  <c r="AA1437" i="2"/>
  <c r="Z1437" i="2"/>
  <c r="Y1437" i="2"/>
  <c r="S1437" i="2"/>
  <c r="O1437" i="2"/>
  <c r="AD1437" i="2" s="1"/>
  <c r="N1437" i="2"/>
  <c r="AC1436" i="2"/>
  <c r="AG1436" i="2" s="1"/>
  <c r="AA1436" i="2"/>
  <c r="AE1436" i="2" s="1"/>
  <c r="Z1436" i="2"/>
  <c r="Y1436" i="2"/>
  <c r="S1436" i="2"/>
  <c r="O1436" i="2"/>
  <c r="AD1436" i="2" s="1"/>
  <c r="AH1436" i="2" s="1"/>
  <c r="N1436" i="2"/>
  <c r="AB1436" i="2" s="1"/>
  <c r="AF1436" i="2" s="1"/>
  <c r="AH1435" i="2"/>
  <c r="AF1435" i="2"/>
  <c r="AE1435" i="2"/>
  <c r="AD1435" i="2"/>
  <c r="AC1435" i="2"/>
  <c r="AG1435" i="2" s="1"/>
  <c r="AB1435" i="2"/>
  <c r="AA1435" i="2"/>
  <c r="Z1435" i="2"/>
  <c r="Y1435" i="2"/>
  <c r="S1435" i="2"/>
  <c r="O1435" i="2"/>
  <c r="N1435" i="2"/>
  <c r="AF1434" i="2"/>
  <c r="AD1434" i="2"/>
  <c r="AH1434" i="2" s="1"/>
  <c r="AC1434" i="2"/>
  <c r="AG1434" i="2" s="1"/>
  <c r="AB1434" i="2"/>
  <c r="AA1434" i="2"/>
  <c r="AE1434" i="2" s="1"/>
  <c r="Z1434" i="2"/>
  <c r="Y1434" i="2"/>
  <c r="S1434" i="2"/>
  <c r="O1434" i="2"/>
  <c r="N1434" i="2"/>
  <c r="AC1433" i="2"/>
  <c r="AG1433" i="2" s="1"/>
  <c r="Z1433" i="2"/>
  <c r="Y1433" i="2"/>
  <c r="S1433" i="2"/>
  <c r="O1433" i="2"/>
  <c r="AD1433" i="2" s="1"/>
  <c r="AH1433" i="2" s="1"/>
  <c r="N1433" i="2"/>
  <c r="AB1433" i="2" s="1"/>
  <c r="AF1433" i="2" s="1"/>
  <c r="AH1432" i="2"/>
  <c r="AF1432" i="2"/>
  <c r="AD1432" i="2"/>
  <c r="AA1432" i="2"/>
  <c r="AE1432" i="2" s="1"/>
  <c r="Z1432" i="2"/>
  <c r="Y1432" i="2"/>
  <c r="S1432" i="2"/>
  <c r="O1432" i="2"/>
  <c r="AC1432" i="2" s="1"/>
  <c r="AG1432" i="2" s="1"/>
  <c r="N1432" i="2"/>
  <c r="AB1432" i="2" s="1"/>
  <c r="AH1431" i="2"/>
  <c r="AG1431" i="2"/>
  <c r="AD1431" i="2"/>
  <c r="AC1431" i="2"/>
  <c r="AA1431" i="2"/>
  <c r="AE1431" i="2" s="1"/>
  <c r="Z1431" i="2"/>
  <c r="Y1431" i="2"/>
  <c r="S1431" i="2"/>
  <c r="O1431" i="2"/>
  <c r="N1431" i="2"/>
  <c r="AB1431" i="2" s="1"/>
  <c r="AF1431" i="2" s="1"/>
  <c r="AD1430" i="2"/>
  <c r="AH1430" i="2" s="1"/>
  <c r="AC1430" i="2"/>
  <c r="AG1430" i="2" s="1"/>
  <c r="AB1430" i="2"/>
  <c r="AF1430" i="2" s="1"/>
  <c r="AA1430" i="2"/>
  <c r="AE1430" i="2" s="1"/>
  <c r="Z1430" i="2"/>
  <c r="Y1430" i="2"/>
  <c r="S1430" i="2"/>
  <c r="O1430" i="2"/>
  <c r="N1430" i="2"/>
  <c r="AD1429" i="2"/>
  <c r="AH1429" i="2" s="1"/>
  <c r="AB1429" i="2"/>
  <c r="AF1429" i="2" s="1"/>
  <c r="AA1429" i="2"/>
  <c r="AE1429" i="2" s="1"/>
  <c r="Z1429" i="2"/>
  <c r="Y1429" i="2"/>
  <c r="S1429" i="2"/>
  <c r="O1429" i="2"/>
  <c r="AC1429" i="2" s="1"/>
  <c r="AG1429" i="2" s="1"/>
  <c r="N1429" i="2"/>
  <c r="AF1428" i="2"/>
  <c r="AE1428" i="2"/>
  <c r="AD1428" i="2"/>
  <c r="AH1428" i="2" s="1"/>
  <c r="AC1428" i="2"/>
  <c r="AG1428" i="2" s="1"/>
  <c r="AA1428" i="2"/>
  <c r="Z1428" i="2"/>
  <c r="Y1428" i="2"/>
  <c r="S1428" i="2"/>
  <c r="O1428" i="2"/>
  <c r="N1428" i="2"/>
  <c r="AB1428" i="2" s="1"/>
  <c r="AF1427" i="2"/>
  <c r="AD1427" i="2"/>
  <c r="AH1427" i="2" s="1"/>
  <c r="AC1427" i="2"/>
  <c r="AG1427" i="2" s="1"/>
  <c r="AB1427" i="2"/>
  <c r="AA1427" i="2"/>
  <c r="AE1427" i="2" s="1"/>
  <c r="Z1427" i="2"/>
  <c r="Y1427" i="2"/>
  <c r="S1427" i="2"/>
  <c r="O1427" i="2"/>
  <c r="N1427" i="2"/>
  <c r="AG1426" i="2"/>
  <c r="AC1426" i="2"/>
  <c r="AA1426" i="2"/>
  <c r="AE1426" i="2" s="1"/>
  <c r="Z1426" i="2"/>
  <c r="Y1426" i="2"/>
  <c r="S1426" i="2"/>
  <c r="O1426" i="2"/>
  <c r="AD1426" i="2" s="1"/>
  <c r="AH1426" i="2" s="1"/>
  <c r="N1426" i="2"/>
  <c r="AB1426" i="2" s="1"/>
  <c r="AF1426" i="2" s="1"/>
  <c r="AH1425" i="2"/>
  <c r="AG1425" i="2"/>
  <c r="AC1425" i="2"/>
  <c r="AA1425" i="2"/>
  <c r="AE1425" i="2" s="1"/>
  <c r="Z1425" i="2"/>
  <c r="Y1425" i="2"/>
  <c r="S1425" i="2"/>
  <c r="O1425" i="2"/>
  <c r="AD1425" i="2" s="1"/>
  <c r="N1425" i="2"/>
  <c r="AB1425" i="2" s="1"/>
  <c r="AF1425" i="2" s="1"/>
  <c r="AE1424" i="2"/>
  <c r="AD1424" i="2"/>
  <c r="AH1424" i="2" s="1"/>
  <c r="AC1424" i="2"/>
  <c r="AG1424" i="2" s="1"/>
  <c r="AA1424" i="2"/>
  <c r="Z1424" i="2"/>
  <c r="Y1424" i="2"/>
  <c r="S1424" i="2"/>
  <c r="O1424" i="2"/>
  <c r="N1424" i="2"/>
  <c r="AB1424" i="2" s="1"/>
  <c r="AF1424" i="2" s="1"/>
  <c r="AD1423" i="2"/>
  <c r="AH1423" i="2" s="1"/>
  <c r="AB1423" i="2"/>
  <c r="AF1423" i="2" s="1"/>
  <c r="Z1423" i="2"/>
  <c r="Y1423" i="2"/>
  <c r="S1423" i="2"/>
  <c r="O1423" i="2"/>
  <c r="AC1423" i="2" s="1"/>
  <c r="AG1423" i="2" s="1"/>
  <c r="N1423" i="2"/>
  <c r="AA1423" i="2" s="1"/>
  <c r="AE1423" i="2" s="1"/>
  <c r="AE1422" i="2"/>
  <c r="AD1422" i="2"/>
  <c r="AH1422" i="2" s="1"/>
  <c r="AC1422" i="2"/>
  <c r="AG1422" i="2" s="1"/>
  <c r="AB1422" i="2"/>
  <c r="AF1422" i="2" s="1"/>
  <c r="AA1422" i="2"/>
  <c r="Z1422" i="2"/>
  <c r="Y1422" i="2"/>
  <c r="S1422" i="2"/>
  <c r="O1422" i="2"/>
  <c r="N1422" i="2"/>
  <c r="AF1421" i="2"/>
  <c r="AD1421" i="2"/>
  <c r="AH1421" i="2" s="1"/>
  <c r="AB1421" i="2"/>
  <c r="Z1421" i="2"/>
  <c r="Y1421" i="2"/>
  <c r="S1421" i="2"/>
  <c r="O1421" i="2"/>
  <c r="AC1421" i="2" s="1"/>
  <c r="AG1421" i="2" s="1"/>
  <c r="N1421" i="2"/>
  <c r="AA1421" i="2" s="1"/>
  <c r="AE1421" i="2" s="1"/>
  <c r="AG1420" i="2"/>
  <c r="AF1420" i="2"/>
  <c r="AE1420" i="2"/>
  <c r="AD1420" i="2"/>
  <c r="AH1420" i="2" s="1"/>
  <c r="AC1420" i="2"/>
  <c r="AB1420" i="2"/>
  <c r="AA1420" i="2"/>
  <c r="Z1420" i="2"/>
  <c r="Y1420" i="2"/>
  <c r="S1420" i="2"/>
  <c r="O1420" i="2"/>
  <c r="N1420" i="2"/>
  <c r="AH1419" i="2"/>
  <c r="AE1419" i="2"/>
  <c r="AC1419" i="2"/>
  <c r="AG1419" i="2" s="1"/>
  <c r="AB1419" i="2"/>
  <c r="AF1419" i="2" s="1"/>
  <c r="AA1419" i="2"/>
  <c r="Z1419" i="2"/>
  <c r="Y1419" i="2"/>
  <c r="S1419" i="2"/>
  <c r="O1419" i="2"/>
  <c r="AD1419" i="2" s="1"/>
  <c r="N1419" i="2"/>
  <c r="AH1418" i="2"/>
  <c r="AD1418" i="2"/>
  <c r="AB1418" i="2"/>
  <c r="AF1418" i="2" s="1"/>
  <c r="Z1418" i="2"/>
  <c r="Y1418" i="2"/>
  <c r="S1418" i="2"/>
  <c r="O1418" i="2"/>
  <c r="AC1418" i="2" s="1"/>
  <c r="AG1418" i="2" s="1"/>
  <c r="N1418" i="2"/>
  <c r="AA1418" i="2" s="1"/>
  <c r="AE1418" i="2" s="1"/>
  <c r="AH1417" i="2"/>
  <c r="AG1417" i="2"/>
  <c r="AE1417" i="2"/>
  <c r="AC1417" i="2"/>
  <c r="AB1417" i="2"/>
  <c r="AF1417" i="2" s="1"/>
  <c r="AA1417" i="2"/>
  <c r="Z1417" i="2"/>
  <c r="Y1417" i="2"/>
  <c r="S1417" i="2"/>
  <c r="O1417" i="2"/>
  <c r="AD1417" i="2" s="1"/>
  <c r="N1417" i="2"/>
  <c r="AH1416" i="2"/>
  <c r="AD1416" i="2"/>
  <c r="AC1416" i="2"/>
  <c r="AG1416" i="2" s="1"/>
  <c r="AB1416" i="2"/>
  <c r="AF1416" i="2" s="1"/>
  <c r="AA1416" i="2"/>
  <c r="AE1416" i="2" s="1"/>
  <c r="Z1416" i="2"/>
  <c r="Y1416" i="2"/>
  <c r="S1416" i="2"/>
  <c r="O1416" i="2"/>
  <c r="N1416" i="2"/>
  <c r="AF1415" i="2"/>
  <c r="AD1415" i="2"/>
  <c r="AH1415" i="2" s="1"/>
  <c r="AB1415" i="2"/>
  <c r="AA1415" i="2"/>
  <c r="AE1415" i="2" s="1"/>
  <c r="Z1415" i="2"/>
  <c r="Y1415" i="2"/>
  <c r="S1415" i="2"/>
  <c r="O1415" i="2"/>
  <c r="AC1415" i="2" s="1"/>
  <c r="AG1415" i="2" s="1"/>
  <c r="N1415" i="2"/>
  <c r="AH1414" i="2"/>
  <c r="AG1414" i="2"/>
  <c r="AE1414" i="2"/>
  <c r="AD1414" i="2"/>
  <c r="AC1414" i="2"/>
  <c r="AA1414" i="2"/>
  <c r="Z1414" i="2"/>
  <c r="Y1414" i="2"/>
  <c r="S1414" i="2"/>
  <c r="O1414" i="2"/>
  <c r="N1414" i="2"/>
  <c r="AB1414" i="2" s="1"/>
  <c r="AF1414" i="2" s="1"/>
  <c r="AH1413" i="2"/>
  <c r="AF1413" i="2"/>
  <c r="AD1413" i="2"/>
  <c r="AC1413" i="2"/>
  <c r="AG1413" i="2" s="1"/>
  <c r="AB1413" i="2"/>
  <c r="AA1413" i="2"/>
  <c r="AE1413" i="2" s="1"/>
  <c r="Z1413" i="2"/>
  <c r="Y1413" i="2"/>
  <c r="S1413" i="2"/>
  <c r="O1413" i="2"/>
  <c r="N1413" i="2"/>
  <c r="AD1412" i="2"/>
  <c r="AH1412" i="2" s="1"/>
  <c r="AB1412" i="2"/>
  <c r="AF1412" i="2" s="1"/>
  <c r="AA1412" i="2"/>
  <c r="AE1412" i="2" s="1"/>
  <c r="Z1412" i="2"/>
  <c r="Y1412" i="2"/>
  <c r="S1412" i="2"/>
  <c r="O1412" i="2"/>
  <c r="AC1412" i="2" s="1"/>
  <c r="AG1412" i="2" s="1"/>
  <c r="N1412" i="2"/>
  <c r="AD1411" i="2"/>
  <c r="AH1411" i="2" s="1"/>
  <c r="AC1411" i="2"/>
  <c r="AG1411" i="2" s="1"/>
  <c r="AA1411" i="2"/>
  <c r="AE1411" i="2" s="1"/>
  <c r="Z1411" i="2"/>
  <c r="Y1411" i="2"/>
  <c r="S1411" i="2"/>
  <c r="O1411" i="2"/>
  <c r="N1411" i="2"/>
  <c r="AB1411" i="2" s="1"/>
  <c r="AF1411" i="2" s="1"/>
  <c r="AF1410" i="2"/>
  <c r="AE1410" i="2"/>
  <c r="AD1410" i="2"/>
  <c r="AH1410" i="2" s="1"/>
  <c r="AC1410" i="2"/>
  <c r="AG1410" i="2" s="1"/>
  <c r="AA1410" i="2"/>
  <c r="Z1410" i="2"/>
  <c r="Y1410" i="2"/>
  <c r="S1410" i="2"/>
  <c r="O1410" i="2"/>
  <c r="N1410" i="2"/>
  <c r="AB1410" i="2" s="1"/>
  <c r="AG1409" i="2"/>
  <c r="AF1409" i="2"/>
  <c r="AE1409" i="2"/>
  <c r="AD1409" i="2"/>
  <c r="AH1409" i="2" s="1"/>
  <c r="AC1409" i="2"/>
  <c r="AB1409" i="2"/>
  <c r="AA1409" i="2"/>
  <c r="Z1409" i="2"/>
  <c r="Y1409" i="2"/>
  <c r="S1409" i="2"/>
  <c r="O1409" i="2"/>
  <c r="N1409" i="2"/>
  <c r="AG1408" i="2"/>
  <c r="AF1408" i="2"/>
  <c r="AD1408" i="2"/>
  <c r="AH1408" i="2" s="1"/>
  <c r="AB1408" i="2"/>
  <c r="AA1408" i="2"/>
  <c r="AE1408" i="2" s="1"/>
  <c r="Z1408" i="2"/>
  <c r="Y1408" i="2"/>
  <c r="S1408" i="2"/>
  <c r="O1408" i="2"/>
  <c r="AC1408" i="2" s="1"/>
  <c r="N1408" i="2"/>
  <c r="AH1407" i="2"/>
  <c r="AF1407" i="2"/>
  <c r="AD1407" i="2"/>
  <c r="AB1407" i="2"/>
  <c r="AA1407" i="2"/>
  <c r="AE1407" i="2" s="1"/>
  <c r="Z1407" i="2"/>
  <c r="Y1407" i="2"/>
  <c r="S1407" i="2"/>
  <c r="O1407" i="2"/>
  <c r="AC1407" i="2" s="1"/>
  <c r="AG1407" i="2" s="1"/>
  <c r="N1407" i="2"/>
  <c r="AH1406" i="2"/>
  <c r="AE1406" i="2"/>
  <c r="AC1406" i="2"/>
  <c r="AG1406" i="2" s="1"/>
  <c r="AA1406" i="2"/>
  <c r="Z1406" i="2"/>
  <c r="Y1406" i="2"/>
  <c r="S1406" i="2"/>
  <c r="O1406" i="2"/>
  <c r="AD1406" i="2" s="1"/>
  <c r="N1406" i="2"/>
  <c r="AB1406" i="2" s="1"/>
  <c r="AF1406" i="2" s="1"/>
  <c r="AD1405" i="2"/>
  <c r="AH1405" i="2" s="1"/>
  <c r="AC1405" i="2"/>
  <c r="AG1405" i="2" s="1"/>
  <c r="AB1405" i="2"/>
  <c r="AF1405" i="2" s="1"/>
  <c r="AA1405" i="2"/>
  <c r="AE1405" i="2" s="1"/>
  <c r="Z1405" i="2"/>
  <c r="Y1405" i="2"/>
  <c r="S1405" i="2"/>
  <c r="O1405" i="2"/>
  <c r="N1405" i="2"/>
  <c r="AD1404" i="2"/>
  <c r="AH1404" i="2" s="1"/>
  <c r="AB1404" i="2"/>
  <c r="AF1404" i="2" s="1"/>
  <c r="Z1404" i="2"/>
  <c r="Y1404" i="2"/>
  <c r="S1404" i="2"/>
  <c r="O1404" i="2"/>
  <c r="AC1404" i="2" s="1"/>
  <c r="AG1404" i="2" s="1"/>
  <c r="N1404" i="2"/>
  <c r="AA1404" i="2" s="1"/>
  <c r="AE1404" i="2" s="1"/>
  <c r="AG1403" i="2"/>
  <c r="AF1403" i="2"/>
  <c r="AE1403" i="2"/>
  <c r="AD1403" i="2"/>
  <c r="AH1403" i="2" s="1"/>
  <c r="AB1403" i="2"/>
  <c r="Z1403" i="2"/>
  <c r="Y1403" i="2"/>
  <c r="S1403" i="2"/>
  <c r="O1403" i="2"/>
  <c r="AC1403" i="2" s="1"/>
  <c r="N1403" i="2"/>
  <c r="AA1403" i="2" s="1"/>
  <c r="AD1402" i="2"/>
  <c r="AH1402" i="2" s="1"/>
  <c r="AC1402" i="2"/>
  <c r="AG1402" i="2" s="1"/>
  <c r="AB1402" i="2"/>
  <c r="AF1402" i="2" s="1"/>
  <c r="AA1402" i="2"/>
  <c r="AE1402" i="2" s="1"/>
  <c r="Z1402" i="2"/>
  <c r="Y1402" i="2"/>
  <c r="S1402" i="2"/>
  <c r="O1402" i="2"/>
  <c r="N1402" i="2"/>
  <c r="AH1401" i="2"/>
  <c r="AG1401" i="2"/>
  <c r="AD1401" i="2"/>
  <c r="AB1401" i="2"/>
  <c r="AF1401" i="2" s="1"/>
  <c r="Z1401" i="2"/>
  <c r="Y1401" i="2"/>
  <c r="S1401" i="2"/>
  <c r="O1401" i="2"/>
  <c r="AC1401" i="2" s="1"/>
  <c r="N1401" i="2"/>
  <c r="AA1401" i="2" s="1"/>
  <c r="AE1401" i="2" s="1"/>
  <c r="AH1400" i="2"/>
  <c r="AG1400" i="2"/>
  <c r="AD1400" i="2"/>
  <c r="AC1400" i="2"/>
  <c r="AB1400" i="2"/>
  <c r="AF1400" i="2" s="1"/>
  <c r="Z1400" i="2"/>
  <c r="Y1400" i="2"/>
  <c r="S1400" i="2"/>
  <c r="O1400" i="2"/>
  <c r="N1400" i="2"/>
  <c r="AA1400" i="2" s="1"/>
  <c r="AE1400" i="2" s="1"/>
  <c r="AE1399" i="2"/>
  <c r="AC1399" i="2"/>
  <c r="AG1399" i="2" s="1"/>
  <c r="AB1399" i="2"/>
  <c r="AF1399" i="2" s="1"/>
  <c r="AA1399" i="2"/>
  <c r="Z1399" i="2"/>
  <c r="Y1399" i="2"/>
  <c r="S1399" i="2"/>
  <c r="O1399" i="2"/>
  <c r="AD1399" i="2" s="1"/>
  <c r="AH1399" i="2" s="1"/>
  <c r="N1399" i="2"/>
  <c r="AE1398" i="2"/>
  <c r="AC1398" i="2"/>
  <c r="AG1398" i="2" s="1"/>
  <c r="AB1398" i="2"/>
  <c r="AF1398" i="2" s="1"/>
  <c r="AA1398" i="2"/>
  <c r="Z1398" i="2"/>
  <c r="Y1398" i="2"/>
  <c r="S1398" i="2"/>
  <c r="O1398" i="2"/>
  <c r="AD1398" i="2" s="1"/>
  <c r="AH1398" i="2" s="1"/>
  <c r="N1398" i="2"/>
  <c r="AF1397" i="2"/>
  <c r="AE1397" i="2"/>
  <c r="AD1397" i="2"/>
  <c r="AH1397" i="2" s="1"/>
  <c r="AC1397" i="2"/>
  <c r="AG1397" i="2" s="1"/>
  <c r="AB1397" i="2"/>
  <c r="AA1397" i="2"/>
  <c r="Z1397" i="2"/>
  <c r="Y1397" i="2"/>
  <c r="S1397" i="2"/>
  <c r="O1397" i="2"/>
  <c r="N1397" i="2"/>
  <c r="AH1396" i="2"/>
  <c r="AG1396" i="2"/>
  <c r="AD1396" i="2"/>
  <c r="AC1396" i="2"/>
  <c r="AA1396" i="2"/>
  <c r="AE1396" i="2" s="1"/>
  <c r="Z1396" i="2"/>
  <c r="Y1396" i="2"/>
  <c r="S1396" i="2"/>
  <c r="O1396" i="2"/>
  <c r="N1396" i="2"/>
  <c r="AB1396" i="2" s="1"/>
  <c r="AF1396" i="2" s="1"/>
  <c r="AH1395" i="2"/>
  <c r="AE1395" i="2"/>
  <c r="AD1395" i="2"/>
  <c r="AC1395" i="2"/>
  <c r="AG1395" i="2" s="1"/>
  <c r="AA1395" i="2"/>
  <c r="Z1395" i="2"/>
  <c r="Y1395" i="2"/>
  <c r="S1395" i="2"/>
  <c r="O1395" i="2"/>
  <c r="N1395" i="2"/>
  <c r="AB1395" i="2" s="1"/>
  <c r="AF1395" i="2" s="1"/>
  <c r="AF1394" i="2"/>
  <c r="AD1394" i="2"/>
  <c r="AH1394" i="2" s="1"/>
  <c r="AC1394" i="2"/>
  <c r="AG1394" i="2" s="1"/>
  <c r="AB1394" i="2"/>
  <c r="AA1394" i="2"/>
  <c r="AE1394" i="2" s="1"/>
  <c r="Z1394" i="2"/>
  <c r="Y1394" i="2"/>
  <c r="S1394" i="2"/>
  <c r="O1394" i="2"/>
  <c r="N1394" i="2"/>
  <c r="AC1393" i="2"/>
  <c r="AG1393" i="2" s="1"/>
  <c r="AA1393" i="2"/>
  <c r="AE1393" i="2" s="1"/>
  <c r="Z1393" i="2"/>
  <c r="Y1393" i="2"/>
  <c r="S1393" i="2"/>
  <c r="O1393" i="2"/>
  <c r="AD1393" i="2" s="1"/>
  <c r="AH1393" i="2" s="1"/>
  <c r="N1393" i="2"/>
  <c r="AB1393" i="2" s="1"/>
  <c r="AF1393" i="2" s="1"/>
  <c r="AG1392" i="2"/>
  <c r="AF1392" i="2"/>
  <c r="AE1392" i="2"/>
  <c r="AD1392" i="2"/>
  <c r="AH1392" i="2" s="1"/>
  <c r="AC1392" i="2"/>
  <c r="AA1392" i="2"/>
  <c r="Z1392" i="2"/>
  <c r="Y1392" i="2"/>
  <c r="S1392" i="2"/>
  <c r="O1392" i="2"/>
  <c r="N1392" i="2"/>
  <c r="AB1392" i="2" s="1"/>
  <c r="AD1391" i="2"/>
  <c r="AH1391" i="2" s="1"/>
  <c r="AC1391" i="2"/>
  <c r="AG1391" i="2" s="1"/>
  <c r="AB1391" i="2"/>
  <c r="AF1391" i="2" s="1"/>
  <c r="AA1391" i="2"/>
  <c r="AE1391" i="2" s="1"/>
  <c r="Z1391" i="2"/>
  <c r="Y1391" i="2"/>
  <c r="S1391" i="2"/>
  <c r="O1391" i="2"/>
  <c r="N1391" i="2"/>
  <c r="AG1390" i="2"/>
  <c r="AD1390" i="2"/>
  <c r="AH1390" i="2" s="1"/>
  <c r="Z1390" i="2"/>
  <c r="Y1390" i="2"/>
  <c r="S1390" i="2"/>
  <c r="O1390" i="2"/>
  <c r="AC1390" i="2" s="1"/>
  <c r="N1390" i="2"/>
  <c r="AH1389" i="2"/>
  <c r="AE1389" i="2"/>
  <c r="AD1389" i="2"/>
  <c r="AB1389" i="2"/>
  <c r="AF1389" i="2" s="1"/>
  <c r="AA1389" i="2"/>
  <c r="Z1389" i="2"/>
  <c r="Y1389" i="2"/>
  <c r="S1389" i="2"/>
  <c r="O1389" i="2"/>
  <c r="AC1389" i="2" s="1"/>
  <c r="AG1389" i="2" s="1"/>
  <c r="N1389" i="2"/>
  <c r="AF1388" i="2"/>
  <c r="AD1388" i="2"/>
  <c r="AH1388" i="2" s="1"/>
  <c r="AC1388" i="2"/>
  <c r="AG1388" i="2" s="1"/>
  <c r="AB1388" i="2"/>
  <c r="Z1388" i="2"/>
  <c r="Y1388" i="2"/>
  <c r="S1388" i="2"/>
  <c r="O1388" i="2"/>
  <c r="N1388" i="2"/>
  <c r="AA1388" i="2" s="1"/>
  <c r="AE1388" i="2" s="1"/>
  <c r="AE1387" i="2"/>
  <c r="AC1387" i="2"/>
  <c r="AG1387" i="2" s="1"/>
  <c r="AA1387" i="2"/>
  <c r="Z1387" i="2"/>
  <c r="Y1387" i="2"/>
  <c r="S1387" i="2"/>
  <c r="O1387" i="2"/>
  <c r="AD1387" i="2" s="1"/>
  <c r="AH1387" i="2" s="1"/>
  <c r="N1387" i="2"/>
  <c r="AB1387" i="2" s="1"/>
  <c r="AF1387" i="2" s="1"/>
  <c r="AE1386" i="2"/>
  <c r="AD1386" i="2"/>
  <c r="AH1386" i="2" s="1"/>
  <c r="AC1386" i="2"/>
  <c r="AG1386" i="2" s="1"/>
  <c r="AB1386" i="2"/>
  <c r="AF1386" i="2" s="1"/>
  <c r="AA1386" i="2"/>
  <c r="Z1386" i="2"/>
  <c r="Y1386" i="2"/>
  <c r="S1386" i="2"/>
  <c r="O1386" i="2"/>
  <c r="N1386" i="2"/>
  <c r="AH1385" i="2"/>
  <c r="AF1385" i="2"/>
  <c r="AD1385" i="2"/>
  <c r="AB1385" i="2"/>
  <c r="Z1385" i="2"/>
  <c r="Y1385" i="2"/>
  <c r="S1385" i="2"/>
  <c r="O1385" i="2"/>
  <c r="AC1385" i="2" s="1"/>
  <c r="AG1385" i="2" s="1"/>
  <c r="N1385" i="2"/>
  <c r="AA1385" i="2" s="1"/>
  <c r="AE1385" i="2" s="1"/>
  <c r="AH1384" i="2"/>
  <c r="AG1384" i="2"/>
  <c r="AE1384" i="2"/>
  <c r="AD1384" i="2"/>
  <c r="AC1384" i="2"/>
  <c r="AB1384" i="2"/>
  <c r="AF1384" i="2" s="1"/>
  <c r="AA1384" i="2"/>
  <c r="Z1384" i="2"/>
  <c r="Y1384" i="2"/>
  <c r="S1384" i="2"/>
  <c r="O1384" i="2"/>
  <c r="N1384" i="2"/>
  <c r="AH1383" i="2"/>
  <c r="AC1383" i="2"/>
  <c r="AG1383" i="2" s="1"/>
  <c r="AB1383" i="2"/>
  <c r="AF1383" i="2" s="1"/>
  <c r="AA1383" i="2"/>
  <c r="AE1383" i="2" s="1"/>
  <c r="Z1383" i="2"/>
  <c r="Y1383" i="2"/>
  <c r="S1383" i="2"/>
  <c r="O1383" i="2"/>
  <c r="AD1383" i="2" s="1"/>
  <c r="N1383" i="2"/>
  <c r="AC1382" i="2"/>
  <c r="AG1382" i="2" s="1"/>
  <c r="AA1382" i="2"/>
  <c r="AE1382" i="2" s="1"/>
  <c r="Z1382" i="2"/>
  <c r="Y1382" i="2"/>
  <c r="S1382" i="2"/>
  <c r="O1382" i="2"/>
  <c r="AD1382" i="2" s="1"/>
  <c r="AH1382" i="2" s="1"/>
  <c r="N1382" i="2"/>
  <c r="AB1382" i="2" s="1"/>
  <c r="AF1382" i="2" s="1"/>
  <c r="AH1381" i="2"/>
  <c r="AG1381" i="2"/>
  <c r="AD1381" i="2"/>
  <c r="AC1381" i="2"/>
  <c r="AB1381" i="2"/>
  <c r="AF1381" i="2" s="1"/>
  <c r="AA1381" i="2"/>
  <c r="AE1381" i="2" s="1"/>
  <c r="Z1381" i="2"/>
  <c r="Y1381" i="2"/>
  <c r="S1381" i="2"/>
  <c r="O1381" i="2"/>
  <c r="N1381" i="2"/>
  <c r="AC1380" i="2"/>
  <c r="AG1380" i="2" s="1"/>
  <c r="AB1380" i="2"/>
  <c r="AF1380" i="2" s="1"/>
  <c r="AA1380" i="2"/>
  <c r="AE1380" i="2" s="1"/>
  <c r="Z1380" i="2"/>
  <c r="Y1380" i="2"/>
  <c r="S1380" i="2"/>
  <c r="O1380" i="2"/>
  <c r="AD1380" i="2" s="1"/>
  <c r="AH1380" i="2" s="1"/>
  <c r="N1380" i="2"/>
  <c r="AC1379" i="2"/>
  <c r="AG1379" i="2" s="1"/>
  <c r="AA1379" i="2"/>
  <c r="AE1379" i="2" s="1"/>
  <c r="Z1379" i="2"/>
  <c r="Y1379" i="2"/>
  <c r="S1379" i="2"/>
  <c r="O1379" i="2"/>
  <c r="AD1379" i="2" s="1"/>
  <c r="AH1379" i="2" s="1"/>
  <c r="N1379" i="2"/>
  <c r="AB1379" i="2" s="1"/>
  <c r="AF1379" i="2" s="1"/>
  <c r="AG1378" i="2"/>
  <c r="AE1378" i="2"/>
  <c r="AC1378" i="2"/>
  <c r="AA1378" i="2"/>
  <c r="Z1378" i="2"/>
  <c r="Y1378" i="2"/>
  <c r="S1378" i="2"/>
  <c r="O1378" i="2"/>
  <c r="AD1378" i="2" s="1"/>
  <c r="AH1378" i="2" s="1"/>
  <c r="N1378" i="2"/>
  <c r="AB1378" i="2" s="1"/>
  <c r="AF1378" i="2" s="1"/>
  <c r="AH1377" i="2"/>
  <c r="AF1377" i="2"/>
  <c r="AD1377" i="2"/>
  <c r="AC1377" i="2"/>
  <c r="AG1377" i="2" s="1"/>
  <c r="AB1377" i="2"/>
  <c r="Z1377" i="2"/>
  <c r="Y1377" i="2"/>
  <c r="S1377" i="2"/>
  <c r="O1377" i="2"/>
  <c r="N1377" i="2"/>
  <c r="AA1377" i="2" s="1"/>
  <c r="AE1377" i="2" s="1"/>
  <c r="AC1376" i="2"/>
  <c r="AG1376" i="2" s="1"/>
  <c r="AA1376" i="2"/>
  <c r="AE1376" i="2" s="1"/>
  <c r="Z1376" i="2"/>
  <c r="Y1376" i="2"/>
  <c r="S1376" i="2"/>
  <c r="O1376" i="2"/>
  <c r="AD1376" i="2" s="1"/>
  <c r="AH1376" i="2" s="1"/>
  <c r="N1376" i="2"/>
  <c r="AB1376" i="2" s="1"/>
  <c r="AF1376" i="2" s="1"/>
  <c r="AG1375" i="2"/>
  <c r="AE1375" i="2"/>
  <c r="AD1375" i="2"/>
  <c r="AH1375" i="2" s="1"/>
  <c r="AC1375" i="2"/>
  <c r="AA1375" i="2"/>
  <c r="Z1375" i="2"/>
  <c r="Y1375" i="2"/>
  <c r="S1375" i="2"/>
  <c r="O1375" i="2"/>
  <c r="N1375" i="2"/>
  <c r="AB1375" i="2" s="1"/>
  <c r="AF1375" i="2" s="1"/>
  <c r="AH1374" i="2"/>
  <c r="AF1374" i="2"/>
  <c r="AE1374" i="2"/>
  <c r="AD1374" i="2"/>
  <c r="AB1374" i="2"/>
  <c r="Z1374" i="2"/>
  <c r="Y1374" i="2"/>
  <c r="S1374" i="2"/>
  <c r="O1374" i="2"/>
  <c r="AC1374" i="2" s="1"/>
  <c r="AG1374" i="2" s="1"/>
  <c r="N1374" i="2"/>
  <c r="AA1374" i="2" s="1"/>
  <c r="AF1373" i="2"/>
  <c r="AC1373" i="2"/>
  <c r="AG1373" i="2" s="1"/>
  <c r="AB1373" i="2"/>
  <c r="AA1373" i="2"/>
  <c r="AE1373" i="2" s="1"/>
  <c r="Z1373" i="2"/>
  <c r="Y1373" i="2"/>
  <c r="S1373" i="2"/>
  <c r="O1373" i="2"/>
  <c r="AD1373" i="2" s="1"/>
  <c r="AH1373" i="2" s="1"/>
  <c r="N1373" i="2"/>
  <c r="AG1372" i="2"/>
  <c r="AF1372" i="2"/>
  <c r="AD1372" i="2"/>
  <c r="AH1372" i="2" s="1"/>
  <c r="AB1372" i="2"/>
  <c r="Z1372" i="2"/>
  <c r="Y1372" i="2"/>
  <c r="S1372" i="2"/>
  <c r="O1372" i="2"/>
  <c r="AC1372" i="2" s="1"/>
  <c r="N1372" i="2"/>
  <c r="AA1372" i="2" s="1"/>
  <c r="AE1372" i="2" s="1"/>
  <c r="AH1371" i="2"/>
  <c r="AF1371" i="2"/>
  <c r="AE1371" i="2"/>
  <c r="AC1371" i="2"/>
  <c r="AG1371" i="2" s="1"/>
  <c r="AB1371" i="2"/>
  <c r="AA1371" i="2"/>
  <c r="Z1371" i="2"/>
  <c r="Y1371" i="2"/>
  <c r="S1371" i="2"/>
  <c r="O1371" i="2"/>
  <c r="AD1371" i="2" s="1"/>
  <c r="N1371" i="2"/>
  <c r="AD1370" i="2"/>
  <c r="AH1370" i="2" s="1"/>
  <c r="AC1370" i="2"/>
  <c r="AG1370" i="2" s="1"/>
  <c r="AA1370" i="2"/>
  <c r="AE1370" i="2" s="1"/>
  <c r="Z1370" i="2"/>
  <c r="Y1370" i="2"/>
  <c r="S1370" i="2"/>
  <c r="O1370" i="2"/>
  <c r="N1370" i="2"/>
  <c r="AB1370" i="2" s="1"/>
  <c r="AF1370" i="2" s="1"/>
  <c r="AF1369" i="2"/>
  <c r="AC1369" i="2"/>
  <c r="AG1369" i="2" s="1"/>
  <c r="AA1369" i="2"/>
  <c r="AE1369" i="2" s="1"/>
  <c r="Z1369" i="2"/>
  <c r="Y1369" i="2"/>
  <c r="S1369" i="2"/>
  <c r="O1369" i="2"/>
  <c r="AD1369" i="2" s="1"/>
  <c r="AH1369" i="2" s="1"/>
  <c r="N1369" i="2"/>
  <c r="AB1369" i="2" s="1"/>
  <c r="AH1368" i="2"/>
  <c r="AF1368" i="2"/>
  <c r="AD1368" i="2"/>
  <c r="AB1368" i="2"/>
  <c r="AA1368" i="2"/>
  <c r="AE1368" i="2" s="1"/>
  <c r="Z1368" i="2"/>
  <c r="Y1368" i="2"/>
  <c r="S1368" i="2"/>
  <c r="O1368" i="2"/>
  <c r="AC1368" i="2" s="1"/>
  <c r="AG1368" i="2" s="1"/>
  <c r="N1368" i="2"/>
  <c r="AF1367" i="2"/>
  <c r="AD1367" i="2"/>
  <c r="AH1367" i="2" s="1"/>
  <c r="AC1367" i="2"/>
  <c r="AG1367" i="2" s="1"/>
  <c r="AB1367" i="2"/>
  <c r="AA1367" i="2"/>
  <c r="AE1367" i="2" s="1"/>
  <c r="Z1367" i="2"/>
  <c r="Y1367" i="2"/>
  <c r="S1367" i="2"/>
  <c r="O1367" i="2"/>
  <c r="N1367" i="2"/>
  <c r="AH1366" i="2"/>
  <c r="AD1366" i="2"/>
  <c r="AC1366" i="2"/>
  <c r="AG1366" i="2" s="1"/>
  <c r="AB1366" i="2"/>
  <c r="AF1366" i="2" s="1"/>
  <c r="AA1366" i="2"/>
  <c r="AE1366" i="2" s="1"/>
  <c r="Z1366" i="2"/>
  <c r="Y1366" i="2"/>
  <c r="S1366" i="2"/>
  <c r="O1366" i="2"/>
  <c r="N1366" i="2"/>
  <c r="AH1365" i="2"/>
  <c r="AF1365" i="2"/>
  <c r="AD1365" i="2"/>
  <c r="AC1365" i="2"/>
  <c r="AG1365" i="2" s="1"/>
  <c r="AB1365" i="2"/>
  <c r="Z1365" i="2"/>
  <c r="Y1365" i="2"/>
  <c r="S1365" i="2"/>
  <c r="O1365" i="2"/>
  <c r="N1365" i="2"/>
  <c r="AA1365" i="2" s="1"/>
  <c r="AE1365" i="2" s="1"/>
  <c r="AH1364" i="2"/>
  <c r="AG1364" i="2"/>
  <c r="AF1364" i="2"/>
  <c r="AD1364" i="2"/>
  <c r="AC1364" i="2"/>
  <c r="AB1364" i="2"/>
  <c r="AA1364" i="2"/>
  <c r="AE1364" i="2" s="1"/>
  <c r="Z1364" i="2"/>
  <c r="Y1364" i="2"/>
  <c r="S1364" i="2"/>
  <c r="O1364" i="2"/>
  <c r="N1364" i="2"/>
  <c r="AC1363" i="2"/>
  <c r="AG1363" i="2" s="1"/>
  <c r="AB1363" i="2"/>
  <c r="AF1363" i="2" s="1"/>
  <c r="AA1363" i="2"/>
  <c r="AE1363" i="2" s="1"/>
  <c r="Z1363" i="2"/>
  <c r="Y1363" i="2"/>
  <c r="S1363" i="2"/>
  <c r="O1363" i="2"/>
  <c r="AD1363" i="2" s="1"/>
  <c r="AH1363" i="2" s="1"/>
  <c r="N1363" i="2"/>
  <c r="AG1362" i="2"/>
  <c r="AF1362" i="2"/>
  <c r="AE1362" i="2"/>
  <c r="AC1362" i="2"/>
  <c r="AB1362" i="2"/>
  <c r="AA1362" i="2"/>
  <c r="Z1362" i="2"/>
  <c r="Y1362" i="2"/>
  <c r="S1362" i="2"/>
  <c r="O1362" i="2"/>
  <c r="AD1362" i="2" s="1"/>
  <c r="AH1362" i="2" s="1"/>
  <c r="N1362" i="2"/>
  <c r="AG1361" i="2"/>
  <c r="AF1361" i="2"/>
  <c r="AE1361" i="2"/>
  <c r="AD1361" i="2"/>
  <c r="AH1361" i="2" s="1"/>
  <c r="AC1361" i="2"/>
  <c r="AB1361" i="2"/>
  <c r="Z1361" i="2"/>
  <c r="Y1361" i="2"/>
  <c r="S1361" i="2"/>
  <c r="O1361" i="2"/>
  <c r="N1361" i="2"/>
  <c r="AA1361" i="2" s="1"/>
  <c r="AG1360" i="2"/>
  <c r="AE1360" i="2"/>
  <c r="AC1360" i="2"/>
  <c r="AB1360" i="2"/>
  <c r="AF1360" i="2" s="1"/>
  <c r="AA1360" i="2"/>
  <c r="Z1360" i="2"/>
  <c r="Y1360" i="2"/>
  <c r="S1360" i="2"/>
  <c r="O1360" i="2"/>
  <c r="AD1360" i="2" s="1"/>
  <c r="AH1360" i="2" s="1"/>
  <c r="N1360" i="2"/>
  <c r="AG1359" i="2"/>
  <c r="AC1359" i="2"/>
  <c r="AA1359" i="2"/>
  <c r="AE1359" i="2" s="1"/>
  <c r="Z1359" i="2"/>
  <c r="Y1359" i="2"/>
  <c r="S1359" i="2"/>
  <c r="O1359" i="2"/>
  <c r="AD1359" i="2" s="1"/>
  <c r="AH1359" i="2" s="1"/>
  <c r="N1359" i="2"/>
  <c r="AB1359" i="2" s="1"/>
  <c r="AF1359" i="2" s="1"/>
  <c r="AH1358" i="2"/>
  <c r="AE1358" i="2"/>
  <c r="AC1358" i="2"/>
  <c r="AG1358" i="2" s="1"/>
  <c r="AB1358" i="2"/>
  <c r="AF1358" i="2" s="1"/>
  <c r="AA1358" i="2"/>
  <c r="Z1358" i="2"/>
  <c r="Y1358" i="2"/>
  <c r="S1358" i="2"/>
  <c r="O1358" i="2"/>
  <c r="AD1358" i="2" s="1"/>
  <c r="N1358" i="2"/>
  <c r="AG1357" i="2"/>
  <c r="AD1357" i="2"/>
  <c r="AH1357" i="2" s="1"/>
  <c r="AC1357" i="2"/>
  <c r="AA1357" i="2"/>
  <c r="AE1357" i="2" s="1"/>
  <c r="Z1357" i="2"/>
  <c r="Y1357" i="2"/>
  <c r="S1357" i="2"/>
  <c r="O1357" i="2"/>
  <c r="N1357" i="2"/>
  <c r="AB1357" i="2" s="1"/>
  <c r="AF1357" i="2" s="1"/>
  <c r="AF1356" i="2"/>
  <c r="AD1356" i="2"/>
  <c r="AH1356" i="2" s="1"/>
  <c r="AC1356" i="2"/>
  <c r="AG1356" i="2" s="1"/>
  <c r="AB1356" i="2"/>
  <c r="Z1356" i="2"/>
  <c r="Y1356" i="2"/>
  <c r="S1356" i="2"/>
  <c r="O1356" i="2"/>
  <c r="N1356" i="2"/>
  <c r="AA1356" i="2" s="1"/>
  <c r="AE1356" i="2" s="1"/>
  <c r="AF1355" i="2"/>
  <c r="AE1355" i="2"/>
  <c r="AC1355" i="2"/>
  <c r="AG1355" i="2" s="1"/>
  <c r="AB1355" i="2"/>
  <c r="AA1355" i="2"/>
  <c r="Z1355" i="2"/>
  <c r="Y1355" i="2"/>
  <c r="S1355" i="2"/>
  <c r="O1355" i="2"/>
  <c r="AD1355" i="2" s="1"/>
  <c r="AH1355" i="2" s="1"/>
  <c r="N1355" i="2"/>
  <c r="AG1354" i="2"/>
  <c r="AF1354" i="2"/>
  <c r="AE1354" i="2"/>
  <c r="AD1354" i="2"/>
  <c r="AH1354" i="2" s="1"/>
  <c r="AC1354" i="2"/>
  <c r="AB1354" i="2"/>
  <c r="AA1354" i="2"/>
  <c r="Z1354" i="2"/>
  <c r="Y1354" i="2"/>
  <c r="S1354" i="2"/>
  <c r="O1354" i="2"/>
  <c r="N1354" i="2"/>
  <c r="AH1353" i="2"/>
  <c r="AE1353" i="2"/>
  <c r="AC1353" i="2"/>
  <c r="AG1353" i="2" s="1"/>
  <c r="AB1353" i="2"/>
  <c r="AF1353" i="2" s="1"/>
  <c r="AA1353" i="2"/>
  <c r="Z1353" i="2"/>
  <c r="Y1353" i="2"/>
  <c r="S1353" i="2"/>
  <c r="O1353" i="2"/>
  <c r="AD1353" i="2" s="1"/>
  <c r="N1353" i="2"/>
  <c r="AG1352" i="2"/>
  <c r="AE1352" i="2"/>
  <c r="AC1352" i="2"/>
  <c r="AA1352" i="2"/>
  <c r="Z1352" i="2"/>
  <c r="Y1352" i="2"/>
  <c r="S1352" i="2"/>
  <c r="O1352" i="2"/>
  <c r="AD1352" i="2" s="1"/>
  <c r="AH1352" i="2" s="1"/>
  <c r="N1352" i="2"/>
  <c r="AB1352" i="2" s="1"/>
  <c r="AF1352" i="2" s="1"/>
  <c r="AG1351" i="2"/>
  <c r="AE1351" i="2"/>
  <c r="AC1351" i="2"/>
  <c r="AA1351" i="2"/>
  <c r="Z1351" i="2"/>
  <c r="Y1351" i="2"/>
  <c r="S1351" i="2"/>
  <c r="O1351" i="2"/>
  <c r="AD1351" i="2" s="1"/>
  <c r="AH1351" i="2" s="1"/>
  <c r="N1351" i="2"/>
  <c r="AB1351" i="2" s="1"/>
  <c r="AF1351" i="2" s="1"/>
  <c r="AH1350" i="2"/>
  <c r="AE1350" i="2"/>
  <c r="AD1350" i="2"/>
  <c r="AC1350" i="2"/>
  <c r="AG1350" i="2" s="1"/>
  <c r="AB1350" i="2"/>
  <c r="AF1350" i="2" s="1"/>
  <c r="AA1350" i="2"/>
  <c r="Z1350" i="2"/>
  <c r="Y1350" i="2"/>
  <c r="S1350" i="2"/>
  <c r="O1350" i="2"/>
  <c r="N1350" i="2"/>
  <c r="AG1349" i="2"/>
  <c r="AC1349" i="2"/>
  <c r="AA1349" i="2"/>
  <c r="AE1349" i="2" s="1"/>
  <c r="Z1349" i="2"/>
  <c r="Y1349" i="2"/>
  <c r="S1349" i="2"/>
  <c r="O1349" i="2"/>
  <c r="AD1349" i="2" s="1"/>
  <c r="AH1349" i="2" s="1"/>
  <c r="N1349" i="2"/>
  <c r="AB1349" i="2" s="1"/>
  <c r="AF1349" i="2" s="1"/>
  <c r="AH1348" i="2"/>
  <c r="AG1348" i="2"/>
  <c r="AD1348" i="2"/>
  <c r="AC1348" i="2"/>
  <c r="AA1348" i="2"/>
  <c r="AE1348" i="2" s="1"/>
  <c r="Z1348" i="2"/>
  <c r="Y1348" i="2"/>
  <c r="S1348" i="2"/>
  <c r="O1348" i="2"/>
  <c r="N1348" i="2"/>
  <c r="AB1348" i="2" s="1"/>
  <c r="AF1348" i="2" s="1"/>
  <c r="AD1347" i="2"/>
  <c r="AH1347" i="2" s="1"/>
  <c r="AC1347" i="2"/>
  <c r="AG1347" i="2" s="1"/>
  <c r="AB1347" i="2"/>
  <c r="AF1347" i="2" s="1"/>
  <c r="AA1347" i="2"/>
  <c r="AE1347" i="2" s="1"/>
  <c r="Z1347" i="2"/>
  <c r="Y1347" i="2"/>
  <c r="S1347" i="2"/>
  <c r="O1347" i="2"/>
  <c r="N1347" i="2"/>
  <c r="AC1346" i="2"/>
  <c r="AG1346" i="2" s="1"/>
  <c r="AA1346" i="2"/>
  <c r="AE1346" i="2" s="1"/>
  <c r="Z1346" i="2"/>
  <c r="Y1346" i="2"/>
  <c r="S1346" i="2"/>
  <c r="O1346" i="2"/>
  <c r="AD1346" i="2" s="1"/>
  <c r="AH1346" i="2" s="1"/>
  <c r="N1346" i="2"/>
  <c r="AB1346" i="2" s="1"/>
  <c r="AF1346" i="2" s="1"/>
  <c r="AF1345" i="2"/>
  <c r="AD1345" i="2"/>
  <c r="AH1345" i="2" s="1"/>
  <c r="AC1345" i="2"/>
  <c r="AG1345" i="2" s="1"/>
  <c r="AB1345" i="2"/>
  <c r="Z1345" i="2"/>
  <c r="Y1345" i="2"/>
  <c r="S1345" i="2"/>
  <c r="O1345" i="2"/>
  <c r="N1345" i="2"/>
  <c r="AA1345" i="2" s="1"/>
  <c r="AE1345" i="2" s="1"/>
  <c r="AH1344" i="2"/>
  <c r="AF1344" i="2"/>
  <c r="AD1344" i="2"/>
  <c r="AC1344" i="2"/>
  <c r="AG1344" i="2" s="1"/>
  <c r="AB1344" i="2"/>
  <c r="AA1344" i="2"/>
  <c r="AE1344" i="2" s="1"/>
  <c r="Z1344" i="2"/>
  <c r="Y1344" i="2"/>
  <c r="S1344" i="2"/>
  <c r="O1344" i="2"/>
  <c r="N1344" i="2"/>
  <c r="AG1343" i="2"/>
  <c r="AE1343" i="2"/>
  <c r="AC1343" i="2"/>
  <c r="AB1343" i="2"/>
  <c r="AF1343" i="2" s="1"/>
  <c r="AA1343" i="2"/>
  <c r="Z1343" i="2"/>
  <c r="Y1343" i="2"/>
  <c r="S1343" i="2"/>
  <c r="O1343" i="2"/>
  <c r="AD1343" i="2" s="1"/>
  <c r="AH1343" i="2" s="1"/>
  <c r="N1343" i="2"/>
  <c r="AH1342" i="2"/>
  <c r="AG1342" i="2"/>
  <c r="AE1342" i="2"/>
  <c r="AC1342" i="2"/>
  <c r="AA1342" i="2"/>
  <c r="Z1342" i="2"/>
  <c r="Y1342" i="2"/>
  <c r="S1342" i="2"/>
  <c r="O1342" i="2"/>
  <c r="AD1342" i="2" s="1"/>
  <c r="N1342" i="2"/>
  <c r="AB1342" i="2" s="1"/>
  <c r="AF1342" i="2" s="1"/>
  <c r="AG1341" i="2"/>
  <c r="AC1341" i="2"/>
  <c r="AA1341" i="2"/>
  <c r="AE1341" i="2" s="1"/>
  <c r="Z1341" i="2"/>
  <c r="Y1341" i="2"/>
  <c r="S1341" i="2"/>
  <c r="O1341" i="2"/>
  <c r="AD1341" i="2" s="1"/>
  <c r="AH1341" i="2" s="1"/>
  <c r="N1341" i="2"/>
  <c r="AB1341" i="2" s="1"/>
  <c r="AF1341" i="2" s="1"/>
  <c r="AG1340" i="2"/>
  <c r="AE1340" i="2"/>
  <c r="AD1340" i="2"/>
  <c r="AH1340" i="2" s="1"/>
  <c r="AC1340" i="2"/>
  <c r="AA1340" i="2"/>
  <c r="Z1340" i="2"/>
  <c r="Y1340" i="2"/>
  <c r="S1340" i="2"/>
  <c r="O1340" i="2"/>
  <c r="N1340" i="2"/>
  <c r="AB1340" i="2" s="1"/>
  <c r="AF1340" i="2" s="1"/>
  <c r="AH1339" i="2"/>
  <c r="AD1339" i="2"/>
  <c r="AC1339" i="2"/>
  <c r="AG1339" i="2" s="1"/>
  <c r="AB1339" i="2"/>
  <c r="AF1339" i="2" s="1"/>
  <c r="AA1339" i="2"/>
  <c r="AE1339" i="2" s="1"/>
  <c r="Z1339" i="2"/>
  <c r="Y1339" i="2"/>
  <c r="S1339" i="2"/>
  <c r="O1339" i="2"/>
  <c r="N1339" i="2"/>
  <c r="AH1338" i="2"/>
  <c r="AD1338" i="2"/>
  <c r="AB1338" i="2"/>
  <c r="AF1338" i="2" s="1"/>
  <c r="Z1338" i="2"/>
  <c r="Y1338" i="2"/>
  <c r="S1338" i="2"/>
  <c r="O1338" i="2"/>
  <c r="AC1338" i="2" s="1"/>
  <c r="AG1338" i="2" s="1"/>
  <c r="N1338" i="2"/>
  <c r="AA1338" i="2" s="1"/>
  <c r="AE1338" i="2" s="1"/>
  <c r="AH1337" i="2"/>
  <c r="AE1337" i="2"/>
  <c r="AD1337" i="2"/>
  <c r="AC1337" i="2"/>
  <c r="AG1337" i="2" s="1"/>
  <c r="AB1337" i="2"/>
  <c r="AF1337" i="2" s="1"/>
  <c r="AA1337" i="2"/>
  <c r="Z1337" i="2"/>
  <c r="Y1337" i="2"/>
  <c r="S1337" i="2"/>
  <c r="O1337" i="2"/>
  <c r="N1337" i="2"/>
  <c r="AD1336" i="2"/>
  <c r="AH1336" i="2" s="1"/>
  <c r="AC1336" i="2"/>
  <c r="AG1336" i="2" s="1"/>
  <c r="AB1336" i="2"/>
  <c r="AF1336" i="2" s="1"/>
  <c r="AA1336" i="2"/>
  <c r="AE1336" i="2" s="1"/>
  <c r="Z1336" i="2"/>
  <c r="Y1336" i="2"/>
  <c r="S1336" i="2"/>
  <c r="O1336" i="2"/>
  <c r="N1336" i="2"/>
  <c r="AE1335" i="2"/>
  <c r="AC1335" i="2"/>
  <c r="AG1335" i="2" s="1"/>
  <c r="AA1335" i="2"/>
  <c r="Z1335" i="2"/>
  <c r="Y1335" i="2"/>
  <c r="S1335" i="2"/>
  <c r="O1335" i="2"/>
  <c r="AD1335" i="2" s="1"/>
  <c r="AH1335" i="2" s="1"/>
  <c r="N1335" i="2"/>
  <c r="AB1335" i="2" s="1"/>
  <c r="AF1335" i="2" s="1"/>
  <c r="AG1334" i="2"/>
  <c r="AF1334" i="2"/>
  <c r="AE1334" i="2"/>
  <c r="AD1334" i="2"/>
  <c r="AH1334" i="2" s="1"/>
  <c r="AC1334" i="2"/>
  <c r="AB1334" i="2"/>
  <c r="AA1334" i="2"/>
  <c r="Z1334" i="2"/>
  <c r="Y1334" i="2"/>
  <c r="S1334" i="2"/>
  <c r="O1334" i="2"/>
  <c r="N1334" i="2"/>
  <c r="AD1333" i="2"/>
  <c r="AH1333" i="2" s="1"/>
  <c r="AC1333" i="2"/>
  <c r="AG1333" i="2" s="1"/>
  <c r="AB1333" i="2"/>
  <c r="AF1333" i="2" s="1"/>
  <c r="AA1333" i="2"/>
  <c r="AE1333" i="2" s="1"/>
  <c r="Z1333" i="2"/>
  <c r="Y1333" i="2"/>
  <c r="S1333" i="2"/>
  <c r="O1333" i="2"/>
  <c r="N1333" i="2"/>
  <c r="AH1332" i="2"/>
  <c r="AF1332" i="2"/>
  <c r="AD1332" i="2"/>
  <c r="AB1332" i="2"/>
  <c r="AA1332" i="2"/>
  <c r="AE1332" i="2" s="1"/>
  <c r="Z1332" i="2"/>
  <c r="Y1332" i="2"/>
  <c r="S1332" i="2"/>
  <c r="O1332" i="2"/>
  <c r="AC1332" i="2" s="1"/>
  <c r="AG1332" i="2" s="1"/>
  <c r="N1332" i="2"/>
  <c r="AH1331" i="2"/>
  <c r="AG1331" i="2"/>
  <c r="AF1331" i="2"/>
  <c r="AD1331" i="2"/>
  <c r="AC1331" i="2"/>
  <c r="AB1331" i="2"/>
  <c r="AA1331" i="2"/>
  <c r="AE1331" i="2" s="1"/>
  <c r="Z1331" i="2"/>
  <c r="Y1331" i="2"/>
  <c r="S1331" i="2"/>
  <c r="O1331" i="2"/>
  <c r="N1331" i="2"/>
  <c r="AD1330" i="2"/>
  <c r="AH1330" i="2" s="1"/>
  <c r="AC1330" i="2"/>
  <c r="AG1330" i="2" s="1"/>
  <c r="AA1330" i="2"/>
  <c r="AE1330" i="2" s="1"/>
  <c r="Z1330" i="2"/>
  <c r="Y1330" i="2"/>
  <c r="S1330" i="2"/>
  <c r="O1330" i="2"/>
  <c r="N1330" i="2"/>
  <c r="AB1330" i="2" s="1"/>
  <c r="AF1330" i="2" s="1"/>
  <c r="AD1329" i="2"/>
  <c r="AH1329" i="2" s="1"/>
  <c r="AC1329" i="2"/>
  <c r="AG1329" i="2" s="1"/>
  <c r="AB1329" i="2"/>
  <c r="AF1329" i="2" s="1"/>
  <c r="AA1329" i="2"/>
  <c r="AE1329" i="2" s="1"/>
  <c r="Z1329" i="2"/>
  <c r="Y1329" i="2"/>
  <c r="S1329" i="2"/>
  <c r="O1329" i="2"/>
  <c r="N1329" i="2"/>
  <c r="AH1328" i="2"/>
  <c r="AC1328" i="2"/>
  <c r="AG1328" i="2" s="1"/>
  <c r="AA1328" i="2"/>
  <c r="AE1328" i="2" s="1"/>
  <c r="Z1328" i="2"/>
  <c r="Y1328" i="2"/>
  <c r="S1328" i="2"/>
  <c r="O1328" i="2"/>
  <c r="AD1328" i="2" s="1"/>
  <c r="N1328" i="2"/>
  <c r="AB1328" i="2" s="1"/>
  <c r="AF1328" i="2" s="1"/>
  <c r="AE1327" i="2"/>
  <c r="AD1327" i="2"/>
  <c r="AH1327" i="2" s="1"/>
  <c r="AC1327" i="2"/>
  <c r="AG1327" i="2" s="1"/>
  <c r="AB1327" i="2"/>
  <c r="AF1327" i="2" s="1"/>
  <c r="AA1327" i="2"/>
  <c r="Z1327" i="2"/>
  <c r="Y1327" i="2"/>
  <c r="S1327" i="2"/>
  <c r="O1327" i="2"/>
  <c r="N1327" i="2"/>
  <c r="AF1326" i="2"/>
  <c r="AD1326" i="2"/>
  <c r="AH1326" i="2" s="1"/>
  <c r="AB1326" i="2"/>
  <c r="AA1326" i="2"/>
  <c r="AE1326" i="2" s="1"/>
  <c r="Z1326" i="2"/>
  <c r="Y1326" i="2"/>
  <c r="S1326" i="2"/>
  <c r="O1326" i="2"/>
  <c r="AC1326" i="2" s="1"/>
  <c r="AG1326" i="2" s="1"/>
  <c r="N1326" i="2"/>
  <c r="AH1325" i="2"/>
  <c r="AG1325" i="2"/>
  <c r="AF1325" i="2"/>
  <c r="AE1325" i="2"/>
  <c r="AC1325" i="2"/>
  <c r="AB1325" i="2"/>
  <c r="AA1325" i="2"/>
  <c r="Z1325" i="2"/>
  <c r="Y1325" i="2"/>
  <c r="S1325" i="2"/>
  <c r="O1325" i="2"/>
  <c r="AD1325" i="2" s="1"/>
  <c r="N1325" i="2"/>
  <c r="AF1324" i="2"/>
  <c r="AC1324" i="2"/>
  <c r="AG1324" i="2" s="1"/>
  <c r="AA1324" i="2"/>
  <c r="AE1324" i="2" s="1"/>
  <c r="Z1324" i="2"/>
  <c r="Y1324" i="2"/>
  <c r="S1324" i="2"/>
  <c r="O1324" i="2"/>
  <c r="AD1324" i="2" s="1"/>
  <c r="AH1324" i="2" s="1"/>
  <c r="N1324" i="2"/>
  <c r="AB1324" i="2" s="1"/>
  <c r="AH1323" i="2"/>
  <c r="AD1323" i="2"/>
  <c r="AC1323" i="2"/>
  <c r="AG1323" i="2" s="1"/>
  <c r="AA1323" i="2"/>
  <c r="AE1323" i="2" s="1"/>
  <c r="Z1323" i="2"/>
  <c r="Y1323" i="2"/>
  <c r="S1323" i="2"/>
  <c r="O1323" i="2"/>
  <c r="N1323" i="2"/>
  <c r="AB1323" i="2" s="1"/>
  <c r="AF1323" i="2" s="1"/>
  <c r="AH1322" i="2"/>
  <c r="AE1322" i="2"/>
  <c r="AD1322" i="2"/>
  <c r="AC1322" i="2"/>
  <c r="AG1322" i="2" s="1"/>
  <c r="AA1322" i="2"/>
  <c r="Z1322" i="2"/>
  <c r="Y1322" i="2"/>
  <c r="S1322" i="2"/>
  <c r="O1322" i="2"/>
  <c r="N1322" i="2"/>
  <c r="AB1322" i="2" s="1"/>
  <c r="AF1322" i="2" s="1"/>
  <c r="AE1321" i="2"/>
  <c r="AC1321" i="2"/>
  <c r="AG1321" i="2" s="1"/>
  <c r="AA1321" i="2"/>
  <c r="Z1321" i="2"/>
  <c r="Y1321" i="2"/>
  <c r="S1321" i="2"/>
  <c r="O1321" i="2"/>
  <c r="AD1321" i="2" s="1"/>
  <c r="AH1321" i="2" s="1"/>
  <c r="N1321" i="2"/>
  <c r="AB1321" i="2" s="1"/>
  <c r="AF1321" i="2" s="1"/>
  <c r="AG1320" i="2"/>
  <c r="AF1320" i="2"/>
  <c r="AE1320" i="2"/>
  <c r="AD1320" i="2"/>
  <c r="AH1320" i="2" s="1"/>
  <c r="AC1320" i="2"/>
  <c r="AB1320" i="2"/>
  <c r="AA1320" i="2"/>
  <c r="Z1320" i="2"/>
  <c r="Y1320" i="2"/>
  <c r="S1320" i="2"/>
  <c r="O1320" i="2"/>
  <c r="N1320" i="2"/>
  <c r="AG1319" i="2"/>
  <c r="AF1319" i="2"/>
  <c r="AE1319" i="2"/>
  <c r="AD1319" i="2"/>
  <c r="AH1319" i="2" s="1"/>
  <c r="AC1319" i="2"/>
  <c r="AB1319" i="2"/>
  <c r="AA1319" i="2"/>
  <c r="Z1319" i="2"/>
  <c r="Y1319" i="2"/>
  <c r="S1319" i="2"/>
  <c r="O1319" i="2"/>
  <c r="N1319" i="2"/>
  <c r="AH1318" i="2"/>
  <c r="AC1318" i="2"/>
  <c r="AG1318" i="2" s="1"/>
  <c r="AB1318" i="2"/>
  <c r="AF1318" i="2" s="1"/>
  <c r="AA1318" i="2"/>
  <c r="AE1318" i="2" s="1"/>
  <c r="Z1318" i="2"/>
  <c r="Y1318" i="2"/>
  <c r="S1318" i="2"/>
  <c r="O1318" i="2"/>
  <c r="AD1318" i="2" s="1"/>
  <c r="N1318" i="2"/>
  <c r="AG1317" i="2"/>
  <c r="AC1317" i="2"/>
  <c r="AB1317" i="2"/>
  <c r="AF1317" i="2" s="1"/>
  <c r="AA1317" i="2"/>
  <c r="AE1317" i="2" s="1"/>
  <c r="Z1317" i="2"/>
  <c r="Y1317" i="2"/>
  <c r="S1317" i="2"/>
  <c r="O1317" i="2"/>
  <c r="AD1317" i="2" s="1"/>
  <c r="AH1317" i="2" s="1"/>
  <c r="N1317" i="2"/>
  <c r="AG1316" i="2"/>
  <c r="AF1316" i="2"/>
  <c r="AE1316" i="2"/>
  <c r="AC1316" i="2"/>
  <c r="AB1316" i="2"/>
  <c r="AA1316" i="2"/>
  <c r="Z1316" i="2"/>
  <c r="Y1316" i="2"/>
  <c r="S1316" i="2"/>
  <c r="O1316" i="2"/>
  <c r="AD1316" i="2" s="1"/>
  <c r="AH1316" i="2" s="1"/>
  <c r="N1316" i="2"/>
  <c r="AF1315" i="2"/>
  <c r="AC1315" i="2"/>
  <c r="AG1315" i="2" s="1"/>
  <c r="AB1315" i="2"/>
  <c r="AA1315" i="2"/>
  <c r="AE1315" i="2" s="1"/>
  <c r="Z1315" i="2"/>
  <c r="Y1315" i="2"/>
  <c r="S1315" i="2"/>
  <c r="O1315" i="2"/>
  <c r="AD1315" i="2" s="1"/>
  <c r="AH1315" i="2" s="1"/>
  <c r="N1315" i="2"/>
  <c r="AG1314" i="2"/>
  <c r="AC1314" i="2"/>
  <c r="AA1314" i="2"/>
  <c r="AE1314" i="2" s="1"/>
  <c r="Z1314" i="2"/>
  <c r="Y1314" i="2"/>
  <c r="S1314" i="2"/>
  <c r="O1314" i="2"/>
  <c r="AD1314" i="2" s="1"/>
  <c r="AH1314" i="2" s="1"/>
  <c r="N1314" i="2"/>
  <c r="AB1314" i="2" s="1"/>
  <c r="AF1314" i="2" s="1"/>
  <c r="AH1313" i="2"/>
  <c r="AG1313" i="2"/>
  <c r="AF1313" i="2"/>
  <c r="AE1313" i="2"/>
  <c r="AD1313" i="2"/>
  <c r="AC1313" i="2"/>
  <c r="AB1313" i="2"/>
  <c r="Z1313" i="2"/>
  <c r="Y1313" i="2"/>
  <c r="S1313" i="2"/>
  <c r="O1313" i="2"/>
  <c r="N1313" i="2"/>
  <c r="AA1313" i="2" s="1"/>
  <c r="AG1312" i="2"/>
  <c r="AD1312" i="2"/>
  <c r="AH1312" i="2" s="1"/>
  <c r="AC1312" i="2"/>
  <c r="AB1312" i="2"/>
  <c r="AF1312" i="2" s="1"/>
  <c r="AA1312" i="2"/>
  <c r="AE1312" i="2" s="1"/>
  <c r="Z1312" i="2"/>
  <c r="Y1312" i="2"/>
  <c r="S1312" i="2"/>
  <c r="O1312" i="2"/>
  <c r="N1312" i="2"/>
  <c r="AG1311" i="2"/>
  <c r="AC1311" i="2"/>
  <c r="AA1311" i="2"/>
  <c r="AE1311" i="2" s="1"/>
  <c r="Z1311" i="2"/>
  <c r="Y1311" i="2"/>
  <c r="S1311" i="2"/>
  <c r="O1311" i="2"/>
  <c r="AD1311" i="2" s="1"/>
  <c r="AH1311" i="2" s="1"/>
  <c r="N1311" i="2"/>
  <c r="AB1311" i="2" s="1"/>
  <c r="AF1311" i="2" s="1"/>
  <c r="AH1310" i="2"/>
  <c r="AG1310" i="2"/>
  <c r="AE1310" i="2"/>
  <c r="AD1310" i="2"/>
  <c r="AC1310" i="2"/>
  <c r="AB1310" i="2"/>
  <c r="AF1310" i="2" s="1"/>
  <c r="Z1310" i="2"/>
  <c r="Y1310" i="2"/>
  <c r="S1310" i="2"/>
  <c r="O1310" i="2"/>
  <c r="N1310" i="2"/>
  <c r="AA1310" i="2" s="1"/>
  <c r="AH1309" i="2"/>
  <c r="AD1309" i="2"/>
  <c r="AB1309" i="2"/>
  <c r="AF1309" i="2" s="1"/>
  <c r="Z1309" i="2"/>
  <c r="Y1309" i="2"/>
  <c r="S1309" i="2"/>
  <c r="O1309" i="2"/>
  <c r="AC1309" i="2" s="1"/>
  <c r="AG1309" i="2" s="1"/>
  <c r="N1309" i="2"/>
  <c r="AA1309" i="2" s="1"/>
  <c r="AE1309" i="2" s="1"/>
  <c r="AF1308" i="2"/>
  <c r="AD1308" i="2"/>
  <c r="AH1308" i="2" s="1"/>
  <c r="AC1308" i="2"/>
  <c r="AG1308" i="2" s="1"/>
  <c r="AB1308" i="2"/>
  <c r="AA1308" i="2"/>
  <c r="AE1308" i="2" s="1"/>
  <c r="Z1308" i="2"/>
  <c r="Y1308" i="2"/>
  <c r="S1308" i="2"/>
  <c r="O1308" i="2"/>
  <c r="N1308" i="2"/>
  <c r="AH1307" i="2"/>
  <c r="AG1307" i="2"/>
  <c r="AF1307" i="2"/>
  <c r="AE1307" i="2"/>
  <c r="AC1307" i="2"/>
  <c r="AB1307" i="2"/>
  <c r="AA1307" i="2"/>
  <c r="Z1307" i="2"/>
  <c r="Y1307" i="2"/>
  <c r="S1307" i="2"/>
  <c r="O1307" i="2"/>
  <c r="AD1307" i="2" s="1"/>
  <c r="N1307" i="2"/>
  <c r="AF1306" i="2"/>
  <c r="AC1306" i="2"/>
  <c r="AG1306" i="2" s="1"/>
  <c r="AA1306" i="2"/>
  <c r="AE1306" i="2" s="1"/>
  <c r="Z1306" i="2"/>
  <c r="Y1306" i="2"/>
  <c r="S1306" i="2"/>
  <c r="O1306" i="2"/>
  <c r="AD1306" i="2" s="1"/>
  <c r="AH1306" i="2" s="1"/>
  <c r="N1306" i="2"/>
  <c r="AB1306" i="2" s="1"/>
  <c r="AG1305" i="2"/>
  <c r="AE1305" i="2"/>
  <c r="AC1305" i="2"/>
  <c r="AA1305" i="2"/>
  <c r="Z1305" i="2"/>
  <c r="Y1305" i="2"/>
  <c r="S1305" i="2"/>
  <c r="O1305" i="2"/>
  <c r="AD1305" i="2" s="1"/>
  <c r="AH1305" i="2" s="1"/>
  <c r="N1305" i="2"/>
  <c r="AB1305" i="2" s="1"/>
  <c r="AF1305" i="2" s="1"/>
  <c r="AH1304" i="2"/>
  <c r="AE1304" i="2"/>
  <c r="AD1304" i="2"/>
  <c r="AC1304" i="2"/>
  <c r="AG1304" i="2" s="1"/>
  <c r="AB1304" i="2"/>
  <c r="AF1304" i="2" s="1"/>
  <c r="AA1304" i="2"/>
  <c r="Z1304" i="2"/>
  <c r="Y1304" i="2"/>
  <c r="S1304" i="2"/>
  <c r="O1304" i="2"/>
  <c r="N1304" i="2"/>
  <c r="AH1303" i="2"/>
  <c r="AF1303" i="2"/>
  <c r="AE1303" i="2"/>
  <c r="AD1303" i="2"/>
  <c r="AB1303" i="2"/>
  <c r="Z1303" i="2"/>
  <c r="Y1303" i="2"/>
  <c r="S1303" i="2"/>
  <c r="O1303" i="2"/>
  <c r="AC1303" i="2" s="1"/>
  <c r="AG1303" i="2" s="1"/>
  <c r="N1303" i="2"/>
  <c r="AA1303" i="2" s="1"/>
  <c r="AH1302" i="2"/>
  <c r="AF1302" i="2"/>
  <c r="AD1302" i="2"/>
  <c r="AC1302" i="2"/>
  <c r="AG1302" i="2" s="1"/>
  <c r="AB1302" i="2"/>
  <c r="AA1302" i="2"/>
  <c r="AE1302" i="2" s="1"/>
  <c r="Z1302" i="2"/>
  <c r="Y1302" i="2"/>
  <c r="S1302" i="2"/>
  <c r="O1302" i="2"/>
  <c r="N1302" i="2"/>
  <c r="AH1301" i="2"/>
  <c r="AE1301" i="2"/>
  <c r="AD1301" i="2"/>
  <c r="AC1301" i="2"/>
  <c r="AG1301" i="2" s="1"/>
  <c r="AA1301" i="2"/>
  <c r="Z1301" i="2"/>
  <c r="Y1301" i="2"/>
  <c r="S1301" i="2"/>
  <c r="O1301" i="2"/>
  <c r="N1301" i="2"/>
  <c r="AB1301" i="2" s="1"/>
  <c r="AF1301" i="2" s="1"/>
  <c r="AB1300" i="2"/>
  <c r="AF1300" i="2" s="1"/>
  <c r="AA1300" i="2"/>
  <c r="AE1300" i="2" s="1"/>
  <c r="Z1300" i="2"/>
  <c r="Y1300" i="2"/>
  <c r="S1300" i="2"/>
  <c r="O1300" i="2"/>
  <c r="N1300" i="2"/>
  <c r="AD1299" i="2"/>
  <c r="AH1299" i="2" s="1"/>
  <c r="AC1299" i="2"/>
  <c r="AG1299" i="2" s="1"/>
  <c r="AA1299" i="2"/>
  <c r="AE1299" i="2" s="1"/>
  <c r="Z1299" i="2"/>
  <c r="Y1299" i="2"/>
  <c r="S1299" i="2"/>
  <c r="O1299" i="2"/>
  <c r="N1299" i="2"/>
  <c r="AB1299" i="2" s="1"/>
  <c r="AF1299" i="2" s="1"/>
  <c r="AG1298" i="2"/>
  <c r="AF1298" i="2"/>
  <c r="AE1298" i="2"/>
  <c r="AD1298" i="2"/>
  <c r="AH1298" i="2" s="1"/>
  <c r="AC1298" i="2"/>
  <c r="AA1298" i="2"/>
  <c r="Z1298" i="2"/>
  <c r="Y1298" i="2"/>
  <c r="S1298" i="2"/>
  <c r="O1298" i="2"/>
  <c r="N1298" i="2"/>
  <c r="AB1298" i="2" s="1"/>
  <c r="AE1297" i="2"/>
  <c r="AC1297" i="2"/>
  <c r="AG1297" i="2" s="1"/>
  <c r="AA1297" i="2"/>
  <c r="Z1297" i="2"/>
  <c r="Y1297" i="2"/>
  <c r="S1297" i="2"/>
  <c r="O1297" i="2"/>
  <c r="AD1297" i="2" s="1"/>
  <c r="AH1297" i="2" s="1"/>
  <c r="N1297" i="2"/>
  <c r="AB1297" i="2" s="1"/>
  <c r="AF1297" i="2" s="1"/>
  <c r="AD1296" i="2"/>
  <c r="AH1296" i="2" s="1"/>
  <c r="AA1296" i="2"/>
  <c r="AE1296" i="2" s="1"/>
  <c r="Z1296" i="2"/>
  <c r="Y1296" i="2"/>
  <c r="S1296" i="2"/>
  <c r="O1296" i="2"/>
  <c r="AC1296" i="2" s="1"/>
  <c r="AG1296" i="2" s="1"/>
  <c r="N1296" i="2"/>
  <c r="AB1296" i="2" s="1"/>
  <c r="AF1296" i="2" s="1"/>
  <c r="AG1295" i="2"/>
  <c r="AF1295" i="2"/>
  <c r="AE1295" i="2"/>
  <c r="AD1295" i="2"/>
  <c r="AH1295" i="2" s="1"/>
  <c r="AC1295" i="2"/>
  <c r="AB1295" i="2"/>
  <c r="AA1295" i="2"/>
  <c r="Z1295" i="2"/>
  <c r="Y1295" i="2"/>
  <c r="S1295" i="2"/>
  <c r="O1295" i="2"/>
  <c r="N1295" i="2"/>
  <c r="AE1294" i="2"/>
  <c r="AB1294" i="2"/>
  <c r="AF1294" i="2" s="1"/>
  <c r="Z1294" i="2"/>
  <c r="Y1294" i="2"/>
  <c r="S1294" i="2"/>
  <c r="O1294" i="2"/>
  <c r="N1294" i="2"/>
  <c r="AA1294" i="2" s="1"/>
  <c r="AF1293" i="2"/>
  <c r="AD1293" i="2"/>
  <c r="AH1293" i="2" s="1"/>
  <c r="AB1293" i="2"/>
  <c r="Z1293" i="2"/>
  <c r="Y1293" i="2"/>
  <c r="S1293" i="2"/>
  <c r="O1293" i="2"/>
  <c r="AC1293" i="2" s="1"/>
  <c r="AG1293" i="2" s="1"/>
  <c r="N1293" i="2"/>
  <c r="AA1293" i="2" s="1"/>
  <c r="AE1293" i="2" s="1"/>
  <c r="AH1292" i="2"/>
  <c r="AG1292" i="2"/>
  <c r="AE1292" i="2"/>
  <c r="AD1292" i="2"/>
  <c r="AC1292" i="2"/>
  <c r="AB1292" i="2"/>
  <c r="AF1292" i="2" s="1"/>
  <c r="AA1292" i="2"/>
  <c r="Z1292" i="2"/>
  <c r="Y1292" i="2"/>
  <c r="S1292" i="2"/>
  <c r="O1292" i="2"/>
  <c r="N1292" i="2"/>
  <c r="AE1291" i="2"/>
  <c r="AC1291" i="2"/>
  <c r="AG1291" i="2" s="1"/>
  <c r="AB1291" i="2"/>
  <c r="AF1291" i="2" s="1"/>
  <c r="AA1291" i="2"/>
  <c r="Z1291" i="2"/>
  <c r="Y1291" i="2"/>
  <c r="S1291" i="2"/>
  <c r="O1291" i="2"/>
  <c r="AD1291" i="2" s="1"/>
  <c r="AH1291" i="2" s="1"/>
  <c r="N1291" i="2"/>
  <c r="AG1290" i="2"/>
  <c r="AE1290" i="2"/>
  <c r="AC1290" i="2"/>
  <c r="AB1290" i="2"/>
  <c r="AF1290" i="2" s="1"/>
  <c r="AA1290" i="2"/>
  <c r="Z1290" i="2"/>
  <c r="Y1290" i="2"/>
  <c r="S1290" i="2"/>
  <c r="O1290" i="2"/>
  <c r="AD1290" i="2" s="1"/>
  <c r="AH1290" i="2" s="1"/>
  <c r="N1290" i="2"/>
  <c r="AG1289" i="2"/>
  <c r="AF1289" i="2"/>
  <c r="AE1289" i="2"/>
  <c r="AD1289" i="2"/>
  <c r="AH1289" i="2" s="1"/>
  <c r="AC1289" i="2"/>
  <c r="AB1289" i="2"/>
  <c r="AA1289" i="2"/>
  <c r="Z1289" i="2"/>
  <c r="Y1289" i="2"/>
  <c r="S1289" i="2"/>
  <c r="O1289" i="2"/>
  <c r="N1289" i="2"/>
  <c r="AH1288" i="2"/>
  <c r="AC1288" i="2"/>
  <c r="AG1288" i="2" s="1"/>
  <c r="AB1288" i="2"/>
  <c r="AF1288" i="2" s="1"/>
  <c r="AA1288" i="2"/>
  <c r="AE1288" i="2" s="1"/>
  <c r="Z1288" i="2"/>
  <c r="Y1288" i="2"/>
  <c r="S1288" i="2"/>
  <c r="O1288" i="2"/>
  <c r="AD1288" i="2" s="1"/>
  <c r="N1288" i="2"/>
  <c r="AG1287" i="2"/>
  <c r="AD1287" i="2"/>
  <c r="AH1287" i="2" s="1"/>
  <c r="AB1287" i="2"/>
  <c r="AF1287" i="2" s="1"/>
  <c r="Z1287" i="2"/>
  <c r="Y1287" i="2"/>
  <c r="S1287" i="2"/>
  <c r="O1287" i="2"/>
  <c r="AC1287" i="2" s="1"/>
  <c r="N1287" i="2"/>
  <c r="AA1287" i="2" s="1"/>
  <c r="AE1287" i="2" s="1"/>
  <c r="AH1286" i="2"/>
  <c r="AG1286" i="2"/>
  <c r="AD1286" i="2"/>
  <c r="AC1286" i="2"/>
  <c r="AA1286" i="2"/>
  <c r="AE1286" i="2" s="1"/>
  <c r="Z1286" i="2"/>
  <c r="Y1286" i="2"/>
  <c r="S1286" i="2"/>
  <c r="O1286" i="2"/>
  <c r="N1286" i="2"/>
  <c r="AB1286" i="2" s="1"/>
  <c r="AF1286" i="2" s="1"/>
  <c r="AE1285" i="2"/>
  <c r="AD1285" i="2"/>
  <c r="AH1285" i="2" s="1"/>
  <c r="AC1285" i="2"/>
  <c r="AG1285" i="2" s="1"/>
  <c r="AB1285" i="2"/>
  <c r="AF1285" i="2" s="1"/>
  <c r="AA1285" i="2"/>
  <c r="Z1285" i="2"/>
  <c r="Y1285" i="2"/>
  <c r="S1285" i="2"/>
  <c r="O1285" i="2"/>
  <c r="N1285" i="2"/>
  <c r="AF1284" i="2"/>
  <c r="AE1284" i="2"/>
  <c r="AC1284" i="2"/>
  <c r="AG1284" i="2" s="1"/>
  <c r="AB1284" i="2"/>
  <c r="AA1284" i="2"/>
  <c r="Z1284" i="2"/>
  <c r="Y1284" i="2"/>
  <c r="S1284" i="2"/>
  <c r="O1284" i="2"/>
  <c r="AD1284" i="2" s="1"/>
  <c r="AH1284" i="2" s="1"/>
  <c r="N1284" i="2"/>
  <c r="AH1283" i="2"/>
  <c r="AG1283" i="2"/>
  <c r="AE1283" i="2"/>
  <c r="AD1283" i="2"/>
  <c r="AC1283" i="2"/>
  <c r="AA1283" i="2"/>
  <c r="Z1283" i="2"/>
  <c r="Y1283" i="2"/>
  <c r="S1283" i="2"/>
  <c r="O1283" i="2"/>
  <c r="N1283" i="2"/>
  <c r="AB1283" i="2" s="1"/>
  <c r="AF1283" i="2" s="1"/>
  <c r="AH1282" i="2"/>
  <c r="AG1282" i="2"/>
  <c r="AE1282" i="2"/>
  <c r="AC1282" i="2"/>
  <c r="AB1282" i="2"/>
  <c r="AF1282" i="2" s="1"/>
  <c r="AA1282" i="2"/>
  <c r="Z1282" i="2"/>
  <c r="Y1282" i="2"/>
  <c r="S1282" i="2"/>
  <c r="O1282" i="2"/>
  <c r="AD1282" i="2" s="1"/>
  <c r="N1282" i="2"/>
  <c r="Z1281" i="2"/>
  <c r="Y1281" i="2"/>
  <c r="S1281" i="2"/>
  <c r="O1281" i="2"/>
  <c r="N1281" i="2"/>
  <c r="AD1280" i="2"/>
  <c r="AH1280" i="2" s="1"/>
  <c r="AC1280" i="2"/>
  <c r="AG1280" i="2" s="1"/>
  <c r="AA1280" i="2"/>
  <c r="AE1280" i="2" s="1"/>
  <c r="Z1280" i="2"/>
  <c r="Y1280" i="2"/>
  <c r="S1280" i="2"/>
  <c r="O1280" i="2"/>
  <c r="N1280" i="2"/>
  <c r="AB1280" i="2" s="1"/>
  <c r="AF1280" i="2" s="1"/>
  <c r="AE1279" i="2"/>
  <c r="AD1279" i="2"/>
  <c r="AH1279" i="2" s="1"/>
  <c r="AC1279" i="2"/>
  <c r="AG1279" i="2" s="1"/>
  <c r="AB1279" i="2"/>
  <c r="AF1279" i="2" s="1"/>
  <c r="AA1279" i="2"/>
  <c r="Z1279" i="2"/>
  <c r="Y1279" i="2"/>
  <c r="S1279" i="2"/>
  <c r="O1279" i="2"/>
  <c r="N1279" i="2"/>
  <c r="AG1278" i="2"/>
  <c r="AF1278" i="2"/>
  <c r="AE1278" i="2"/>
  <c r="AD1278" i="2"/>
  <c r="AH1278" i="2" s="1"/>
  <c r="AB1278" i="2"/>
  <c r="Z1278" i="2"/>
  <c r="Y1278" i="2"/>
  <c r="S1278" i="2"/>
  <c r="O1278" i="2"/>
  <c r="AC1278" i="2" s="1"/>
  <c r="N1278" i="2"/>
  <c r="AA1278" i="2" s="1"/>
  <c r="AG1277" i="2"/>
  <c r="AE1277" i="2"/>
  <c r="AD1277" i="2"/>
  <c r="AH1277" i="2" s="1"/>
  <c r="AC1277" i="2"/>
  <c r="AA1277" i="2"/>
  <c r="Z1277" i="2"/>
  <c r="Y1277" i="2"/>
  <c r="S1277" i="2"/>
  <c r="O1277" i="2"/>
  <c r="N1277" i="2"/>
  <c r="AB1277" i="2" s="1"/>
  <c r="AF1277" i="2" s="1"/>
  <c r="AH1276" i="2"/>
  <c r="AG1276" i="2"/>
  <c r="AF1276" i="2"/>
  <c r="AE1276" i="2"/>
  <c r="AC1276" i="2"/>
  <c r="AB1276" i="2"/>
  <c r="AA1276" i="2"/>
  <c r="Z1276" i="2"/>
  <c r="Y1276" i="2"/>
  <c r="S1276" i="2"/>
  <c r="O1276" i="2"/>
  <c r="AD1276" i="2" s="1"/>
  <c r="N1276" i="2"/>
  <c r="AH1275" i="2"/>
  <c r="AD1275" i="2"/>
  <c r="AC1275" i="2"/>
  <c r="AG1275" i="2" s="1"/>
  <c r="AB1275" i="2"/>
  <c r="AF1275" i="2" s="1"/>
  <c r="AA1275" i="2"/>
  <c r="AE1275" i="2" s="1"/>
  <c r="Z1275" i="2"/>
  <c r="Y1275" i="2"/>
  <c r="S1275" i="2"/>
  <c r="O1275" i="2"/>
  <c r="N1275" i="2"/>
  <c r="AH1274" i="2"/>
  <c r="AG1274" i="2"/>
  <c r="AD1274" i="2"/>
  <c r="AC1274" i="2"/>
  <c r="AB1274" i="2"/>
  <c r="AF1274" i="2" s="1"/>
  <c r="Z1274" i="2"/>
  <c r="Y1274" i="2"/>
  <c r="S1274" i="2"/>
  <c r="O1274" i="2"/>
  <c r="N1274" i="2"/>
  <c r="AA1274" i="2" s="1"/>
  <c r="AE1274" i="2" s="1"/>
  <c r="AH1273" i="2"/>
  <c r="AG1273" i="2"/>
  <c r="AF1273" i="2"/>
  <c r="AE1273" i="2"/>
  <c r="AD1273" i="2"/>
  <c r="AB1273" i="2"/>
  <c r="Z1273" i="2"/>
  <c r="Y1273" i="2"/>
  <c r="S1273" i="2"/>
  <c r="O1273" i="2"/>
  <c r="AC1273" i="2" s="1"/>
  <c r="N1273" i="2"/>
  <c r="AA1273" i="2" s="1"/>
  <c r="AG1272" i="2"/>
  <c r="AE1272" i="2"/>
  <c r="AD1272" i="2"/>
  <c r="AH1272" i="2" s="1"/>
  <c r="AC1272" i="2"/>
  <c r="AB1272" i="2"/>
  <c r="AF1272" i="2" s="1"/>
  <c r="AA1272" i="2"/>
  <c r="Z1272" i="2"/>
  <c r="Y1272" i="2"/>
  <c r="S1272" i="2"/>
  <c r="O1272" i="2"/>
  <c r="N1272" i="2"/>
  <c r="AG1271" i="2"/>
  <c r="AC1271" i="2"/>
  <c r="AB1271" i="2"/>
  <c r="AF1271" i="2" s="1"/>
  <c r="AA1271" i="2"/>
  <c r="AE1271" i="2" s="1"/>
  <c r="Z1271" i="2"/>
  <c r="Y1271" i="2"/>
  <c r="S1271" i="2"/>
  <c r="O1271" i="2"/>
  <c r="AD1271" i="2" s="1"/>
  <c r="AH1271" i="2" s="1"/>
  <c r="N1271" i="2"/>
  <c r="AH1270" i="2"/>
  <c r="AG1270" i="2"/>
  <c r="AC1270" i="2"/>
  <c r="AA1270" i="2"/>
  <c r="AE1270" i="2" s="1"/>
  <c r="Z1270" i="2"/>
  <c r="Y1270" i="2"/>
  <c r="S1270" i="2"/>
  <c r="O1270" i="2"/>
  <c r="AD1270" i="2" s="1"/>
  <c r="N1270" i="2"/>
  <c r="AB1270" i="2" s="1"/>
  <c r="AF1270" i="2" s="1"/>
  <c r="AE1269" i="2"/>
  <c r="AD1269" i="2"/>
  <c r="AH1269" i="2" s="1"/>
  <c r="AC1269" i="2"/>
  <c r="AG1269" i="2" s="1"/>
  <c r="AB1269" i="2"/>
  <c r="AF1269" i="2" s="1"/>
  <c r="AA1269" i="2"/>
  <c r="Z1269" i="2"/>
  <c r="Y1269" i="2"/>
  <c r="S1269" i="2"/>
  <c r="O1269" i="2"/>
  <c r="N1269" i="2"/>
  <c r="AE1268" i="2"/>
  <c r="AC1268" i="2"/>
  <c r="AG1268" i="2" s="1"/>
  <c r="AA1268" i="2"/>
  <c r="Z1268" i="2"/>
  <c r="Y1268" i="2"/>
  <c r="S1268" i="2"/>
  <c r="O1268" i="2"/>
  <c r="AD1268" i="2" s="1"/>
  <c r="AH1268" i="2" s="1"/>
  <c r="N1268" i="2"/>
  <c r="AB1268" i="2" s="1"/>
  <c r="AF1268" i="2" s="1"/>
  <c r="AH1267" i="2"/>
  <c r="AF1267" i="2"/>
  <c r="AE1267" i="2"/>
  <c r="AC1267" i="2"/>
  <c r="AG1267" i="2" s="1"/>
  <c r="AB1267" i="2"/>
  <c r="AA1267" i="2"/>
  <c r="Z1267" i="2"/>
  <c r="Y1267" i="2"/>
  <c r="S1267" i="2"/>
  <c r="O1267" i="2"/>
  <c r="AD1267" i="2" s="1"/>
  <c r="N1267" i="2"/>
  <c r="AF1266" i="2"/>
  <c r="AB1266" i="2"/>
  <c r="AA1266" i="2"/>
  <c r="AE1266" i="2" s="1"/>
  <c r="Z1266" i="2"/>
  <c r="Y1266" i="2"/>
  <c r="S1266" i="2"/>
  <c r="O1266" i="2"/>
  <c r="N1266" i="2"/>
  <c r="AE1265" i="2"/>
  <c r="AD1265" i="2"/>
  <c r="AH1265" i="2" s="1"/>
  <c r="AC1265" i="2"/>
  <c r="AG1265" i="2" s="1"/>
  <c r="AB1265" i="2"/>
  <c r="AF1265" i="2" s="1"/>
  <c r="AA1265" i="2"/>
  <c r="Z1265" i="2"/>
  <c r="Y1265" i="2"/>
  <c r="S1265" i="2"/>
  <c r="O1265" i="2"/>
  <c r="N1265" i="2"/>
  <c r="AC1264" i="2"/>
  <c r="AG1264" i="2" s="1"/>
  <c r="AA1264" i="2"/>
  <c r="AE1264" i="2" s="1"/>
  <c r="Z1264" i="2"/>
  <c r="Y1264" i="2"/>
  <c r="S1264" i="2"/>
  <c r="O1264" i="2"/>
  <c r="AD1264" i="2" s="1"/>
  <c r="AH1264" i="2" s="1"/>
  <c r="N1264" i="2"/>
  <c r="AB1264" i="2" s="1"/>
  <c r="AF1264" i="2" s="1"/>
  <c r="AH1263" i="2"/>
  <c r="AF1263" i="2"/>
  <c r="AE1263" i="2"/>
  <c r="AD1263" i="2"/>
  <c r="AC1263" i="2"/>
  <c r="AG1263" i="2" s="1"/>
  <c r="AA1263" i="2"/>
  <c r="Z1263" i="2"/>
  <c r="Y1263" i="2"/>
  <c r="S1263" i="2"/>
  <c r="O1263" i="2"/>
  <c r="N1263" i="2"/>
  <c r="AB1263" i="2" s="1"/>
  <c r="AE1262" i="2"/>
  <c r="AD1262" i="2"/>
  <c r="AH1262" i="2" s="1"/>
  <c r="AC1262" i="2"/>
  <c r="AG1262" i="2" s="1"/>
  <c r="AB1262" i="2"/>
  <c r="AF1262" i="2" s="1"/>
  <c r="AA1262" i="2"/>
  <c r="Z1262" i="2"/>
  <c r="Y1262" i="2"/>
  <c r="S1262" i="2"/>
  <c r="O1262" i="2"/>
  <c r="N1262" i="2"/>
  <c r="AC1261" i="2"/>
  <c r="AG1261" i="2" s="1"/>
  <c r="AA1261" i="2"/>
  <c r="AE1261" i="2" s="1"/>
  <c r="Z1261" i="2"/>
  <c r="Y1261" i="2"/>
  <c r="S1261" i="2"/>
  <c r="O1261" i="2"/>
  <c r="AD1261" i="2" s="1"/>
  <c r="AH1261" i="2" s="1"/>
  <c r="N1261" i="2"/>
  <c r="AB1261" i="2" s="1"/>
  <c r="AF1261" i="2" s="1"/>
  <c r="AG1260" i="2"/>
  <c r="AF1260" i="2"/>
  <c r="AE1260" i="2"/>
  <c r="AC1260" i="2"/>
  <c r="AA1260" i="2"/>
  <c r="Z1260" i="2"/>
  <c r="Y1260" i="2"/>
  <c r="S1260" i="2"/>
  <c r="O1260" i="2"/>
  <c r="AD1260" i="2" s="1"/>
  <c r="AH1260" i="2" s="1"/>
  <c r="N1260" i="2"/>
  <c r="AB1260" i="2" s="1"/>
  <c r="AD1259" i="2"/>
  <c r="AH1259" i="2" s="1"/>
  <c r="AC1259" i="2"/>
  <c r="AG1259" i="2" s="1"/>
  <c r="AB1259" i="2"/>
  <c r="AF1259" i="2" s="1"/>
  <c r="AA1259" i="2"/>
  <c r="AE1259" i="2" s="1"/>
  <c r="Z1259" i="2"/>
  <c r="Y1259" i="2"/>
  <c r="S1259" i="2"/>
  <c r="O1259" i="2"/>
  <c r="N1259" i="2"/>
  <c r="AH1258" i="2"/>
  <c r="AC1258" i="2"/>
  <c r="AG1258" i="2" s="1"/>
  <c r="AA1258" i="2"/>
  <c r="AE1258" i="2" s="1"/>
  <c r="Z1258" i="2"/>
  <c r="Y1258" i="2"/>
  <c r="S1258" i="2"/>
  <c r="O1258" i="2"/>
  <c r="AD1258" i="2" s="1"/>
  <c r="N1258" i="2"/>
  <c r="AB1258" i="2" s="1"/>
  <c r="AF1258" i="2" s="1"/>
  <c r="AB1257" i="2"/>
  <c r="AF1257" i="2" s="1"/>
  <c r="AA1257" i="2"/>
  <c r="AE1257" i="2" s="1"/>
  <c r="Z1257" i="2"/>
  <c r="Y1257" i="2"/>
  <c r="S1257" i="2"/>
  <c r="O1257" i="2"/>
  <c r="N1257" i="2"/>
  <c r="AF1256" i="2"/>
  <c r="AE1256" i="2"/>
  <c r="AD1256" i="2"/>
  <c r="AH1256" i="2" s="1"/>
  <c r="AB1256" i="2"/>
  <c r="AA1256" i="2"/>
  <c r="Z1256" i="2"/>
  <c r="Y1256" i="2"/>
  <c r="S1256" i="2"/>
  <c r="O1256" i="2"/>
  <c r="AC1256" i="2" s="1"/>
  <c r="AG1256" i="2" s="1"/>
  <c r="N1256" i="2"/>
  <c r="AG1255" i="2"/>
  <c r="AE1255" i="2"/>
  <c r="AC1255" i="2"/>
  <c r="AA1255" i="2"/>
  <c r="Z1255" i="2"/>
  <c r="Y1255" i="2"/>
  <c r="S1255" i="2"/>
  <c r="O1255" i="2"/>
  <c r="AD1255" i="2" s="1"/>
  <c r="AH1255" i="2" s="1"/>
  <c r="N1255" i="2"/>
  <c r="AB1255" i="2" s="1"/>
  <c r="AF1255" i="2" s="1"/>
  <c r="AF1254" i="2"/>
  <c r="AD1254" i="2"/>
  <c r="AH1254" i="2" s="1"/>
  <c r="AB1254" i="2"/>
  <c r="Z1254" i="2"/>
  <c r="Y1254" i="2"/>
  <c r="S1254" i="2"/>
  <c r="O1254" i="2"/>
  <c r="AC1254" i="2" s="1"/>
  <c r="AG1254" i="2" s="1"/>
  <c r="N1254" i="2"/>
  <c r="AA1254" i="2" s="1"/>
  <c r="AE1254" i="2" s="1"/>
  <c r="AH1253" i="2"/>
  <c r="AG1253" i="2"/>
  <c r="AF1253" i="2"/>
  <c r="AE1253" i="2"/>
  <c r="AD1253" i="2"/>
  <c r="AB1253" i="2"/>
  <c r="AA1253" i="2"/>
  <c r="Z1253" i="2"/>
  <c r="Y1253" i="2"/>
  <c r="S1253" i="2"/>
  <c r="O1253" i="2"/>
  <c r="AC1253" i="2" s="1"/>
  <c r="N1253" i="2"/>
  <c r="AD1252" i="2"/>
  <c r="AH1252" i="2" s="1"/>
  <c r="AC1252" i="2"/>
  <c r="AG1252" i="2" s="1"/>
  <c r="AB1252" i="2"/>
  <c r="AF1252" i="2" s="1"/>
  <c r="AA1252" i="2"/>
  <c r="AE1252" i="2" s="1"/>
  <c r="Z1252" i="2"/>
  <c r="Y1252" i="2"/>
  <c r="S1252" i="2"/>
  <c r="O1252" i="2"/>
  <c r="N1252" i="2"/>
  <c r="AC1251" i="2"/>
  <c r="AG1251" i="2" s="1"/>
  <c r="AA1251" i="2"/>
  <c r="AE1251" i="2" s="1"/>
  <c r="Z1251" i="2"/>
  <c r="Y1251" i="2"/>
  <c r="S1251" i="2"/>
  <c r="O1251" i="2"/>
  <c r="AD1251" i="2" s="1"/>
  <c r="AH1251" i="2" s="1"/>
  <c r="N1251" i="2"/>
  <c r="AB1251" i="2" s="1"/>
  <c r="AF1251" i="2" s="1"/>
  <c r="AG1250" i="2"/>
  <c r="AE1250" i="2"/>
  <c r="AD1250" i="2"/>
  <c r="AH1250" i="2" s="1"/>
  <c r="AB1250" i="2"/>
  <c r="AF1250" i="2" s="1"/>
  <c r="AA1250" i="2"/>
  <c r="Z1250" i="2"/>
  <c r="Y1250" i="2"/>
  <c r="S1250" i="2"/>
  <c r="O1250" i="2"/>
  <c r="AC1250" i="2" s="1"/>
  <c r="N1250" i="2"/>
  <c r="AH1249" i="2"/>
  <c r="AF1249" i="2"/>
  <c r="AE1249" i="2"/>
  <c r="AD1249" i="2"/>
  <c r="AC1249" i="2"/>
  <c r="AG1249" i="2" s="1"/>
  <c r="AB1249" i="2"/>
  <c r="AA1249" i="2"/>
  <c r="Z1249" i="2"/>
  <c r="Y1249" i="2"/>
  <c r="S1249" i="2"/>
  <c r="O1249" i="2"/>
  <c r="N1249" i="2"/>
  <c r="AH1248" i="2"/>
  <c r="AE1248" i="2"/>
  <c r="AC1248" i="2"/>
  <c r="AG1248" i="2" s="1"/>
  <c r="AB1248" i="2"/>
  <c r="AF1248" i="2" s="1"/>
  <c r="AA1248" i="2"/>
  <c r="Z1248" i="2"/>
  <c r="Y1248" i="2"/>
  <c r="S1248" i="2"/>
  <c r="O1248" i="2"/>
  <c r="AD1248" i="2" s="1"/>
  <c r="N1248" i="2"/>
  <c r="AG1247" i="2"/>
  <c r="AE1247" i="2"/>
  <c r="AC1247" i="2"/>
  <c r="AA1247" i="2"/>
  <c r="Z1247" i="2"/>
  <c r="Y1247" i="2"/>
  <c r="S1247" i="2"/>
  <c r="O1247" i="2"/>
  <c r="AD1247" i="2" s="1"/>
  <c r="AH1247" i="2" s="1"/>
  <c r="N1247" i="2"/>
  <c r="AB1247" i="2" s="1"/>
  <c r="AF1247" i="2" s="1"/>
  <c r="AH1246" i="2"/>
  <c r="AF1246" i="2"/>
  <c r="AE1246" i="2"/>
  <c r="AD1246" i="2"/>
  <c r="AC1246" i="2"/>
  <c r="AG1246" i="2" s="1"/>
  <c r="AB1246" i="2"/>
  <c r="AA1246" i="2"/>
  <c r="Z1246" i="2"/>
  <c r="Y1246" i="2"/>
  <c r="S1246" i="2"/>
  <c r="O1246" i="2"/>
  <c r="N1246" i="2"/>
  <c r="AH1245" i="2"/>
  <c r="AD1245" i="2"/>
  <c r="AC1245" i="2"/>
  <c r="AG1245" i="2" s="1"/>
  <c r="AB1245" i="2"/>
  <c r="AF1245" i="2" s="1"/>
  <c r="AA1245" i="2"/>
  <c r="AE1245" i="2" s="1"/>
  <c r="Z1245" i="2"/>
  <c r="Y1245" i="2"/>
  <c r="S1245" i="2"/>
  <c r="O1245" i="2"/>
  <c r="N1245" i="2"/>
  <c r="AC1244" i="2"/>
  <c r="AG1244" i="2" s="1"/>
  <c r="AA1244" i="2"/>
  <c r="AE1244" i="2" s="1"/>
  <c r="Z1244" i="2"/>
  <c r="Y1244" i="2"/>
  <c r="S1244" i="2"/>
  <c r="O1244" i="2"/>
  <c r="AD1244" i="2" s="1"/>
  <c r="AH1244" i="2" s="1"/>
  <c r="N1244" i="2"/>
  <c r="AB1244" i="2" s="1"/>
  <c r="AF1244" i="2" s="1"/>
  <c r="AF1243" i="2"/>
  <c r="AE1243" i="2"/>
  <c r="AD1243" i="2"/>
  <c r="AH1243" i="2" s="1"/>
  <c r="AB1243" i="2"/>
  <c r="AA1243" i="2"/>
  <c r="Z1243" i="2"/>
  <c r="Y1243" i="2"/>
  <c r="S1243" i="2"/>
  <c r="O1243" i="2"/>
  <c r="AC1243" i="2" s="1"/>
  <c r="AG1243" i="2" s="1"/>
  <c r="N1243" i="2"/>
  <c r="AH1242" i="2"/>
  <c r="AF1242" i="2"/>
  <c r="AD1242" i="2"/>
  <c r="AC1242" i="2"/>
  <c r="AG1242" i="2" s="1"/>
  <c r="AA1242" i="2"/>
  <c r="AE1242" i="2" s="1"/>
  <c r="Z1242" i="2"/>
  <c r="Y1242" i="2"/>
  <c r="S1242" i="2"/>
  <c r="O1242" i="2"/>
  <c r="N1242" i="2"/>
  <c r="AB1242" i="2" s="1"/>
  <c r="AG1241" i="2"/>
  <c r="AD1241" i="2"/>
  <c r="AH1241" i="2" s="1"/>
  <c r="AC1241" i="2"/>
  <c r="AB1241" i="2"/>
  <c r="AF1241" i="2" s="1"/>
  <c r="Z1241" i="2"/>
  <c r="Y1241" i="2"/>
  <c r="S1241" i="2"/>
  <c r="O1241" i="2"/>
  <c r="N1241" i="2"/>
  <c r="AA1241" i="2" s="1"/>
  <c r="AE1241" i="2" s="1"/>
  <c r="AB1240" i="2"/>
  <c r="AF1240" i="2" s="1"/>
  <c r="AA1240" i="2"/>
  <c r="AE1240" i="2" s="1"/>
  <c r="Z1240" i="2"/>
  <c r="Y1240" i="2"/>
  <c r="S1240" i="2"/>
  <c r="O1240" i="2"/>
  <c r="N1240" i="2"/>
  <c r="AD1239" i="2"/>
  <c r="AH1239" i="2" s="1"/>
  <c r="AC1239" i="2"/>
  <c r="AG1239" i="2" s="1"/>
  <c r="AB1239" i="2"/>
  <c r="AF1239" i="2" s="1"/>
  <c r="Z1239" i="2"/>
  <c r="Y1239" i="2"/>
  <c r="S1239" i="2"/>
  <c r="O1239" i="2"/>
  <c r="N1239" i="2"/>
  <c r="AA1239" i="2" s="1"/>
  <c r="AE1239" i="2" s="1"/>
  <c r="AF1238" i="2"/>
  <c r="AD1238" i="2"/>
  <c r="AH1238" i="2" s="1"/>
  <c r="AB1238" i="2"/>
  <c r="AA1238" i="2"/>
  <c r="AE1238" i="2" s="1"/>
  <c r="Z1238" i="2"/>
  <c r="Y1238" i="2"/>
  <c r="S1238" i="2"/>
  <c r="O1238" i="2"/>
  <c r="AC1238" i="2" s="1"/>
  <c r="AG1238" i="2" s="1"/>
  <c r="N1238" i="2"/>
  <c r="AH1237" i="2"/>
  <c r="AD1237" i="2"/>
  <c r="AC1237" i="2"/>
  <c r="AG1237" i="2" s="1"/>
  <c r="AA1237" i="2"/>
  <c r="AE1237" i="2" s="1"/>
  <c r="Z1237" i="2"/>
  <c r="Y1237" i="2"/>
  <c r="S1237" i="2"/>
  <c r="O1237" i="2"/>
  <c r="N1237" i="2"/>
  <c r="AB1237" i="2" s="1"/>
  <c r="AF1237" i="2" s="1"/>
  <c r="AE1236" i="2"/>
  <c r="AD1236" i="2"/>
  <c r="AH1236" i="2" s="1"/>
  <c r="AC1236" i="2"/>
  <c r="AG1236" i="2" s="1"/>
  <c r="AB1236" i="2"/>
  <c r="AF1236" i="2" s="1"/>
  <c r="AA1236" i="2"/>
  <c r="Z1236" i="2"/>
  <c r="Y1236" i="2"/>
  <c r="S1236" i="2"/>
  <c r="O1236" i="2"/>
  <c r="N1236" i="2"/>
  <c r="Z1235" i="2"/>
  <c r="Y1235" i="2"/>
  <c r="S1235" i="2"/>
  <c r="O1235" i="2"/>
  <c r="AC1235" i="2" s="1"/>
  <c r="AG1235" i="2" s="1"/>
  <c r="N1235" i="2"/>
  <c r="AG1234" i="2"/>
  <c r="AE1234" i="2"/>
  <c r="AC1234" i="2"/>
  <c r="AB1234" i="2"/>
  <c r="AF1234" i="2" s="1"/>
  <c r="AA1234" i="2"/>
  <c r="Z1234" i="2"/>
  <c r="Y1234" i="2"/>
  <c r="S1234" i="2"/>
  <c r="O1234" i="2"/>
  <c r="AD1234" i="2" s="1"/>
  <c r="AH1234" i="2" s="1"/>
  <c r="N1234" i="2"/>
  <c r="AH1233" i="2"/>
  <c r="AG1233" i="2"/>
  <c r="AF1233" i="2"/>
  <c r="AE1233" i="2"/>
  <c r="AD1233" i="2"/>
  <c r="AC1233" i="2"/>
  <c r="AB1233" i="2"/>
  <c r="AA1233" i="2"/>
  <c r="Z1233" i="2"/>
  <c r="Y1233" i="2"/>
  <c r="S1233" i="2"/>
  <c r="O1233" i="2"/>
  <c r="N1233" i="2"/>
  <c r="AD1232" i="2"/>
  <c r="AH1232" i="2" s="1"/>
  <c r="AC1232" i="2"/>
  <c r="AG1232" i="2" s="1"/>
  <c r="AB1232" i="2"/>
  <c r="AF1232" i="2" s="1"/>
  <c r="AA1232" i="2"/>
  <c r="AE1232" i="2" s="1"/>
  <c r="Z1232" i="2"/>
  <c r="Y1232" i="2"/>
  <c r="S1232" i="2"/>
  <c r="O1232" i="2"/>
  <c r="N1232" i="2"/>
  <c r="AG1231" i="2"/>
  <c r="AF1231" i="2"/>
  <c r="AD1231" i="2"/>
  <c r="AH1231" i="2" s="1"/>
  <c r="AB1231" i="2"/>
  <c r="Z1231" i="2"/>
  <c r="Y1231" i="2"/>
  <c r="S1231" i="2"/>
  <c r="O1231" i="2"/>
  <c r="AC1231" i="2" s="1"/>
  <c r="N1231" i="2"/>
  <c r="AA1231" i="2" s="1"/>
  <c r="AE1231" i="2" s="1"/>
  <c r="AH1230" i="2"/>
  <c r="AG1230" i="2"/>
  <c r="AF1230" i="2"/>
  <c r="AE1230" i="2"/>
  <c r="AD1230" i="2"/>
  <c r="AC1230" i="2"/>
  <c r="AB1230" i="2"/>
  <c r="AA1230" i="2"/>
  <c r="Z1230" i="2"/>
  <c r="Y1230" i="2"/>
  <c r="S1230" i="2"/>
  <c r="O1230" i="2"/>
  <c r="N1230" i="2"/>
  <c r="AD1229" i="2"/>
  <c r="AH1229" i="2" s="1"/>
  <c r="AC1229" i="2"/>
  <c r="AG1229" i="2" s="1"/>
  <c r="AB1229" i="2"/>
  <c r="AF1229" i="2" s="1"/>
  <c r="Z1229" i="2"/>
  <c r="Y1229" i="2"/>
  <c r="S1229" i="2"/>
  <c r="O1229" i="2"/>
  <c r="N1229" i="2"/>
  <c r="AA1229" i="2" s="1"/>
  <c r="AE1229" i="2" s="1"/>
  <c r="AH1228" i="2"/>
  <c r="AF1228" i="2"/>
  <c r="AD1228" i="2"/>
  <c r="AB1228" i="2"/>
  <c r="Z1228" i="2"/>
  <c r="Y1228" i="2"/>
  <c r="S1228" i="2"/>
  <c r="O1228" i="2"/>
  <c r="AC1228" i="2" s="1"/>
  <c r="AG1228" i="2" s="1"/>
  <c r="N1228" i="2"/>
  <c r="AA1228" i="2" s="1"/>
  <c r="AE1228" i="2" s="1"/>
  <c r="AH1227" i="2"/>
  <c r="AF1227" i="2"/>
  <c r="AD1227" i="2"/>
  <c r="AB1227" i="2"/>
  <c r="Z1227" i="2"/>
  <c r="Y1227" i="2"/>
  <c r="S1227" i="2"/>
  <c r="O1227" i="2"/>
  <c r="AC1227" i="2" s="1"/>
  <c r="AG1227" i="2" s="1"/>
  <c r="N1227" i="2"/>
  <c r="AA1227" i="2" s="1"/>
  <c r="AE1227" i="2" s="1"/>
  <c r="AG1226" i="2"/>
  <c r="AF1226" i="2"/>
  <c r="AE1226" i="2"/>
  <c r="AD1226" i="2"/>
  <c r="AH1226" i="2" s="1"/>
  <c r="AC1226" i="2"/>
  <c r="AA1226" i="2"/>
  <c r="Z1226" i="2"/>
  <c r="Y1226" i="2"/>
  <c r="S1226" i="2"/>
  <c r="O1226" i="2"/>
  <c r="N1226" i="2"/>
  <c r="AB1226" i="2" s="1"/>
  <c r="AC1225" i="2"/>
  <c r="AG1225" i="2" s="1"/>
  <c r="AB1225" i="2"/>
  <c r="AF1225" i="2" s="1"/>
  <c r="AA1225" i="2"/>
  <c r="AE1225" i="2" s="1"/>
  <c r="Z1225" i="2"/>
  <c r="Y1225" i="2"/>
  <c r="S1225" i="2"/>
  <c r="O1225" i="2"/>
  <c r="AD1225" i="2" s="1"/>
  <c r="AH1225" i="2" s="1"/>
  <c r="N1225" i="2"/>
  <c r="AF1224" i="2"/>
  <c r="AE1224" i="2"/>
  <c r="AC1224" i="2"/>
  <c r="AG1224" i="2" s="1"/>
  <c r="AA1224" i="2"/>
  <c r="Z1224" i="2"/>
  <c r="Y1224" i="2"/>
  <c r="S1224" i="2"/>
  <c r="O1224" i="2"/>
  <c r="AD1224" i="2" s="1"/>
  <c r="AH1224" i="2" s="1"/>
  <c r="N1224" i="2"/>
  <c r="AB1224" i="2" s="1"/>
  <c r="AG1223" i="2"/>
  <c r="AF1223" i="2"/>
  <c r="AE1223" i="2"/>
  <c r="AD1223" i="2"/>
  <c r="AH1223" i="2" s="1"/>
  <c r="AC1223" i="2"/>
  <c r="AB1223" i="2"/>
  <c r="AA1223" i="2"/>
  <c r="Z1223" i="2"/>
  <c r="Y1223" i="2"/>
  <c r="S1223" i="2"/>
  <c r="O1223" i="2"/>
  <c r="N1223" i="2"/>
  <c r="AH1222" i="2"/>
  <c r="AD1222" i="2"/>
  <c r="AC1222" i="2"/>
  <c r="AG1222" i="2" s="1"/>
  <c r="AB1222" i="2"/>
  <c r="AF1222" i="2" s="1"/>
  <c r="AA1222" i="2"/>
  <c r="AE1222" i="2" s="1"/>
  <c r="Z1222" i="2"/>
  <c r="Y1222" i="2"/>
  <c r="S1222" i="2"/>
  <c r="O1222" i="2"/>
  <c r="N1222" i="2"/>
  <c r="AG1221" i="2"/>
  <c r="AD1221" i="2"/>
  <c r="AH1221" i="2" s="1"/>
  <c r="AB1221" i="2"/>
  <c r="AF1221" i="2" s="1"/>
  <c r="Z1221" i="2"/>
  <c r="Y1221" i="2"/>
  <c r="S1221" i="2"/>
  <c r="O1221" i="2"/>
  <c r="AC1221" i="2" s="1"/>
  <c r="N1221" i="2"/>
  <c r="AA1221" i="2" s="1"/>
  <c r="AE1221" i="2" s="1"/>
  <c r="AB1220" i="2"/>
  <c r="AF1220" i="2" s="1"/>
  <c r="AA1220" i="2"/>
  <c r="AE1220" i="2" s="1"/>
  <c r="Z1220" i="2"/>
  <c r="Y1220" i="2"/>
  <c r="S1220" i="2"/>
  <c r="O1220" i="2"/>
  <c r="N1220" i="2"/>
  <c r="AG1219" i="2"/>
  <c r="AE1219" i="2"/>
  <c r="AC1219" i="2"/>
  <c r="AA1219" i="2"/>
  <c r="Z1219" i="2"/>
  <c r="Y1219" i="2"/>
  <c r="S1219" i="2"/>
  <c r="O1219" i="2"/>
  <c r="AD1219" i="2" s="1"/>
  <c r="AH1219" i="2" s="1"/>
  <c r="N1219" i="2"/>
  <c r="AB1219" i="2" s="1"/>
  <c r="AF1219" i="2" s="1"/>
  <c r="AC1218" i="2"/>
  <c r="AG1218" i="2" s="1"/>
  <c r="AA1218" i="2"/>
  <c r="AE1218" i="2" s="1"/>
  <c r="Z1218" i="2"/>
  <c r="Y1218" i="2"/>
  <c r="S1218" i="2"/>
  <c r="O1218" i="2"/>
  <c r="AD1218" i="2" s="1"/>
  <c r="AH1218" i="2" s="1"/>
  <c r="N1218" i="2"/>
  <c r="AB1218" i="2" s="1"/>
  <c r="AF1218" i="2" s="1"/>
  <c r="AH1217" i="2"/>
  <c r="AG1217" i="2"/>
  <c r="AC1217" i="2"/>
  <c r="AA1217" i="2"/>
  <c r="AE1217" i="2" s="1"/>
  <c r="Z1217" i="2"/>
  <c r="Y1217" i="2"/>
  <c r="S1217" i="2"/>
  <c r="O1217" i="2"/>
  <c r="AD1217" i="2" s="1"/>
  <c r="N1217" i="2"/>
  <c r="AB1217" i="2" s="1"/>
  <c r="AF1217" i="2" s="1"/>
  <c r="AG1216" i="2"/>
  <c r="AD1216" i="2"/>
  <c r="AH1216" i="2" s="1"/>
  <c r="AC1216" i="2"/>
  <c r="Z1216" i="2"/>
  <c r="Y1216" i="2"/>
  <c r="S1216" i="2"/>
  <c r="O1216" i="2"/>
  <c r="N1216" i="2"/>
  <c r="AD1215" i="2"/>
  <c r="AH1215" i="2" s="1"/>
  <c r="AC1215" i="2"/>
  <c r="AG1215" i="2" s="1"/>
  <c r="AB1215" i="2"/>
  <c r="AF1215" i="2" s="1"/>
  <c r="AA1215" i="2"/>
  <c r="AE1215" i="2" s="1"/>
  <c r="Z1215" i="2"/>
  <c r="Y1215" i="2"/>
  <c r="S1215" i="2"/>
  <c r="O1215" i="2"/>
  <c r="N1215" i="2"/>
  <c r="AH1214" i="2"/>
  <c r="AD1214" i="2"/>
  <c r="AB1214" i="2"/>
  <c r="AF1214" i="2" s="1"/>
  <c r="Z1214" i="2"/>
  <c r="Y1214" i="2"/>
  <c r="S1214" i="2"/>
  <c r="O1214" i="2"/>
  <c r="AC1214" i="2" s="1"/>
  <c r="AG1214" i="2" s="1"/>
  <c r="N1214" i="2"/>
  <c r="AA1214" i="2" s="1"/>
  <c r="AE1214" i="2" s="1"/>
  <c r="AH1213" i="2"/>
  <c r="AG1213" i="2"/>
  <c r="AF1213" i="2"/>
  <c r="AE1213" i="2"/>
  <c r="AD1213" i="2"/>
  <c r="AC1213" i="2"/>
  <c r="AA1213" i="2"/>
  <c r="Z1213" i="2"/>
  <c r="Y1213" i="2"/>
  <c r="S1213" i="2"/>
  <c r="O1213" i="2"/>
  <c r="N1213" i="2"/>
  <c r="AB1213" i="2" s="1"/>
  <c r="AF1212" i="2"/>
  <c r="AD1212" i="2"/>
  <c r="AH1212" i="2" s="1"/>
  <c r="AC1212" i="2"/>
  <c r="AG1212" i="2" s="1"/>
  <c r="AB1212" i="2"/>
  <c r="AA1212" i="2"/>
  <c r="AE1212" i="2" s="1"/>
  <c r="Z1212" i="2"/>
  <c r="Y1212" i="2"/>
  <c r="S1212" i="2"/>
  <c r="O1212" i="2"/>
  <c r="N1212" i="2"/>
  <c r="AH1211" i="2"/>
  <c r="AD1211" i="2"/>
  <c r="AC1211" i="2"/>
  <c r="AG1211" i="2" s="1"/>
  <c r="AA1211" i="2"/>
  <c r="AE1211" i="2" s="1"/>
  <c r="Z1211" i="2"/>
  <c r="Y1211" i="2"/>
  <c r="S1211" i="2"/>
  <c r="O1211" i="2"/>
  <c r="N1211" i="2"/>
  <c r="AB1211" i="2" s="1"/>
  <c r="AF1211" i="2" s="1"/>
  <c r="AH1210" i="2"/>
  <c r="AF1210" i="2"/>
  <c r="AD1210" i="2"/>
  <c r="AC1210" i="2"/>
  <c r="AG1210" i="2" s="1"/>
  <c r="AB1210" i="2"/>
  <c r="AA1210" i="2"/>
  <c r="AE1210" i="2" s="1"/>
  <c r="Z1210" i="2"/>
  <c r="Y1210" i="2"/>
  <c r="S1210" i="2"/>
  <c r="O1210" i="2"/>
  <c r="N1210" i="2"/>
  <c r="AH1209" i="2"/>
  <c r="AF1209" i="2"/>
  <c r="AD1209" i="2"/>
  <c r="AC1209" i="2"/>
  <c r="AG1209" i="2" s="1"/>
  <c r="AB1209" i="2"/>
  <c r="Z1209" i="2"/>
  <c r="Y1209" i="2"/>
  <c r="S1209" i="2"/>
  <c r="O1209" i="2"/>
  <c r="N1209" i="2"/>
  <c r="AA1209" i="2" s="1"/>
  <c r="AE1209" i="2" s="1"/>
  <c r="AG1208" i="2"/>
  <c r="AD1208" i="2"/>
  <c r="AH1208" i="2" s="1"/>
  <c r="AC1208" i="2"/>
  <c r="AB1208" i="2"/>
  <c r="AF1208" i="2" s="1"/>
  <c r="AA1208" i="2"/>
  <c r="AE1208" i="2" s="1"/>
  <c r="Z1208" i="2"/>
  <c r="Y1208" i="2"/>
  <c r="S1208" i="2"/>
  <c r="O1208" i="2"/>
  <c r="N1208" i="2"/>
  <c r="AG1207" i="2"/>
  <c r="AF1207" i="2"/>
  <c r="AC1207" i="2"/>
  <c r="AB1207" i="2"/>
  <c r="AA1207" i="2"/>
  <c r="AE1207" i="2" s="1"/>
  <c r="Z1207" i="2"/>
  <c r="Y1207" i="2"/>
  <c r="S1207" i="2"/>
  <c r="O1207" i="2"/>
  <c r="AD1207" i="2" s="1"/>
  <c r="AH1207" i="2" s="1"/>
  <c r="N1207" i="2"/>
  <c r="AG1206" i="2"/>
  <c r="AF1206" i="2"/>
  <c r="AC1206" i="2"/>
  <c r="AB1206" i="2"/>
  <c r="AA1206" i="2"/>
  <c r="AE1206" i="2" s="1"/>
  <c r="Z1206" i="2"/>
  <c r="Y1206" i="2"/>
  <c r="S1206" i="2"/>
  <c r="O1206" i="2"/>
  <c r="AD1206" i="2" s="1"/>
  <c r="AH1206" i="2" s="1"/>
  <c r="N1206" i="2"/>
  <c r="AF1205" i="2"/>
  <c r="AE1205" i="2"/>
  <c r="AD1205" i="2"/>
  <c r="AH1205" i="2" s="1"/>
  <c r="AC1205" i="2"/>
  <c r="AG1205" i="2" s="1"/>
  <c r="AB1205" i="2"/>
  <c r="AA1205" i="2"/>
  <c r="Z1205" i="2"/>
  <c r="Y1205" i="2"/>
  <c r="S1205" i="2"/>
  <c r="O1205" i="2"/>
  <c r="N1205" i="2"/>
  <c r="AC1204" i="2"/>
  <c r="AG1204" i="2" s="1"/>
  <c r="AA1204" i="2"/>
  <c r="AE1204" i="2" s="1"/>
  <c r="Z1204" i="2"/>
  <c r="Y1204" i="2"/>
  <c r="S1204" i="2"/>
  <c r="O1204" i="2"/>
  <c r="AD1204" i="2" s="1"/>
  <c r="AH1204" i="2" s="1"/>
  <c r="N1204" i="2"/>
  <c r="AB1204" i="2" s="1"/>
  <c r="AF1204" i="2" s="1"/>
  <c r="AG1203" i="2"/>
  <c r="AE1203" i="2"/>
  <c r="AD1203" i="2"/>
  <c r="AH1203" i="2" s="1"/>
  <c r="AC1203" i="2"/>
  <c r="AA1203" i="2"/>
  <c r="Z1203" i="2"/>
  <c r="Y1203" i="2"/>
  <c r="S1203" i="2"/>
  <c r="O1203" i="2"/>
  <c r="N1203" i="2"/>
  <c r="AB1203" i="2" s="1"/>
  <c r="AF1203" i="2" s="1"/>
  <c r="AG1202" i="2"/>
  <c r="AF1202" i="2"/>
  <c r="AE1202" i="2"/>
  <c r="AC1202" i="2"/>
  <c r="AB1202" i="2"/>
  <c r="AA1202" i="2"/>
  <c r="Z1202" i="2"/>
  <c r="Y1202" i="2"/>
  <c r="S1202" i="2"/>
  <c r="O1202" i="2"/>
  <c r="AD1202" i="2" s="1"/>
  <c r="AH1202" i="2" s="1"/>
  <c r="N1202" i="2"/>
  <c r="AG1201" i="2"/>
  <c r="AD1201" i="2"/>
  <c r="AH1201" i="2" s="1"/>
  <c r="AC1201" i="2"/>
  <c r="AB1201" i="2"/>
  <c r="AF1201" i="2" s="1"/>
  <c r="AA1201" i="2"/>
  <c r="AE1201" i="2" s="1"/>
  <c r="Z1201" i="2"/>
  <c r="Y1201" i="2"/>
  <c r="S1201" i="2"/>
  <c r="O1201" i="2"/>
  <c r="N1201" i="2"/>
  <c r="AG1200" i="2"/>
  <c r="AE1200" i="2"/>
  <c r="AC1200" i="2"/>
  <c r="AA1200" i="2"/>
  <c r="Z1200" i="2"/>
  <c r="Y1200" i="2"/>
  <c r="S1200" i="2"/>
  <c r="O1200" i="2"/>
  <c r="AD1200" i="2" s="1"/>
  <c r="AH1200" i="2" s="1"/>
  <c r="N1200" i="2"/>
  <c r="AB1200" i="2" s="1"/>
  <c r="AF1200" i="2" s="1"/>
  <c r="AE1199" i="2"/>
  <c r="AC1199" i="2"/>
  <c r="AG1199" i="2" s="1"/>
  <c r="AA1199" i="2"/>
  <c r="Z1199" i="2"/>
  <c r="Y1199" i="2"/>
  <c r="S1199" i="2"/>
  <c r="O1199" i="2"/>
  <c r="AD1199" i="2" s="1"/>
  <c r="AH1199" i="2" s="1"/>
  <c r="N1199" i="2"/>
  <c r="AB1199" i="2" s="1"/>
  <c r="AF1199" i="2" s="1"/>
  <c r="AF1198" i="2"/>
  <c r="AE1198" i="2"/>
  <c r="AC1198" i="2"/>
  <c r="AG1198" i="2" s="1"/>
  <c r="AB1198" i="2"/>
  <c r="AA1198" i="2"/>
  <c r="Z1198" i="2"/>
  <c r="Y1198" i="2"/>
  <c r="S1198" i="2"/>
  <c r="O1198" i="2"/>
  <c r="AD1198" i="2" s="1"/>
  <c r="AH1198" i="2" s="1"/>
  <c r="N1198" i="2"/>
  <c r="AE1197" i="2"/>
  <c r="AD1197" i="2"/>
  <c r="AH1197" i="2" s="1"/>
  <c r="AC1197" i="2"/>
  <c r="AG1197" i="2" s="1"/>
  <c r="AB1197" i="2"/>
  <c r="AF1197" i="2" s="1"/>
  <c r="AA1197" i="2"/>
  <c r="Z1197" i="2"/>
  <c r="Y1197" i="2"/>
  <c r="S1197" i="2"/>
  <c r="O1197" i="2"/>
  <c r="N1197" i="2"/>
  <c r="AF1196" i="2"/>
  <c r="AE1196" i="2"/>
  <c r="AC1196" i="2"/>
  <c r="AG1196" i="2" s="1"/>
  <c r="AA1196" i="2"/>
  <c r="Z1196" i="2"/>
  <c r="Y1196" i="2"/>
  <c r="S1196" i="2"/>
  <c r="O1196" i="2"/>
  <c r="AD1196" i="2" s="1"/>
  <c r="AH1196" i="2" s="1"/>
  <c r="N1196" i="2"/>
  <c r="AB1196" i="2" s="1"/>
  <c r="AH1195" i="2"/>
  <c r="AG1195" i="2"/>
  <c r="AE1195" i="2"/>
  <c r="AD1195" i="2"/>
  <c r="AC1195" i="2"/>
  <c r="AB1195" i="2"/>
  <c r="AF1195" i="2" s="1"/>
  <c r="AA1195" i="2"/>
  <c r="Z1195" i="2"/>
  <c r="Y1195" i="2"/>
  <c r="S1195" i="2"/>
  <c r="O1195" i="2"/>
  <c r="N1195" i="2"/>
  <c r="AD1194" i="2"/>
  <c r="AH1194" i="2" s="1"/>
  <c r="Z1194" i="2"/>
  <c r="Y1194" i="2"/>
  <c r="S1194" i="2"/>
  <c r="O1194" i="2"/>
  <c r="AC1194" i="2" s="1"/>
  <c r="AG1194" i="2" s="1"/>
  <c r="N1194" i="2"/>
  <c r="AF1193" i="2"/>
  <c r="AD1193" i="2"/>
  <c r="AH1193" i="2" s="1"/>
  <c r="AC1193" i="2"/>
  <c r="AG1193" i="2" s="1"/>
  <c r="AB1193" i="2"/>
  <c r="AA1193" i="2"/>
  <c r="AE1193" i="2" s="1"/>
  <c r="Z1193" i="2"/>
  <c r="Y1193" i="2"/>
  <c r="S1193" i="2"/>
  <c r="O1193" i="2"/>
  <c r="N1193" i="2"/>
  <c r="AD1192" i="2"/>
  <c r="AH1192" i="2" s="1"/>
  <c r="AC1192" i="2"/>
  <c r="AG1192" i="2" s="1"/>
  <c r="AA1192" i="2"/>
  <c r="AE1192" i="2" s="1"/>
  <c r="Z1192" i="2"/>
  <c r="Y1192" i="2"/>
  <c r="S1192" i="2"/>
  <c r="O1192" i="2"/>
  <c r="N1192" i="2"/>
  <c r="AB1192" i="2" s="1"/>
  <c r="AF1192" i="2" s="1"/>
  <c r="AH1191" i="2"/>
  <c r="AG1191" i="2"/>
  <c r="AF1191" i="2"/>
  <c r="AE1191" i="2"/>
  <c r="AD1191" i="2"/>
  <c r="AC1191" i="2"/>
  <c r="AB1191" i="2"/>
  <c r="Z1191" i="2"/>
  <c r="Y1191" i="2"/>
  <c r="S1191" i="2"/>
  <c r="O1191" i="2"/>
  <c r="N1191" i="2"/>
  <c r="AA1191" i="2" s="1"/>
  <c r="AG1190" i="2"/>
  <c r="AD1190" i="2"/>
  <c r="AH1190" i="2" s="1"/>
  <c r="AC1190" i="2"/>
  <c r="AB1190" i="2"/>
  <c r="AF1190" i="2" s="1"/>
  <c r="AA1190" i="2"/>
  <c r="AE1190" i="2" s="1"/>
  <c r="Z1190" i="2"/>
  <c r="Y1190" i="2"/>
  <c r="S1190" i="2"/>
  <c r="O1190" i="2"/>
  <c r="N1190" i="2"/>
  <c r="AH1189" i="2"/>
  <c r="AD1189" i="2"/>
  <c r="AB1189" i="2"/>
  <c r="AF1189" i="2" s="1"/>
  <c r="Z1189" i="2"/>
  <c r="Y1189" i="2"/>
  <c r="S1189" i="2"/>
  <c r="O1189" i="2"/>
  <c r="AC1189" i="2" s="1"/>
  <c r="AG1189" i="2" s="1"/>
  <c r="N1189" i="2"/>
  <c r="AA1189" i="2" s="1"/>
  <c r="AE1189" i="2" s="1"/>
  <c r="AH1188" i="2"/>
  <c r="AC1188" i="2"/>
  <c r="AG1188" i="2" s="1"/>
  <c r="AB1188" i="2"/>
  <c r="AF1188" i="2" s="1"/>
  <c r="AA1188" i="2"/>
  <c r="AE1188" i="2" s="1"/>
  <c r="Z1188" i="2"/>
  <c r="Y1188" i="2"/>
  <c r="S1188" i="2"/>
  <c r="O1188" i="2"/>
  <c r="AD1188" i="2" s="1"/>
  <c r="N1188" i="2"/>
  <c r="AC1187" i="2"/>
  <c r="AG1187" i="2" s="1"/>
  <c r="AB1187" i="2"/>
  <c r="AF1187" i="2" s="1"/>
  <c r="AA1187" i="2"/>
  <c r="AE1187" i="2" s="1"/>
  <c r="Z1187" i="2"/>
  <c r="Y1187" i="2"/>
  <c r="S1187" i="2"/>
  <c r="O1187" i="2"/>
  <c r="AD1187" i="2" s="1"/>
  <c r="AH1187" i="2" s="1"/>
  <c r="N1187" i="2"/>
  <c r="AD1186" i="2"/>
  <c r="AH1186" i="2" s="1"/>
  <c r="AB1186" i="2"/>
  <c r="AF1186" i="2" s="1"/>
  <c r="AA1186" i="2"/>
  <c r="AE1186" i="2" s="1"/>
  <c r="Z1186" i="2"/>
  <c r="Y1186" i="2"/>
  <c r="S1186" i="2"/>
  <c r="O1186" i="2"/>
  <c r="AC1186" i="2" s="1"/>
  <c r="AG1186" i="2" s="1"/>
  <c r="N1186" i="2"/>
  <c r="AE1185" i="2"/>
  <c r="AD1185" i="2"/>
  <c r="AH1185" i="2" s="1"/>
  <c r="AB1185" i="2"/>
  <c r="AF1185" i="2" s="1"/>
  <c r="Z1185" i="2"/>
  <c r="Y1185" i="2"/>
  <c r="S1185" i="2"/>
  <c r="O1185" i="2"/>
  <c r="AC1185" i="2" s="1"/>
  <c r="AG1185" i="2" s="1"/>
  <c r="N1185" i="2"/>
  <c r="AA1185" i="2" s="1"/>
  <c r="AF1184" i="2"/>
  <c r="AE1184" i="2"/>
  <c r="AB1184" i="2"/>
  <c r="AA1184" i="2"/>
  <c r="Z1184" i="2"/>
  <c r="Y1184" i="2"/>
  <c r="S1184" i="2"/>
  <c r="O1184" i="2"/>
  <c r="N1184" i="2"/>
  <c r="AD1183" i="2"/>
  <c r="AH1183" i="2" s="1"/>
  <c r="AC1183" i="2"/>
  <c r="AG1183" i="2" s="1"/>
  <c r="AB1183" i="2"/>
  <c r="AF1183" i="2" s="1"/>
  <c r="AA1183" i="2"/>
  <c r="AE1183" i="2" s="1"/>
  <c r="Z1183" i="2"/>
  <c r="Y1183" i="2"/>
  <c r="S1183" i="2"/>
  <c r="O1183" i="2"/>
  <c r="N1183" i="2"/>
  <c r="AC1182" i="2"/>
  <c r="AG1182" i="2" s="1"/>
  <c r="AA1182" i="2"/>
  <c r="AE1182" i="2" s="1"/>
  <c r="Z1182" i="2"/>
  <c r="Y1182" i="2"/>
  <c r="S1182" i="2"/>
  <c r="O1182" i="2"/>
  <c r="AD1182" i="2" s="1"/>
  <c r="AH1182" i="2" s="1"/>
  <c r="N1182" i="2"/>
  <c r="AB1182" i="2" s="1"/>
  <c r="AF1182" i="2" s="1"/>
  <c r="AH1181" i="2"/>
  <c r="AC1181" i="2"/>
  <c r="AG1181" i="2" s="1"/>
  <c r="Z1181" i="2"/>
  <c r="Y1181" i="2"/>
  <c r="S1181" i="2"/>
  <c r="O1181" i="2"/>
  <c r="AD1181" i="2" s="1"/>
  <c r="N1181" i="2"/>
  <c r="AE1180" i="2"/>
  <c r="AD1180" i="2"/>
  <c r="AH1180" i="2" s="1"/>
  <c r="AB1180" i="2"/>
  <c r="AF1180" i="2" s="1"/>
  <c r="AA1180" i="2"/>
  <c r="Z1180" i="2"/>
  <c r="Y1180" i="2"/>
  <c r="S1180" i="2"/>
  <c r="O1180" i="2"/>
  <c r="AC1180" i="2" s="1"/>
  <c r="AG1180" i="2" s="1"/>
  <c r="N1180" i="2"/>
  <c r="AD1179" i="2"/>
  <c r="AH1179" i="2" s="1"/>
  <c r="AC1179" i="2"/>
  <c r="AG1179" i="2" s="1"/>
  <c r="AB1179" i="2"/>
  <c r="AF1179" i="2" s="1"/>
  <c r="AA1179" i="2"/>
  <c r="AE1179" i="2" s="1"/>
  <c r="Z1179" i="2"/>
  <c r="Y1179" i="2"/>
  <c r="S1179" i="2"/>
  <c r="O1179" i="2"/>
  <c r="N1179" i="2"/>
  <c r="AG1178" i="2"/>
  <c r="AF1178" i="2"/>
  <c r="AC1178" i="2"/>
  <c r="AA1178" i="2"/>
  <c r="AE1178" i="2" s="1"/>
  <c r="Z1178" i="2"/>
  <c r="Y1178" i="2"/>
  <c r="S1178" i="2"/>
  <c r="O1178" i="2"/>
  <c r="AD1178" i="2" s="1"/>
  <c r="AH1178" i="2" s="1"/>
  <c r="N1178" i="2"/>
  <c r="AB1178" i="2" s="1"/>
  <c r="AH1177" i="2"/>
  <c r="AG1177" i="2"/>
  <c r="AF1177" i="2"/>
  <c r="AD1177" i="2"/>
  <c r="AC1177" i="2"/>
  <c r="AA1177" i="2"/>
  <c r="AE1177" i="2" s="1"/>
  <c r="Z1177" i="2"/>
  <c r="Y1177" i="2"/>
  <c r="S1177" i="2"/>
  <c r="O1177" i="2"/>
  <c r="N1177" i="2"/>
  <c r="AB1177" i="2" s="1"/>
  <c r="AD1176" i="2"/>
  <c r="AH1176" i="2" s="1"/>
  <c r="AC1176" i="2"/>
  <c r="AG1176" i="2" s="1"/>
  <c r="AA1176" i="2"/>
  <c r="AE1176" i="2" s="1"/>
  <c r="Z1176" i="2"/>
  <c r="Y1176" i="2"/>
  <c r="S1176" i="2"/>
  <c r="O1176" i="2"/>
  <c r="N1176" i="2"/>
  <c r="AB1176" i="2" s="1"/>
  <c r="AF1176" i="2" s="1"/>
  <c r="AH1175" i="2"/>
  <c r="AC1175" i="2"/>
  <c r="AG1175" i="2" s="1"/>
  <c r="AA1175" i="2"/>
  <c r="AE1175" i="2" s="1"/>
  <c r="Z1175" i="2"/>
  <c r="Y1175" i="2"/>
  <c r="S1175" i="2"/>
  <c r="O1175" i="2"/>
  <c r="AD1175" i="2" s="1"/>
  <c r="N1175" i="2"/>
  <c r="AB1175" i="2" s="1"/>
  <c r="AF1175" i="2" s="1"/>
  <c r="AF1174" i="2"/>
  <c r="AE1174" i="2"/>
  <c r="AD1174" i="2"/>
  <c r="AH1174" i="2" s="1"/>
  <c r="AC1174" i="2"/>
  <c r="AG1174" i="2" s="1"/>
  <c r="AB1174" i="2"/>
  <c r="Z1174" i="2"/>
  <c r="Y1174" i="2"/>
  <c r="S1174" i="2"/>
  <c r="O1174" i="2"/>
  <c r="N1174" i="2"/>
  <c r="AA1174" i="2" s="1"/>
  <c r="AF1173" i="2"/>
  <c r="AE1173" i="2"/>
  <c r="AD1173" i="2"/>
  <c r="AH1173" i="2" s="1"/>
  <c r="AC1173" i="2"/>
  <c r="AG1173" i="2" s="1"/>
  <c r="AA1173" i="2"/>
  <c r="Z1173" i="2"/>
  <c r="Y1173" i="2"/>
  <c r="S1173" i="2"/>
  <c r="O1173" i="2"/>
  <c r="N1173" i="2"/>
  <c r="AB1173" i="2" s="1"/>
  <c r="AG1172" i="2"/>
  <c r="AE1172" i="2"/>
  <c r="AD1172" i="2"/>
  <c r="AH1172" i="2" s="1"/>
  <c r="AC1172" i="2"/>
  <c r="AB1172" i="2"/>
  <c r="AF1172" i="2" s="1"/>
  <c r="AA1172" i="2"/>
  <c r="Z1172" i="2"/>
  <c r="Y1172" i="2"/>
  <c r="S1172" i="2"/>
  <c r="O1172" i="2"/>
  <c r="N1172" i="2"/>
  <c r="AG1171" i="2"/>
  <c r="AD1171" i="2"/>
  <c r="AH1171" i="2" s="1"/>
  <c r="AC1171" i="2"/>
  <c r="AA1171" i="2"/>
  <c r="AE1171" i="2" s="1"/>
  <c r="Z1171" i="2"/>
  <c r="Y1171" i="2"/>
  <c r="S1171" i="2"/>
  <c r="O1171" i="2"/>
  <c r="N1171" i="2"/>
  <c r="AB1171" i="2" s="1"/>
  <c r="AF1171" i="2" s="1"/>
  <c r="AG1170" i="2"/>
  <c r="AF1170" i="2"/>
  <c r="AC1170" i="2"/>
  <c r="AB1170" i="2"/>
  <c r="AA1170" i="2"/>
  <c r="AE1170" i="2" s="1"/>
  <c r="Z1170" i="2"/>
  <c r="Y1170" i="2"/>
  <c r="S1170" i="2"/>
  <c r="O1170" i="2"/>
  <c r="AD1170" i="2" s="1"/>
  <c r="AH1170" i="2" s="1"/>
  <c r="N1170" i="2"/>
  <c r="AF1169" i="2"/>
  <c r="AD1169" i="2"/>
  <c r="AH1169" i="2" s="1"/>
  <c r="AB1169" i="2"/>
  <c r="Z1169" i="2"/>
  <c r="Y1169" i="2"/>
  <c r="S1169" i="2"/>
  <c r="O1169" i="2"/>
  <c r="AC1169" i="2" s="1"/>
  <c r="AG1169" i="2" s="1"/>
  <c r="N1169" i="2"/>
  <c r="AA1169" i="2" s="1"/>
  <c r="AE1169" i="2" s="1"/>
  <c r="AG1168" i="2"/>
  <c r="AE1168" i="2"/>
  <c r="AD1168" i="2"/>
  <c r="AH1168" i="2" s="1"/>
  <c r="AC1168" i="2"/>
  <c r="AB1168" i="2"/>
  <c r="AF1168" i="2" s="1"/>
  <c r="AA1168" i="2"/>
  <c r="Z1168" i="2"/>
  <c r="Y1168" i="2"/>
  <c r="S1168" i="2"/>
  <c r="O1168" i="2"/>
  <c r="N1168" i="2"/>
  <c r="AG1167" i="2"/>
  <c r="AE1167" i="2"/>
  <c r="AC1167" i="2"/>
  <c r="AA1167" i="2"/>
  <c r="Z1167" i="2"/>
  <c r="Y1167" i="2"/>
  <c r="S1167" i="2"/>
  <c r="O1167" i="2"/>
  <c r="AD1167" i="2" s="1"/>
  <c r="AH1167" i="2" s="1"/>
  <c r="N1167" i="2"/>
  <c r="AB1167" i="2" s="1"/>
  <c r="AF1167" i="2" s="1"/>
  <c r="AG1166" i="2"/>
  <c r="AF1166" i="2"/>
  <c r="AE1166" i="2"/>
  <c r="AC1166" i="2"/>
  <c r="AB1166" i="2"/>
  <c r="AA1166" i="2"/>
  <c r="Z1166" i="2"/>
  <c r="Y1166" i="2"/>
  <c r="S1166" i="2"/>
  <c r="O1166" i="2"/>
  <c r="AD1166" i="2" s="1"/>
  <c r="AH1166" i="2" s="1"/>
  <c r="N1166" i="2"/>
  <c r="AG1165" i="2"/>
  <c r="AD1165" i="2"/>
  <c r="AH1165" i="2" s="1"/>
  <c r="AB1165" i="2"/>
  <c r="AF1165" i="2" s="1"/>
  <c r="AA1165" i="2"/>
  <c r="AE1165" i="2" s="1"/>
  <c r="Z1165" i="2"/>
  <c r="Y1165" i="2"/>
  <c r="S1165" i="2"/>
  <c r="O1165" i="2"/>
  <c r="AC1165" i="2" s="1"/>
  <c r="N1165" i="2"/>
  <c r="AH1164" i="2"/>
  <c r="AG1164" i="2"/>
  <c r="AD1164" i="2"/>
  <c r="AC1164" i="2"/>
  <c r="AB1164" i="2"/>
  <c r="AF1164" i="2" s="1"/>
  <c r="Z1164" i="2"/>
  <c r="Y1164" i="2"/>
  <c r="S1164" i="2"/>
  <c r="O1164" i="2"/>
  <c r="N1164" i="2"/>
  <c r="AA1164" i="2" s="1"/>
  <c r="AE1164" i="2" s="1"/>
  <c r="AH1163" i="2"/>
  <c r="AG1163" i="2"/>
  <c r="AE1163" i="2"/>
  <c r="AC1163" i="2"/>
  <c r="AA1163" i="2"/>
  <c r="Z1163" i="2"/>
  <c r="Y1163" i="2"/>
  <c r="S1163" i="2"/>
  <c r="O1163" i="2"/>
  <c r="AD1163" i="2" s="1"/>
  <c r="N1163" i="2"/>
  <c r="AB1163" i="2" s="1"/>
  <c r="AF1163" i="2" s="1"/>
  <c r="AH1162" i="2"/>
  <c r="AG1162" i="2"/>
  <c r="AE1162" i="2"/>
  <c r="AD1162" i="2"/>
  <c r="AC1162" i="2"/>
  <c r="AB1162" i="2"/>
  <c r="AF1162" i="2" s="1"/>
  <c r="AA1162" i="2"/>
  <c r="Z1162" i="2"/>
  <c r="Y1162" i="2"/>
  <c r="S1162" i="2"/>
  <c r="O1162" i="2"/>
  <c r="N1162" i="2"/>
  <c r="AF1161" i="2"/>
  <c r="AB1161" i="2"/>
  <c r="AA1161" i="2"/>
  <c r="AE1161" i="2" s="1"/>
  <c r="Z1161" i="2"/>
  <c r="Y1161" i="2"/>
  <c r="S1161" i="2"/>
  <c r="O1161" i="2"/>
  <c r="N1161" i="2"/>
  <c r="AH1160" i="2"/>
  <c r="AF1160" i="2"/>
  <c r="AD1160" i="2"/>
  <c r="AC1160" i="2"/>
  <c r="AG1160" i="2" s="1"/>
  <c r="AB1160" i="2"/>
  <c r="AA1160" i="2"/>
  <c r="AE1160" i="2" s="1"/>
  <c r="Z1160" i="2"/>
  <c r="Y1160" i="2"/>
  <c r="S1160" i="2"/>
  <c r="O1160" i="2"/>
  <c r="N1160" i="2"/>
  <c r="AH1159" i="2"/>
  <c r="AE1159" i="2"/>
  <c r="AD1159" i="2"/>
  <c r="AC1159" i="2"/>
  <c r="AG1159" i="2" s="1"/>
  <c r="AA1159" i="2"/>
  <c r="Z1159" i="2"/>
  <c r="Y1159" i="2"/>
  <c r="S1159" i="2"/>
  <c r="O1159" i="2"/>
  <c r="N1159" i="2"/>
  <c r="AB1159" i="2" s="1"/>
  <c r="AF1159" i="2" s="1"/>
  <c r="AG1158" i="2"/>
  <c r="AF1158" i="2"/>
  <c r="AE1158" i="2"/>
  <c r="AD1158" i="2"/>
  <c r="AH1158" i="2" s="1"/>
  <c r="AC1158" i="2"/>
  <c r="AB1158" i="2"/>
  <c r="AA1158" i="2"/>
  <c r="Z1158" i="2"/>
  <c r="Y1158" i="2"/>
  <c r="S1158" i="2"/>
  <c r="O1158" i="2"/>
  <c r="N1158" i="2"/>
  <c r="AD1157" i="2"/>
  <c r="AH1157" i="2" s="1"/>
  <c r="AC1157" i="2"/>
  <c r="AG1157" i="2" s="1"/>
  <c r="AB1157" i="2"/>
  <c r="AF1157" i="2" s="1"/>
  <c r="AA1157" i="2"/>
  <c r="AE1157" i="2" s="1"/>
  <c r="Z1157" i="2"/>
  <c r="Y1157" i="2"/>
  <c r="S1157" i="2"/>
  <c r="O1157" i="2"/>
  <c r="N1157" i="2"/>
  <c r="AF1156" i="2"/>
  <c r="AD1156" i="2"/>
  <c r="AH1156" i="2" s="1"/>
  <c r="AB1156" i="2"/>
  <c r="Z1156" i="2"/>
  <c r="Y1156" i="2"/>
  <c r="S1156" i="2"/>
  <c r="O1156" i="2"/>
  <c r="AC1156" i="2" s="1"/>
  <c r="AG1156" i="2" s="1"/>
  <c r="N1156" i="2"/>
  <c r="AA1156" i="2" s="1"/>
  <c r="AE1156" i="2" s="1"/>
  <c r="AH1155" i="2"/>
  <c r="AF1155" i="2"/>
  <c r="AE1155" i="2"/>
  <c r="AD1155" i="2"/>
  <c r="AC1155" i="2"/>
  <c r="AG1155" i="2" s="1"/>
  <c r="AA1155" i="2"/>
  <c r="Z1155" i="2"/>
  <c r="Y1155" i="2"/>
  <c r="S1155" i="2"/>
  <c r="O1155" i="2"/>
  <c r="N1155" i="2"/>
  <c r="AB1155" i="2" s="1"/>
  <c r="AF1154" i="2"/>
  <c r="AD1154" i="2"/>
  <c r="AH1154" i="2" s="1"/>
  <c r="AC1154" i="2"/>
  <c r="AG1154" i="2" s="1"/>
  <c r="AB1154" i="2"/>
  <c r="AA1154" i="2"/>
  <c r="AE1154" i="2" s="1"/>
  <c r="Z1154" i="2"/>
  <c r="Y1154" i="2"/>
  <c r="S1154" i="2"/>
  <c r="O1154" i="2"/>
  <c r="N1154" i="2"/>
  <c r="AH1153" i="2"/>
  <c r="AG1153" i="2"/>
  <c r="AC1153" i="2"/>
  <c r="AA1153" i="2"/>
  <c r="AE1153" i="2" s="1"/>
  <c r="Z1153" i="2"/>
  <c r="Y1153" i="2"/>
  <c r="S1153" i="2"/>
  <c r="O1153" i="2"/>
  <c r="AD1153" i="2" s="1"/>
  <c r="N1153" i="2"/>
  <c r="AB1153" i="2" s="1"/>
  <c r="AF1153" i="2" s="1"/>
  <c r="AH1152" i="2"/>
  <c r="AG1152" i="2"/>
  <c r="AF1152" i="2"/>
  <c r="AD1152" i="2"/>
  <c r="AC1152" i="2"/>
  <c r="AB1152" i="2"/>
  <c r="AA1152" i="2"/>
  <c r="AE1152" i="2" s="1"/>
  <c r="Z1152" i="2"/>
  <c r="Y1152" i="2"/>
  <c r="S1152" i="2"/>
  <c r="O1152" i="2"/>
  <c r="N1152" i="2"/>
  <c r="AD1151" i="2"/>
  <c r="AH1151" i="2" s="1"/>
  <c r="AB1151" i="2"/>
  <c r="AF1151" i="2" s="1"/>
  <c r="Z1151" i="2"/>
  <c r="Y1151" i="2"/>
  <c r="S1151" i="2"/>
  <c r="O1151" i="2"/>
  <c r="AC1151" i="2" s="1"/>
  <c r="AG1151" i="2" s="1"/>
  <c r="N1151" i="2"/>
  <c r="AA1151" i="2" s="1"/>
  <c r="AE1151" i="2" s="1"/>
  <c r="AD1150" i="2"/>
  <c r="AH1150" i="2" s="1"/>
  <c r="AC1150" i="2"/>
  <c r="AG1150" i="2" s="1"/>
  <c r="Z1150" i="2"/>
  <c r="Y1150" i="2"/>
  <c r="S1150" i="2"/>
  <c r="O1150" i="2"/>
  <c r="N1150" i="2"/>
  <c r="Z1149" i="2"/>
  <c r="Y1149" i="2"/>
  <c r="S1149" i="2"/>
  <c r="O1149" i="2"/>
  <c r="N1149" i="2"/>
  <c r="AG1148" i="2"/>
  <c r="AE1148" i="2"/>
  <c r="AC1148" i="2"/>
  <c r="AB1148" i="2"/>
  <c r="AF1148" i="2" s="1"/>
  <c r="AA1148" i="2"/>
  <c r="Z1148" i="2"/>
  <c r="Y1148" i="2"/>
  <c r="S1148" i="2"/>
  <c r="O1148" i="2"/>
  <c r="AD1148" i="2" s="1"/>
  <c r="AH1148" i="2" s="1"/>
  <c r="N1148" i="2"/>
  <c r="AD1147" i="2"/>
  <c r="AH1147" i="2" s="1"/>
  <c r="AB1147" i="2"/>
  <c r="AF1147" i="2" s="1"/>
  <c r="Z1147" i="2"/>
  <c r="Y1147" i="2"/>
  <c r="S1147" i="2"/>
  <c r="O1147" i="2"/>
  <c r="AC1147" i="2" s="1"/>
  <c r="AG1147" i="2" s="1"/>
  <c r="N1147" i="2"/>
  <c r="AA1147" i="2" s="1"/>
  <c r="AE1147" i="2" s="1"/>
  <c r="AC1146" i="2"/>
  <c r="AG1146" i="2" s="1"/>
  <c r="AA1146" i="2"/>
  <c r="AE1146" i="2" s="1"/>
  <c r="Z1146" i="2"/>
  <c r="Y1146" i="2"/>
  <c r="S1146" i="2"/>
  <c r="O1146" i="2"/>
  <c r="AD1146" i="2" s="1"/>
  <c r="AH1146" i="2" s="1"/>
  <c r="N1146" i="2"/>
  <c r="AB1146" i="2" s="1"/>
  <c r="AF1146" i="2" s="1"/>
  <c r="AH1145" i="2"/>
  <c r="AE1145" i="2"/>
  <c r="AC1145" i="2"/>
  <c r="AG1145" i="2" s="1"/>
  <c r="AA1145" i="2"/>
  <c r="Z1145" i="2"/>
  <c r="Y1145" i="2"/>
  <c r="S1145" i="2"/>
  <c r="O1145" i="2"/>
  <c r="AD1145" i="2" s="1"/>
  <c r="N1145" i="2"/>
  <c r="AB1145" i="2" s="1"/>
  <c r="AF1145" i="2" s="1"/>
  <c r="AH1144" i="2"/>
  <c r="AE1144" i="2"/>
  <c r="AD1144" i="2"/>
  <c r="AC1144" i="2"/>
  <c r="AG1144" i="2" s="1"/>
  <c r="AB1144" i="2"/>
  <c r="AF1144" i="2" s="1"/>
  <c r="AA1144" i="2"/>
  <c r="Z1144" i="2"/>
  <c r="Y1144" i="2"/>
  <c r="S1144" i="2"/>
  <c r="O1144" i="2"/>
  <c r="N1144" i="2"/>
  <c r="AH1143" i="2"/>
  <c r="AF1143" i="2"/>
  <c r="AD1143" i="2"/>
  <c r="AB1143" i="2"/>
  <c r="AA1143" i="2"/>
  <c r="AE1143" i="2" s="1"/>
  <c r="Z1143" i="2"/>
  <c r="Y1143" i="2"/>
  <c r="S1143" i="2"/>
  <c r="O1143" i="2"/>
  <c r="AC1143" i="2" s="1"/>
  <c r="AG1143" i="2" s="1"/>
  <c r="N1143" i="2"/>
  <c r="AC1142" i="2"/>
  <c r="AG1142" i="2" s="1"/>
  <c r="AA1142" i="2"/>
  <c r="AE1142" i="2" s="1"/>
  <c r="Z1142" i="2"/>
  <c r="Y1142" i="2"/>
  <c r="S1142" i="2"/>
  <c r="O1142" i="2"/>
  <c r="AD1142" i="2" s="1"/>
  <c r="AH1142" i="2" s="1"/>
  <c r="N1142" i="2"/>
  <c r="AB1142" i="2" s="1"/>
  <c r="AF1142" i="2" s="1"/>
  <c r="AH1141" i="2"/>
  <c r="AE1141" i="2"/>
  <c r="AD1141" i="2"/>
  <c r="AC1141" i="2"/>
  <c r="AG1141" i="2" s="1"/>
  <c r="AB1141" i="2"/>
  <c r="AF1141" i="2" s="1"/>
  <c r="AA1141" i="2"/>
  <c r="Z1141" i="2"/>
  <c r="Y1141" i="2"/>
  <c r="S1141" i="2"/>
  <c r="O1141" i="2"/>
  <c r="N1141" i="2"/>
  <c r="AH1140" i="2"/>
  <c r="AG1140" i="2"/>
  <c r="AE1140" i="2"/>
  <c r="AC1140" i="2"/>
  <c r="AB1140" i="2"/>
  <c r="AF1140" i="2" s="1"/>
  <c r="AA1140" i="2"/>
  <c r="Z1140" i="2"/>
  <c r="Y1140" i="2"/>
  <c r="S1140" i="2"/>
  <c r="O1140" i="2"/>
  <c r="AD1140" i="2" s="1"/>
  <c r="N1140" i="2"/>
  <c r="AC1139" i="2"/>
  <c r="AG1139" i="2" s="1"/>
  <c r="AB1139" i="2"/>
  <c r="AF1139" i="2" s="1"/>
  <c r="AA1139" i="2"/>
  <c r="AE1139" i="2" s="1"/>
  <c r="Z1139" i="2"/>
  <c r="Y1139" i="2"/>
  <c r="S1139" i="2"/>
  <c r="O1139" i="2"/>
  <c r="AD1139" i="2" s="1"/>
  <c r="AH1139" i="2" s="1"/>
  <c r="N1139" i="2"/>
  <c r="AC1138" i="2"/>
  <c r="AG1138" i="2" s="1"/>
  <c r="AA1138" i="2"/>
  <c r="AE1138" i="2" s="1"/>
  <c r="Z1138" i="2"/>
  <c r="Y1138" i="2"/>
  <c r="S1138" i="2"/>
  <c r="O1138" i="2"/>
  <c r="AD1138" i="2" s="1"/>
  <c r="AH1138" i="2" s="1"/>
  <c r="N1138" i="2"/>
  <c r="AB1138" i="2" s="1"/>
  <c r="AF1138" i="2" s="1"/>
  <c r="AH1137" i="2"/>
  <c r="AG1137" i="2"/>
  <c r="AF1137" i="2"/>
  <c r="AD1137" i="2"/>
  <c r="AC1137" i="2"/>
  <c r="AA1137" i="2"/>
  <c r="AE1137" i="2" s="1"/>
  <c r="Z1137" i="2"/>
  <c r="Y1137" i="2"/>
  <c r="S1137" i="2"/>
  <c r="O1137" i="2"/>
  <c r="N1137" i="2"/>
  <c r="AB1137" i="2" s="1"/>
  <c r="AD1136" i="2"/>
  <c r="AH1136" i="2" s="1"/>
  <c r="AC1136" i="2"/>
  <c r="AG1136" i="2" s="1"/>
  <c r="AB1136" i="2"/>
  <c r="AF1136" i="2" s="1"/>
  <c r="AA1136" i="2"/>
  <c r="AE1136" i="2" s="1"/>
  <c r="Z1136" i="2"/>
  <c r="Y1136" i="2"/>
  <c r="S1136" i="2"/>
  <c r="O1136" i="2"/>
  <c r="N1136" i="2"/>
  <c r="AG1135" i="2"/>
  <c r="AD1135" i="2"/>
  <c r="AH1135" i="2" s="1"/>
  <c r="AB1135" i="2"/>
  <c r="AF1135" i="2" s="1"/>
  <c r="Z1135" i="2"/>
  <c r="Y1135" i="2"/>
  <c r="S1135" i="2"/>
  <c r="O1135" i="2"/>
  <c r="AC1135" i="2" s="1"/>
  <c r="N1135" i="2"/>
  <c r="AA1135" i="2" s="1"/>
  <c r="AE1135" i="2" s="1"/>
  <c r="AD1134" i="2"/>
  <c r="AH1134" i="2" s="1"/>
  <c r="AC1134" i="2"/>
  <c r="AG1134" i="2" s="1"/>
  <c r="AB1134" i="2"/>
  <c r="AF1134" i="2" s="1"/>
  <c r="AA1134" i="2"/>
  <c r="AE1134" i="2" s="1"/>
  <c r="Z1134" i="2"/>
  <c r="Y1134" i="2"/>
  <c r="S1134" i="2"/>
  <c r="O1134" i="2"/>
  <c r="N1134" i="2"/>
  <c r="AC1133" i="2"/>
  <c r="AG1133" i="2" s="1"/>
  <c r="AA1133" i="2"/>
  <c r="AE1133" i="2" s="1"/>
  <c r="Z1133" i="2"/>
  <c r="Y1133" i="2"/>
  <c r="S1133" i="2"/>
  <c r="O1133" i="2"/>
  <c r="AD1133" i="2" s="1"/>
  <c r="AH1133" i="2" s="1"/>
  <c r="N1133" i="2"/>
  <c r="AB1133" i="2" s="1"/>
  <c r="AF1133" i="2" s="1"/>
  <c r="AG1132" i="2"/>
  <c r="AE1132" i="2"/>
  <c r="AD1132" i="2"/>
  <c r="AH1132" i="2" s="1"/>
  <c r="AC1132" i="2"/>
  <c r="AB1132" i="2"/>
  <c r="AF1132" i="2" s="1"/>
  <c r="AA1132" i="2"/>
  <c r="Z1132" i="2"/>
  <c r="Y1132" i="2"/>
  <c r="S1132" i="2"/>
  <c r="O1132" i="2"/>
  <c r="N1132" i="2"/>
  <c r="AG1131" i="2"/>
  <c r="AE1131" i="2"/>
  <c r="AD1131" i="2"/>
  <c r="AH1131" i="2" s="1"/>
  <c r="AC1131" i="2"/>
  <c r="AA1131" i="2"/>
  <c r="Z1131" i="2"/>
  <c r="Y1131" i="2"/>
  <c r="S1131" i="2"/>
  <c r="O1131" i="2"/>
  <c r="N1131" i="2"/>
  <c r="AB1131" i="2" s="1"/>
  <c r="AF1131" i="2" s="1"/>
  <c r="AH1130" i="2"/>
  <c r="AG1130" i="2"/>
  <c r="AC1130" i="2"/>
  <c r="AB1130" i="2"/>
  <c r="AF1130" i="2" s="1"/>
  <c r="AA1130" i="2"/>
  <c r="AE1130" i="2" s="1"/>
  <c r="Z1130" i="2"/>
  <c r="Y1130" i="2"/>
  <c r="S1130" i="2"/>
  <c r="O1130" i="2"/>
  <c r="AD1130" i="2" s="1"/>
  <c r="N1130" i="2"/>
  <c r="AE1129" i="2"/>
  <c r="AD1129" i="2"/>
  <c r="AH1129" i="2" s="1"/>
  <c r="AC1129" i="2"/>
  <c r="AG1129" i="2" s="1"/>
  <c r="AB1129" i="2"/>
  <c r="AF1129" i="2" s="1"/>
  <c r="AA1129" i="2"/>
  <c r="Z1129" i="2"/>
  <c r="Y1129" i="2"/>
  <c r="S1129" i="2"/>
  <c r="O1129" i="2"/>
  <c r="N1129" i="2"/>
  <c r="AH1128" i="2"/>
  <c r="AD1128" i="2"/>
  <c r="AC1128" i="2"/>
  <c r="AG1128" i="2" s="1"/>
  <c r="AB1128" i="2"/>
  <c r="AF1128" i="2" s="1"/>
  <c r="AA1128" i="2"/>
  <c r="AE1128" i="2" s="1"/>
  <c r="Z1128" i="2"/>
  <c r="Y1128" i="2"/>
  <c r="S1128" i="2"/>
  <c r="O1128" i="2"/>
  <c r="N1128" i="2"/>
  <c r="AD1127" i="2"/>
  <c r="AH1127" i="2" s="1"/>
  <c r="AC1127" i="2"/>
  <c r="AG1127" i="2" s="1"/>
  <c r="AB1127" i="2"/>
  <c r="AF1127" i="2" s="1"/>
  <c r="Z1127" i="2"/>
  <c r="Y1127" i="2"/>
  <c r="S1127" i="2"/>
  <c r="O1127" i="2"/>
  <c r="N1127" i="2"/>
  <c r="AA1127" i="2" s="1"/>
  <c r="AE1127" i="2" s="1"/>
  <c r="AH1126" i="2"/>
  <c r="AE1126" i="2"/>
  <c r="AD1126" i="2"/>
  <c r="AB1126" i="2"/>
  <c r="AF1126" i="2" s="1"/>
  <c r="AA1126" i="2"/>
  <c r="Z1126" i="2"/>
  <c r="Y1126" i="2"/>
  <c r="S1126" i="2"/>
  <c r="O1126" i="2"/>
  <c r="AC1126" i="2" s="1"/>
  <c r="AG1126" i="2" s="1"/>
  <c r="N1126" i="2"/>
  <c r="AD1125" i="2"/>
  <c r="AH1125" i="2" s="1"/>
  <c r="AB1125" i="2"/>
  <c r="AF1125" i="2" s="1"/>
  <c r="AA1125" i="2"/>
  <c r="AE1125" i="2" s="1"/>
  <c r="Z1125" i="2"/>
  <c r="Y1125" i="2"/>
  <c r="S1125" i="2"/>
  <c r="O1125" i="2"/>
  <c r="AC1125" i="2" s="1"/>
  <c r="AG1125" i="2" s="1"/>
  <c r="N1125" i="2"/>
  <c r="AE1124" i="2"/>
  <c r="AA1124" i="2"/>
  <c r="Z1124" i="2"/>
  <c r="Y1124" i="2"/>
  <c r="S1124" i="2"/>
  <c r="O1124" i="2"/>
  <c r="AD1124" i="2" s="1"/>
  <c r="AH1124" i="2" s="1"/>
  <c r="N1124" i="2"/>
  <c r="AB1124" i="2" s="1"/>
  <c r="AF1124" i="2" s="1"/>
  <c r="AH1123" i="2"/>
  <c r="AE1123" i="2"/>
  <c r="AD1123" i="2"/>
  <c r="AC1123" i="2"/>
  <c r="AG1123" i="2" s="1"/>
  <c r="AB1123" i="2"/>
  <c r="AF1123" i="2" s="1"/>
  <c r="Z1123" i="2"/>
  <c r="Y1123" i="2"/>
  <c r="S1123" i="2"/>
  <c r="O1123" i="2"/>
  <c r="N1123" i="2"/>
  <c r="AA1123" i="2" s="1"/>
  <c r="AG1122" i="2"/>
  <c r="AF1122" i="2"/>
  <c r="AE1122" i="2"/>
  <c r="AC1122" i="2"/>
  <c r="AB1122" i="2"/>
  <c r="AA1122" i="2"/>
  <c r="Z1122" i="2"/>
  <c r="Y1122" i="2"/>
  <c r="S1122" i="2"/>
  <c r="O1122" i="2"/>
  <c r="AD1122" i="2" s="1"/>
  <c r="AH1122" i="2" s="1"/>
  <c r="N1122" i="2"/>
  <c r="AD1121" i="2"/>
  <c r="AH1121" i="2" s="1"/>
  <c r="AC1121" i="2"/>
  <c r="AG1121" i="2" s="1"/>
  <c r="AB1121" i="2"/>
  <c r="AF1121" i="2" s="1"/>
  <c r="AA1121" i="2"/>
  <c r="AE1121" i="2" s="1"/>
  <c r="Z1121" i="2"/>
  <c r="Y1121" i="2"/>
  <c r="S1121" i="2"/>
  <c r="O1121" i="2"/>
  <c r="N1121" i="2"/>
  <c r="AC1120" i="2"/>
  <c r="AG1120" i="2" s="1"/>
  <c r="AA1120" i="2"/>
  <c r="AE1120" i="2" s="1"/>
  <c r="Z1120" i="2"/>
  <c r="Y1120" i="2"/>
  <c r="S1120" i="2"/>
  <c r="O1120" i="2"/>
  <c r="AD1120" i="2" s="1"/>
  <c r="AH1120" i="2" s="1"/>
  <c r="N1120" i="2"/>
  <c r="AB1120" i="2" s="1"/>
  <c r="AF1120" i="2" s="1"/>
  <c r="AG1119" i="2"/>
  <c r="AF1119" i="2"/>
  <c r="AD1119" i="2"/>
  <c r="AH1119" i="2" s="1"/>
  <c r="AC1119" i="2"/>
  <c r="AA1119" i="2"/>
  <c r="AE1119" i="2" s="1"/>
  <c r="Z1119" i="2"/>
  <c r="Y1119" i="2"/>
  <c r="S1119" i="2"/>
  <c r="O1119" i="2"/>
  <c r="N1119" i="2"/>
  <c r="AB1119" i="2" s="1"/>
  <c r="AD1118" i="2"/>
  <c r="AH1118" i="2" s="1"/>
  <c r="AC1118" i="2"/>
  <c r="AG1118" i="2" s="1"/>
  <c r="AB1118" i="2"/>
  <c r="AF1118" i="2" s="1"/>
  <c r="Z1118" i="2"/>
  <c r="Y1118" i="2"/>
  <c r="S1118" i="2"/>
  <c r="O1118" i="2"/>
  <c r="N1118" i="2"/>
  <c r="AA1118" i="2" s="1"/>
  <c r="AE1118" i="2" s="1"/>
  <c r="AG1117" i="2"/>
  <c r="AC1117" i="2"/>
  <c r="AA1117" i="2"/>
  <c r="AE1117" i="2" s="1"/>
  <c r="Z1117" i="2"/>
  <c r="Y1117" i="2"/>
  <c r="S1117" i="2"/>
  <c r="O1117" i="2"/>
  <c r="AD1117" i="2" s="1"/>
  <c r="AH1117" i="2" s="1"/>
  <c r="N1117" i="2"/>
  <c r="AB1117" i="2" s="1"/>
  <c r="AF1117" i="2" s="1"/>
  <c r="AF1116" i="2"/>
  <c r="AD1116" i="2"/>
  <c r="AH1116" i="2" s="1"/>
  <c r="AC1116" i="2"/>
  <c r="AG1116" i="2" s="1"/>
  <c r="AB1116" i="2"/>
  <c r="AA1116" i="2"/>
  <c r="AE1116" i="2" s="1"/>
  <c r="Z1116" i="2"/>
  <c r="Y1116" i="2"/>
  <c r="S1116" i="2"/>
  <c r="O1116" i="2"/>
  <c r="N1116" i="2"/>
  <c r="Z1115" i="2"/>
  <c r="Y1115" i="2"/>
  <c r="S1115" i="2"/>
  <c r="O1115" i="2"/>
  <c r="N1115" i="2"/>
  <c r="AD1114" i="2"/>
  <c r="AH1114" i="2" s="1"/>
  <c r="AC1114" i="2"/>
  <c r="AG1114" i="2" s="1"/>
  <c r="AA1114" i="2"/>
  <c r="AE1114" i="2" s="1"/>
  <c r="Z1114" i="2"/>
  <c r="Y1114" i="2"/>
  <c r="S1114" i="2"/>
  <c r="O1114" i="2"/>
  <c r="N1114" i="2"/>
  <c r="AB1114" i="2" s="1"/>
  <c r="AF1114" i="2" s="1"/>
  <c r="AG1113" i="2"/>
  <c r="AE1113" i="2"/>
  <c r="AC1113" i="2"/>
  <c r="AB1113" i="2"/>
  <c r="AF1113" i="2" s="1"/>
  <c r="AA1113" i="2"/>
  <c r="Z1113" i="2"/>
  <c r="Y1113" i="2"/>
  <c r="S1113" i="2"/>
  <c r="O1113" i="2"/>
  <c r="AD1113" i="2" s="1"/>
  <c r="AH1113" i="2" s="1"/>
  <c r="N1113" i="2"/>
  <c r="AG1112" i="2"/>
  <c r="AD1112" i="2"/>
  <c r="AH1112" i="2" s="1"/>
  <c r="AC1112" i="2"/>
  <c r="AB1112" i="2"/>
  <c r="AF1112" i="2" s="1"/>
  <c r="AA1112" i="2"/>
  <c r="AE1112" i="2" s="1"/>
  <c r="Z1112" i="2"/>
  <c r="Y1112" i="2"/>
  <c r="S1112" i="2"/>
  <c r="O1112" i="2"/>
  <c r="N1112" i="2"/>
  <c r="AF1111" i="2"/>
  <c r="AD1111" i="2"/>
  <c r="AH1111" i="2" s="1"/>
  <c r="AC1111" i="2"/>
  <c r="AG1111" i="2" s="1"/>
  <c r="AA1111" i="2"/>
  <c r="AE1111" i="2" s="1"/>
  <c r="Z1111" i="2"/>
  <c r="Y1111" i="2"/>
  <c r="S1111" i="2"/>
  <c r="O1111" i="2"/>
  <c r="N1111" i="2"/>
  <c r="AB1111" i="2" s="1"/>
  <c r="AH1110" i="2"/>
  <c r="AG1110" i="2"/>
  <c r="AE1110" i="2"/>
  <c r="AC1110" i="2"/>
  <c r="AA1110" i="2"/>
  <c r="Z1110" i="2"/>
  <c r="Y1110" i="2"/>
  <c r="S1110" i="2"/>
  <c r="O1110" i="2"/>
  <c r="AD1110" i="2" s="1"/>
  <c r="N1110" i="2"/>
  <c r="AB1110" i="2" s="1"/>
  <c r="AF1110" i="2" s="1"/>
  <c r="AG1109" i="2"/>
  <c r="AE1109" i="2"/>
  <c r="AC1109" i="2"/>
  <c r="AA1109" i="2"/>
  <c r="Z1109" i="2"/>
  <c r="Y1109" i="2"/>
  <c r="S1109" i="2"/>
  <c r="O1109" i="2"/>
  <c r="AD1109" i="2" s="1"/>
  <c r="AH1109" i="2" s="1"/>
  <c r="N1109" i="2"/>
  <c r="AB1109" i="2" s="1"/>
  <c r="AF1109" i="2" s="1"/>
  <c r="AH1108" i="2"/>
  <c r="AF1108" i="2"/>
  <c r="AE1108" i="2"/>
  <c r="AD1108" i="2"/>
  <c r="AC1108" i="2"/>
  <c r="AG1108" i="2" s="1"/>
  <c r="AB1108" i="2"/>
  <c r="AA1108" i="2"/>
  <c r="Z1108" i="2"/>
  <c r="Y1108" i="2"/>
  <c r="S1108" i="2"/>
  <c r="O1108" i="2"/>
  <c r="N1108" i="2"/>
  <c r="AH1107" i="2"/>
  <c r="AE1107" i="2"/>
  <c r="AD1107" i="2"/>
  <c r="AC1107" i="2"/>
  <c r="AG1107" i="2" s="1"/>
  <c r="AB1107" i="2"/>
  <c r="AF1107" i="2" s="1"/>
  <c r="AA1107" i="2"/>
  <c r="Z1107" i="2"/>
  <c r="Y1107" i="2"/>
  <c r="S1107" i="2"/>
  <c r="O1107" i="2"/>
  <c r="N1107" i="2"/>
  <c r="AE1106" i="2"/>
  <c r="AC1106" i="2"/>
  <c r="AG1106" i="2" s="1"/>
  <c r="AA1106" i="2"/>
  <c r="Z1106" i="2"/>
  <c r="Y1106" i="2"/>
  <c r="S1106" i="2"/>
  <c r="O1106" i="2"/>
  <c r="AD1106" i="2" s="1"/>
  <c r="AH1106" i="2" s="1"/>
  <c r="N1106" i="2"/>
  <c r="AB1106" i="2" s="1"/>
  <c r="AF1106" i="2" s="1"/>
  <c r="AH1105" i="2"/>
  <c r="AE1105" i="2"/>
  <c r="AD1105" i="2"/>
  <c r="AC1105" i="2"/>
  <c r="AG1105" i="2" s="1"/>
  <c r="AA1105" i="2"/>
  <c r="Z1105" i="2"/>
  <c r="Y1105" i="2"/>
  <c r="S1105" i="2"/>
  <c r="O1105" i="2"/>
  <c r="N1105" i="2"/>
  <c r="AB1105" i="2" s="1"/>
  <c r="AF1105" i="2" s="1"/>
  <c r="AD1104" i="2"/>
  <c r="AH1104" i="2" s="1"/>
  <c r="AC1104" i="2"/>
  <c r="AG1104" i="2" s="1"/>
  <c r="AA1104" i="2"/>
  <c r="AE1104" i="2" s="1"/>
  <c r="Z1104" i="2"/>
  <c r="Y1104" i="2"/>
  <c r="S1104" i="2"/>
  <c r="O1104" i="2"/>
  <c r="N1104" i="2"/>
  <c r="AB1104" i="2" s="1"/>
  <c r="AF1104" i="2" s="1"/>
  <c r="AD1103" i="2"/>
  <c r="AH1103" i="2" s="1"/>
  <c r="AC1103" i="2"/>
  <c r="AG1103" i="2" s="1"/>
  <c r="AA1103" i="2"/>
  <c r="AE1103" i="2" s="1"/>
  <c r="Z1103" i="2"/>
  <c r="Y1103" i="2"/>
  <c r="S1103" i="2"/>
  <c r="O1103" i="2"/>
  <c r="N1103" i="2"/>
  <c r="AB1103" i="2" s="1"/>
  <c r="AF1103" i="2" s="1"/>
  <c r="AE1102" i="2"/>
  <c r="AD1102" i="2"/>
  <c r="AH1102" i="2" s="1"/>
  <c r="AC1102" i="2"/>
  <c r="AG1102" i="2" s="1"/>
  <c r="AA1102" i="2"/>
  <c r="Z1102" i="2"/>
  <c r="Y1102" i="2"/>
  <c r="S1102" i="2"/>
  <c r="O1102" i="2"/>
  <c r="N1102" i="2"/>
  <c r="AB1102" i="2" s="1"/>
  <c r="AF1102" i="2" s="1"/>
  <c r="AG1101" i="2"/>
  <c r="AE1101" i="2"/>
  <c r="AD1101" i="2"/>
  <c r="AH1101" i="2" s="1"/>
  <c r="AC1101" i="2"/>
  <c r="AA1101" i="2"/>
  <c r="Z1101" i="2"/>
  <c r="Y1101" i="2"/>
  <c r="S1101" i="2"/>
  <c r="O1101" i="2"/>
  <c r="N1101" i="2"/>
  <c r="AB1101" i="2" s="1"/>
  <c r="AF1101" i="2" s="1"/>
  <c r="AF1100" i="2"/>
  <c r="AD1100" i="2"/>
  <c r="AH1100" i="2" s="1"/>
  <c r="AC1100" i="2"/>
  <c r="AG1100" i="2" s="1"/>
  <c r="AB1100" i="2"/>
  <c r="AA1100" i="2"/>
  <c r="AE1100" i="2" s="1"/>
  <c r="Z1100" i="2"/>
  <c r="Y1100" i="2"/>
  <c r="S1100" i="2"/>
  <c r="O1100" i="2"/>
  <c r="N1100" i="2"/>
  <c r="AG1099" i="2"/>
  <c r="AC1099" i="2"/>
  <c r="AA1099" i="2"/>
  <c r="AE1099" i="2" s="1"/>
  <c r="Z1099" i="2"/>
  <c r="Y1099" i="2"/>
  <c r="S1099" i="2"/>
  <c r="O1099" i="2"/>
  <c r="AD1099" i="2" s="1"/>
  <c r="AH1099" i="2" s="1"/>
  <c r="N1099" i="2"/>
  <c r="AB1099" i="2" s="1"/>
  <c r="AF1099" i="2" s="1"/>
  <c r="AH1098" i="2"/>
  <c r="AE1098" i="2"/>
  <c r="AC1098" i="2"/>
  <c r="AG1098" i="2" s="1"/>
  <c r="AB1098" i="2"/>
  <c r="AF1098" i="2" s="1"/>
  <c r="AA1098" i="2"/>
  <c r="Z1098" i="2"/>
  <c r="Y1098" i="2"/>
  <c r="S1098" i="2"/>
  <c r="O1098" i="2"/>
  <c r="AD1098" i="2" s="1"/>
  <c r="N1098" i="2"/>
  <c r="AD1097" i="2"/>
  <c r="AH1097" i="2" s="1"/>
  <c r="AC1097" i="2"/>
  <c r="AG1097" i="2" s="1"/>
  <c r="AB1097" i="2"/>
  <c r="AF1097" i="2" s="1"/>
  <c r="AA1097" i="2"/>
  <c r="AE1097" i="2" s="1"/>
  <c r="Z1097" i="2"/>
  <c r="Y1097" i="2"/>
  <c r="S1097" i="2"/>
  <c r="O1097" i="2"/>
  <c r="N1097" i="2"/>
  <c r="AD1096" i="2"/>
  <c r="AH1096" i="2" s="1"/>
  <c r="Z1096" i="2"/>
  <c r="Y1096" i="2"/>
  <c r="S1096" i="2"/>
  <c r="O1096" i="2"/>
  <c r="AC1096" i="2" s="1"/>
  <c r="AG1096" i="2" s="1"/>
  <c r="N1096" i="2"/>
  <c r="AG1095" i="2"/>
  <c r="AF1095" i="2"/>
  <c r="AE1095" i="2"/>
  <c r="AD1095" i="2"/>
  <c r="AH1095" i="2" s="1"/>
  <c r="AC1095" i="2"/>
  <c r="AA1095" i="2"/>
  <c r="Z1095" i="2"/>
  <c r="Y1095" i="2"/>
  <c r="S1095" i="2"/>
  <c r="O1095" i="2"/>
  <c r="N1095" i="2"/>
  <c r="AB1095" i="2" s="1"/>
  <c r="AD1094" i="2"/>
  <c r="AH1094" i="2" s="1"/>
  <c r="AC1094" i="2"/>
  <c r="AG1094" i="2" s="1"/>
  <c r="AB1094" i="2"/>
  <c r="AF1094" i="2" s="1"/>
  <c r="AA1094" i="2"/>
  <c r="AE1094" i="2" s="1"/>
  <c r="Z1094" i="2"/>
  <c r="Y1094" i="2"/>
  <c r="S1094" i="2"/>
  <c r="O1094" i="2"/>
  <c r="N1094" i="2"/>
  <c r="AH1093" i="2"/>
  <c r="AG1093" i="2"/>
  <c r="AC1093" i="2"/>
  <c r="AA1093" i="2"/>
  <c r="AE1093" i="2" s="1"/>
  <c r="Z1093" i="2"/>
  <c r="Y1093" i="2"/>
  <c r="S1093" i="2"/>
  <c r="O1093" i="2"/>
  <c r="AD1093" i="2" s="1"/>
  <c r="N1093" i="2"/>
  <c r="AB1093" i="2" s="1"/>
  <c r="AF1093" i="2" s="1"/>
  <c r="AH1092" i="2"/>
  <c r="AG1092" i="2"/>
  <c r="AE1092" i="2"/>
  <c r="AC1092" i="2"/>
  <c r="AB1092" i="2"/>
  <c r="AF1092" i="2" s="1"/>
  <c r="AA1092" i="2"/>
  <c r="Z1092" i="2"/>
  <c r="Y1092" i="2"/>
  <c r="S1092" i="2"/>
  <c r="O1092" i="2"/>
  <c r="AD1092" i="2" s="1"/>
  <c r="N1092" i="2"/>
  <c r="AF1091" i="2"/>
  <c r="AE1091" i="2"/>
  <c r="AD1091" i="2"/>
  <c r="AH1091" i="2" s="1"/>
  <c r="AC1091" i="2"/>
  <c r="AG1091" i="2" s="1"/>
  <c r="AA1091" i="2"/>
  <c r="Z1091" i="2"/>
  <c r="Y1091" i="2"/>
  <c r="S1091" i="2"/>
  <c r="O1091" i="2"/>
  <c r="N1091" i="2"/>
  <c r="AB1091" i="2" s="1"/>
  <c r="AG1090" i="2"/>
  <c r="AC1090" i="2"/>
  <c r="AB1090" i="2"/>
  <c r="AF1090" i="2" s="1"/>
  <c r="AA1090" i="2"/>
  <c r="AE1090" i="2" s="1"/>
  <c r="Z1090" i="2"/>
  <c r="Y1090" i="2"/>
  <c r="S1090" i="2"/>
  <c r="O1090" i="2"/>
  <c r="AD1090" i="2" s="1"/>
  <c r="AH1090" i="2" s="1"/>
  <c r="N1090" i="2"/>
  <c r="AH1089" i="2"/>
  <c r="AF1089" i="2"/>
  <c r="AD1089" i="2"/>
  <c r="AC1089" i="2"/>
  <c r="AG1089" i="2" s="1"/>
  <c r="AB1089" i="2"/>
  <c r="AA1089" i="2"/>
  <c r="AE1089" i="2" s="1"/>
  <c r="Z1089" i="2"/>
  <c r="Y1089" i="2"/>
  <c r="S1089" i="2"/>
  <c r="O1089" i="2"/>
  <c r="N1089" i="2"/>
  <c r="AH1088" i="2"/>
  <c r="AF1088" i="2"/>
  <c r="AA1088" i="2"/>
  <c r="AE1088" i="2" s="1"/>
  <c r="Z1088" i="2"/>
  <c r="Y1088" i="2"/>
  <c r="S1088" i="2"/>
  <c r="O1088" i="2"/>
  <c r="AD1088" i="2" s="1"/>
  <c r="N1088" i="2"/>
  <c r="AB1088" i="2" s="1"/>
  <c r="AH1087" i="2"/>
  <c r="AG1087" i="2"/>
  <c r="AD1087" i="2"/>
  <c r="AC1087" i="2"/>
  <c r="Z1087" i="2"/>
  <c r="Y1087" i="2"/>
  <c r="S1087" i="2"/>
  <c r="O1087" i="2"/>
  <c r="N1087" i="2"/>
  <c r="AE1086" i="2"/>
  <c r="AD1086" i="2"/>
  <c r="AH1086" i="2" s="1"/>
  <c r="AC1086" i="2"/>
  <c r="AG1086" i="2" s="1"/>
  <c r="AB1086" i="2"/>
  <c r="AF1086" i="2" s="1"/>
  <c r="AA1086" i="2"/>
  <c r="Z1086" i="2"/>
  <c r="Y1086" i="2"/>
  <c r="S1086" i="2"/>
  <c r="O1086" i="2"/>
  <c r="N1086" i="2"/>
  <c r="AC1085" i="2"/>
  <c r="AG1085" i="2" s="1"/>
  <c r="AB1085" i="2"/>
  <c r="AF1085" i="2" s="1"/>
  <c r="AA1085" i="2"/>
  <c r="AE1085" i="2" s="1"/>
  <c r="Z1085" i="2"/>
  <c r="Y1085" i="2"/>
  <c r="S1085" i="2"/>
  <c r="O1085" i="2"/>
  <c r="AD1085" i="2" s="1"/>
  <c r="AH1085" i="2" s="1"/>
  <c r="N1085" i="2"/>
  <c r="AC1084" i="2"/>
  <c r="AG1084" i="2" s="1"/>
  <c r="AA1084" i="2"/>
  <c r="AE1084" i="2" s="1"/>
  <c r="Z1084" i="2"/>
  <c r="Y1084" i="2"/>
  <c r="S1084" i="2"/>
  <c r="O1084" i="2"/>
  <c r="AD1084" i="2" s="1"/>
  <c r="AH1084" i="2" s="1"/>
  <c r="N1084" i="2"/>
  <c r="AB1084" i="2" s="1"/>
  <c r="AF1084" i="2" s="1"/>
  <c r="AG1083" i="2"/>
  <c r="AE1083" i="2"/>
  <c r="AD1083" i="2"/>
  <c r="AH1083" i="2" s="1"/>
  <c r="AC1083" i="2"/>
  <c r="AB1083" i="2"/>
  <c r="AF1083" i="2" s="1"/>
  <c r="AA1083" i="2"/>
  <c r="Z1083" i="2"/>
  <c r="Y1083" i="2"/>
  <c r="S1083" i="2"/>
  <c r="O1083" i="2"/>
  <c r="N1083" i="2"/>
  <c r="AD1082" i="2"/>
  <c r="AH1082" i="2" s="1"/>
  <c r="AB1082" i="2"/>
  <c r="AF1082" i="2" s="1"/>
  <c r="AA1082" i="2"/>
  <c r="AE1082" i="2" s="1"/>
  <c r="Z1082" i="2"/>
  <c r="Y1082" i="2"/>
  <c r="S1082" i="2"/>
  <c r="O1082" i="2"/>
  <c r="AC1082" i="2" s="1"/>
  <c r="AG1082" i="2" s="1"/>
  <c r="N1082" i="2"/>
  <c r="AG1081" i="2"/>
  <c r="AD1081" i="2"/>
  <c r="AH1081" i="2" s="1"/>
  <c r="AC1081" i="2"/>
  <c r="AB1081" i="2"/>
  <c r="AF1081" i="2" s="1"/>
  <c r="AA1081" i="2"/>
  <c r="AE1081" i="2" s="1"/>
  <c r="Z1081" i="2"/>
  <c r="Y1081" i="2"/>
  <c r="S1081" i="2"/>
  <c r="O1081" i="2"/>
  <c r="N1081" i="2"/>
  <c r="AD1080" i="2"/>
  <c r="AH1080" i="2" s="1"/>
  <c r="AC1080" i="2"/>
  <c r="AG1080" i="2" s="1"/>
  <c r="AA1080" i="2"/>
  <c r="AE1080" i="2" s="1"/>
  <c r="Z1080" i="2"/>
  <c r="Y1080" i="2"/>
  <c r="S1080" i="2"/>
  <c r="O1080" i="2"/>
  <c r="N1080" i="2"/>
  <c r="AB1080" i="2" s="1"/>
  <c r="AF1080" i="2" s="1"/>
  <c r="AG1079" i="2"/>
  <c r="AE1079" i="2"/>
  <c r="AD1079" i="2"/>
  <c r="AH1079" i="2" s="1"/>
  <c r="AC1079" i="2"/>
  <c r="AA1079" i="2"/>
  <c r="Z1079" i="2"/>
  <c r="Y1079" i="2"/>
  <c r="S1079" i="2"/>
  <c r="O1079" i="2"/>
  <c r="N1079" i="2"/>
  <c r="AB1079" i="2" s="1"/>
  <c r="AF1079" i="2" s="1"/>
  <c r="AE1078" i="2"/>
  <c r="AD1078" i="2"/>
  <c r="AH1078" i="2" s="1"/>
  <c r="AC1078" i="2"/>
  <c r="AG1078" i="2" s="1"/>
  <c r="AB1078" i="2"/>
  <c r="AF1078" i="2" s="1"/>
  <c r="AA1078" i="2"/>
  <c r="Z1078" i="2"/>
  <c r="Y1078" i="2"/>
  <c r="S1078" i="2"/>
  <c r="O1078" i="2"/>
  <c r="N1078" i="2"/>
  <c r="AF1077" i="2"/>
  <c r="AD1077" i="2"/>
  <c r="AH1077" i="2" s="1"/>
  <c r="AB1077" i="2"/>
  <c r="Z1077" i="2"/>
  <c r="Y1077" i="2"/>
  <c r="S1077" i="2"/>
  <c r="O1077" i="2"/>
  <c r="AC1077" i="2" s="1"/>
  <c r="AG1077" i="2" s="1"/>
  <c r="N1077" i="2"/>
  <c r="AA1077" i="2" s="1"/>
  <c r="AE1077" i="2" s="1"/>
  <c r="AH1076" i="2"/>
  <c r="AG1076" i="2"/>
  <c r="AF1076" i="2"/>
  <c r="AE1076" i="2"/>
  <c r="AC1076" i="2"/>
  <c r="AB1076" i="2"/>
  <c r="AA1076" i="2"/>
  <c r="Z1076" i="2"/>
  <c r="Y1076" i="2"/>
  <c r="S1076" i="2"/>
  <c r="O1076" i="2"/>
  <c r="AD1076" i="2" s="1"/>
  <c r="N1076" i="2"/>
  <c r="AC1075" i="2"/>
  <c r="AG1075" i="2" s="1"/>
  <c r="AB1075" i="2"/>
  <c r="AF1075" i="2" s="1"/>
  <c r="AA1075" i="2"/>
  <c r="AE1075" i="2" s="1"/>
  <c r="Z1075" i="2"/>
  <c r="Y1075" i="2"/>
  <c r="S1075" i="2"/>
  <c r="O1075" i="2"/>
  <c r="AD1075" i="2" s="1"/>
  <c r="AH1075" i="2" s="1"/>
  <c r="N1075" i="2"/>
  <c r="AH1074" i="2"/>
  <c r="AG1074" i="2"/>
  <c r="AC1074" i="2"/>
  <c r="AA1074" i="2"/>
  <c r="AE1074" i="2" s="1"/>
  <c r="Z1074" i="2"/>
  <c r="Y1074" i="2"/>
  <c r="S1074" i="2"/>
  <c r="O1074" i="2"/>
  <c r="AD1074" i="2" s="1"/>
  <c r="N1074" i="2"/>
  <c r="AB1074" i="2" s="1"/>
  <c r="AF1074" i="2" s="1"/>
  <c r="AG1073" i="2"/>
  <c r="AF1073" i="2"/>
  <c r="AE1073" i="2"/>
  <c r="AD1073" i="2"/>
  <c r="AH1073" i="2" s="1"/>
  <c r="AC1073" i="2"/>
  <c r="AA1073" i="2"/>
  <c r="Z1073" i="2"/>
  <c r="Y1073" i="2"/>
  <c r="S1073" i="2"/>
  <c r="O1073" i="2"/>
  <c r="N1073" i="2"/>
  <c r="AB1073" i="2" s="1"/>
  <c r="AG1072" i="2"/>
  <c r="AE1072" i="2"/>
  <c r="AD1072" i="2"/>
  <c r="AH1072" i="2" s="1"/>
  <c r="AC1072" i="2"/>
  <c r="AB1072" i="2"/>
  <c r="AF1072" i="2" s="1"/>
  <c r="AA1072" i="2"/>
  <c r="Z1072" i="2"/>
  <c r="Y1072" i="2"/>
  <c r="S1072" i="2"/>
  <c r="O1072" i="2"/>
  <c r="N1072" i="2"/>
  <c r="AH1071" i="2"/>
  <c r="AF1071" i="2"/>
  <c r="AE1071" i="2"/>
  <c r="AC1071" i="2"/>
  <c r="AG1071" i="2" s="1"/>
  <c r="AA1071" i="2"/>
  <c r="Z1071" i="2"/>
  <c r="Y1071" i="2"/>
  <c r="S1071" i="2"/>
  <c r="O1071" i="2"/>
  <c r="AD1071" i="2" s="1"/>
  <c r="N1071" i="2"/>
  <c r="AB1071" i="2" s="1"/>
  <c r="AH1070" i="2"/>
  <c r="AG1070" i="2"/>
  <c r="AC1070" i="2"/>
  <c r="AA1070" i="2"/>
  <c r="AE1070" i="2" s="1"/>
  <c r="Z1070" i="2"/>
  <c r="Y1070" i="2"/>
  <c r="S1070" i="2"/>
  <c r="O1070" i="2"/>
  <c r="AD1070" i="2" s="1"/>
  <c r="N1070" i="2"/>
  <c r="AB1070" i="2" s="1"/>
  <c r="AF1070" i="2" s="1"/>
  <c r="AD1069" i="2"/>
  <c r="AH1069" i="2" s="1"/>
  <c r="AC1069" i="2"/>
  <c r="AG1069" i="2" s="1"/>
  <c r="AB1069" i="2"/>
  <c r="AF1069" i="2" s="1"/>
  <c r="AA1069" i="2"/>
  <c r="AE1069" i="2" s="1"/>
  <c r="Z1069" i="2"/>
  <c r="Y1069" i="2"/>
  <c r="S1069" i="2"/>
  <c r="O1069" i="2"/>
  <c r="N1069" i="2"/>
  <c r="AG1068" i="2"/>
  <c r="AD1068" i="2"/>
  <c r="AH1068" i="2" s="1"/>
  <c r="AC1068" i="2"/>
  <c r="AB1068" i="2"/>
  <c r="AF1068" i="2" s="1"/>
  <c r="AA1068" i="2"/>
  <c r="AE1068" i="2" s="1"/>
  <c r="Z1068" i="2"/>
  <c r="Y1068" i="2"/>
  <c r="S1068" i="2"/>
  <c r="O1068" i="2"/>
  <c r="N1068" i="2"/>
  <c r="AD1067" i="2"/>
  <c r="AH1067" i="2" s="1"/>
  <c r="AC1067" i="2"/>
  <c r="AG1067" i="2" s="1"/>
  <c r="AB1067" i="2"/>
  <c r="AF1067" i="2" s="1"/>
  <c r="AA1067" i="2"/>
  <c r="AE1067" i="2" s="1"/>
  <c r="Z1067" i="2"/>
  <c r="Y1067" i="2"/>
  <c r="S1067" i="2"/>
  <c r="O1067" i="2"/>
  <c r="N1067" i="2"/>
  <c r="AH1066" i="2"/>
  <c r="AD1066" i="2"/>
  <c r="AC1066" i="2"/>
  <c r="AG1066" i="2" s="1"/>
  <c r="AA1066" i="2"/>
  <c r="AE1066" i="2" s="1"/>
  <c r="Z1066" i="2"/>
  <c r="Y1066" i="2"/>
  <c r="S1066" i="2"/>
  <c r="O1066" i="2"/>
  <c r="N1066" i="2"/>
  <c r="AB1066" i="2" s="1"/>
  <c r="AF1066" i="2" s="1"/>
  <c r="AH1065" i="2"/>
  <c r="AG1065" i="2"/>
  <c r="AC1065" i="2"/>
  <c r="AB1065" i="2"/>
  <c r="AF1065" i="2" s="1"/>
  <c r="AA1065" i="2"/>
  <c r="AE1065" i="2" s="1"/>
  <c r="Z1065" i="2"/>
  <c r="Y1065" i="2"/>
  <c r="S1065" i="2"/>
  <c r="O1065" i="2"/>
  <c r="AD1065" i="2" s="1"/>
  <c r="N1065" i="2"/>
  <c r="AF1064" i="2"/>
  <c r="AD1064" i="2"/>
  <c r="AH1064" i="2" s="1"/>
  <c r="AC1064" i="2"/>
  <c r="AG1064" i="2" s="1"/>
  <c r="AB1064" i="2"/>
  <c r="AA1064" i="2"/>
  <c r="AE1064" i="2" s="1"/>
  <c r="Z1064" i="2"/>
  <c r="Y1064" i="2"/>
  <c r="S1064" i="2"/>
  <c r="O1064" i="2"/>
  <c r="N1064" i="2"/>
  <c r="AG1063" i="2"/>
  <c r="AC1063" i="2"/>
  <c r="AA1063" i="2"/>
  <c r="AE1063" i="2" s="1"/>
  <c r="Z1063" i="2"/>
  <c r="Y1063" i="2"/>
  <c r="S1063" i="2"/>
  <c r="O1063" i="2"/>
  <c r="AD1063" i="2" s="1"/>
  <c r="AH1063" i="2" s="1"/>
  <c r="N1063" i="2"/>
  <c r="AB1063" i="2" s="1"/>
  <c r="AF1063" i="2" s="1"/>
  <c r="AG1062" i="2"/>
  <c r="AD1062" i="2"/>
  <c r="AH1062" i="2" s="1"/>
  <c r="AC1062" i="2"/>
  <c r="AB1062" i="2"/>
  <c r="AF1062" i="2" s="1"/>
  <c r="AA1062" i="2"/>
  <c r="AE1062" i="2" s="1"/>
  <c r="Z1062" i="2"/>
  <c r="Y1062" i="2"/>
  <c r="S1062" i="2"/>
  <c r="O1062" i="2"/>
  <c r="N1062" i="2"/>
  <c r="AD1061" i="2"/>
  <c r="AH1061" i="2" s="1"/>
  <c r="AB1061" i="2"/>
  <c r="AF1061" i="2" s="1"/>
  <c r="Z1061" i="2"/>
  <c r="Y1061" i="2"/>
  <c r="S1061" i="2"/>
  <c r="O1061" i="2"/>
  <c r="AC1061" i="2" s="1"/>
  <c r="AG1061" i="2" s="1"/>
  <c r="N1061" i="2"/>
  <c r="AA1061" i="2" s="1"/>
  <c r="AE1061" i="2" s="1"/>
  <c r="AG1060" i="2"/>
  <c r="AE1060" i="2"/>
  <c r="AD1060" i="2"/>
  <c r="AH1060" i="2" s="1"/>
  <c r="AC1060" i="2"/>
  <c r="AA1060" i="2"/>
  <c r="Z1060" i="2"/>
  <c r="Y1060" i="2"/>
  <c r="S1060" i="2"/>
  <c r="O1060" i="2"/>
  <c r="N1060" i="2"/>
  <c r="AB1060" i="2" s="1"/>
  <c r="AF1060" i="2" s="1"/>
  <c r="AF1059" i="2"/>
  <c r="AE1059" i="2"/>
  <c r="AD1059" i="2"/>
  <c r="AH1059" i="2" s="1"/>
  <c r="AC1059" i="2"/>
  <c r="AG1059" i="2" s="1"/>
  <c r="AB1059" i="2"/>
  <c r="AA1059" i="2"/>
  <c r="Z1059" i="2"/>
  <c r="Y1059" i="2"/>
  <c r="S1059" i="2"/>
  <c r="O1059" i="2"/>
  <c r="N1059" i="2"/>
  <c r="AG1058" i="2"/>
  <c r="AF1058" i="2"/>
  <c r="AC1058" i="2"/>
  <c r="AB1058" i="2"/>
  <c r="AA1058" i="2"/>
  <c r="AE1058" i="2" s="1"/>
  <c r="Z1058" i="2"/>
  <c r="Y1058" i="2"/>
  <c r="S1058" i="2"/>
  <c r="O1058" i="2"/>
  <c r="AD1058" i="2" s="1"/>
  <c r="AH1058" i="2" s="1"/>
  <c r="N1058" i="2"/>
  <c r="AF1057" i="2"/>
  <c r="AD1057" i="2"/>
  <c r="AH1057" i="2" s="1"/>
  <c r="AB1057" i="2"/>
  <c r="Z1057" i="2"/>
  <c r="Y1057" i="2"/>
  <c r="S1057" i="2"/>
  <c r="O1057" i="2"/>
  <c r="AC1057" i="2" s="1"/>
  <c r="AG1057" i="2" s="1"/>
  <c r="N1057" i="2"/>
  <c r="AA1057" i="2" s="1"/>
  <c r="AE1057" i="2" s="1"/>
  <c r="AC1056" i="2"/>
  <c r="AG1056" i="2" s="1"/>
  <c r="AB1056" i="2"/>
  <c r="AF1056" i="2" s="1"/>
  <c r="AA1056" i="2"/>
  <c r="AE1056" i="2" s="1"/>
  <c r="Z1056" i="2"/>
  <c r="Y1056" i="2"/>
  <c r="S1056" i="2"/>
  <c r="O1056" i="2"/>
  <c r="AD1056" i="2" s="1"/>
  <c r="AH1056" i="2" s="1"/>
  <c r="N1056" i="2"/>
  <c r="AD1055" i="2"/>
  <c r="AH1055" i="2" s="1"/>
  <c r="AC1055" i="2"/>
  <c r="AG1055" i="2" s="1"/>
  <c r="AB1055" i="2"/>
  <c r="AF1055" i="2" s="1"/>
  <c r="AA1055" i="2"/>
  <c r="AE1055" i="2" s="1"/>
  <c r="Z1055" i="2"/>
  <c r="Y1055" i="2"/>
  <c r="S1055" i="2"/>
  <c r="O1055" i="2"/>
  <c r="N1055" i="2"/>
  <c r="AF1054" i="2"/>
  <c r="AD1054" i="2"/>
  <c r="AH1054" i="2" s="1"/>
  <c r="AC1054" i="2"/>
  <c r="AG1054" i="2" s="1"/>
  <c r="AA1054" i="2"/>
  <c r="AE1054" i="2" s="1"/>
  <c r="Z1054" i="2"/>
  <c r="Y1054" i="2"/>
  <c r="S1054" i="2"/>
  <c r="O1054" i="2"/>
  <c r="N1054" i="2"/>
  <c r="AB1054" i="2" s="1"/>
  <c r="AE1053" i="2"/>
  <c r="AD1053" i="2"/>
  <c r="AH1053" i="2" s="1"/>
  <c r="AC1053" i="2"/>
  <c r="AG1053" i="2" s="1"/>
  <c r="AB1053" i="2"/>
  <c r="AF1053" i="2" s="1"/>
  <c r="AA1053" i="2"/>
  <c r="Z1053" i="2"/>
  <c r="Y1053" i="2"/>
  <c r="S1053" i="2"/>
  <c r="O1053" i="2"/>
  <c r="N1053" i="2"/>
  <c r="AH1052" i="2"/>
  <c r="AC1052" i="2"/>
  <c r="AG1052" i="2" s="1"/>
  <c r="Z1052" i="2"/>
  <c r="Y1052" i="2"/>
  <c r="S1052" i="2"/>
  <c r="O1052" i="2"/>
  <c r="AD1052" i="2" s="1"/>
  <c r="N1052" i="2"/>
  <c r="AG1051" i="2"/>
  <c r="AF1051" i="2"/>
  <c r="AE1051" i="2"/>
  <c r="AD1051" i="2"/>
  <c r="AH1051" i="2" s="1"/>
  <c r="AC1051" i="2"/>
  <c r="AB1051" i="2"/>
  <c r="Z1051" i="2"/>
  <c r="Y1051" i="2"/>
  <c r="S1051" i="2"/>
  <c r="O1051" i="2"/>
  <c r="N1051" i="2"/>
  <c r="AA1051" i="2" s="1"/>
  <c r="AE1050" i="2"/>
  <c r="AD1050" i="2"/>
  <c r="AH1050" i="2" s="1"/>
  <c r="AB1050" i="2"/>
  <c r="AF1050" i="2" s="1"/>
  <c r="AA1050" i="2"/>
  <c r="Z1050" i="2"/>
  <c r="Y1050" i="2"/>
  <c r="S1050" i="2"/>
  <c r="O1050" i="2"/>
  <c r="AC1050" i="2" s="1"/>
  <c r="AG1050" i="2" s="1"/>
  <c r="N1050" i="2"/>
  <c r="AH1049" i="2"/>
  <c r="AG1049" i="2"/>
  <c r="AF1049" i="2"/>
  <c r="AD1049" i="2"/>
  <c r="AC1049" i="2"/>
  <c r="AB1049" i="2"/>
  <c r="Z1049" i="2"/>
  <c r="Y1049" i="2"/>
  <c r="S1049" i="2"/>
  <c r="O1049" i="2"/>
  <c r="N1049" i="2"/>
  <c r="AA1049" i="2" s="1"/>
  <c r="AE1049" i="2" s="1"/>
  <c r="AG1048" i="2"/>
  <c r="AF1048" i="2"/>
  <c r="AD1048" i="2"/>
  <c r="AH1048" i="2" s="1"/>
  <c r="AC1048" i="2"/>
  <c r="AB1048" i="2"/>
  <c r="AA1048" i="2"/>
  <c r="AE1048" i="2" s="1"/>
  <c r="Z1048" i="2"/>
  <c r="Y1048" i="2"/>
  <c r="S1048" i="2"/>
  <c r="O1048" i="2"/>
  <c r="N1048" i="2"/>
  <c r="AE1047" i="2"/>
  <c r="AD1047" i="2"/>
  <c r="AH1047" i="2" s="1"/>
  <c r="AC1047" i="2"/>
  <c r="AG1047" i="2" s="1"/>
  <c r="AB1047" i="2"/>
  <c r="AF1047" i="2" s="1"/>
  <c r="AA1047" i="2"/>
  <c r="Z1047" i="2"/>
  <c r="Y1047" i="2"/>
  <c r="S1047" i="2"/>
  <c r="O1047" i="2"/>
  <c r="N1047" i="2"/>
  <c r="AG1046" i="2"/>
  <c r="AC1046" i="2"/>
  <c r="AA1046" i="2"/>
  <c r="AE1046" i="2" s="1"/>
  <c r="Z1046" i="2"/>
  <c r="Y1046" i="2"/>
  <c r="S1046" i="2"/>
  <c r="O1046" i="2"/>
  <c r="AD1046" i="2" s="1"/>
  <c r="AH1046" i="2" s="1"/>
  <c r="N1046" i="2"/>
  <c r="AB1046" i="2" s="1"/>
  <c r="AF1046" i="2" s="1"/>
  <c r="AH1045" i="2"/>
  <c r="AD1045" i="2"/>
  <c r="AB1045" i="2"/>
  <c r="AF1045" i="2" s="1"/>
  <c r="Z1045" i="2"/>
  <c r="Y1045" i="2"/>
  <c r="S1045" i="2"/>
  <c r="O1045" i="2"/>
  <c r="AC1045" i="2" s="1"/>
  <c r="AG1045" i="2" s="1"/>
  <c r="N1045" i="2"/>
  <c r="AA1045" i="2" s="1"/>
  <c r="AE1045" i="2" s="1"/>
  <c r="AE1044" i="2"/>
  <c r="AC1044" i="2"/>
  <c r="AG1044" i="2" s="1"/>
  <c r="AB1044" i="2"/>
  <c r="AF1044" i="2" s="1"/>
  <c r="AA1044" i="2"/>
  <c r="Z1044" i="2"/>
  <c r="Y1044" i="2"/>
  <c r="S1044" i="2"/>
  <c r="O1044" i="2"/>
  <c r="AD1044" i="2" s="1"/>
  <c r="AH1044" i="2" s="1"/>
  <c r="N1044" i="2"/>
  <c r="AH1043" i="2"/>
  <c r="AG1043" i="2"/>
  <c r="AD1043" i="2"/>
  <c r="AB1043" i="2"/>
  <c r="AF1043" i="2" s="1"/>
  <c r="AA1043" i="2"/>
  <c r="AE1043" i="2" s="1"/>
  <c r="Z1043" i="2"/>
  <c r="Y1043" i="2"/>
  <c r="S1043" i="2"/>
  <c r="O1043" i="2"/>
  <c r="AC1043" i="2" s="1"/>
  <c r="N1043" i="2"/>
  <c r="AH1042" i="2"/>
  <c r="AD1042" i="2"/>
  <c r="AC1042" i="2"/>
  <c r="AG1042" i="2" s="1"/>
  <c r="AB1042" i="2"/>
  <c r="AF1042" i="2" s="1"/>
  <c r="AA1042" i="2"/>
  <c r="AE1042" i="2" s="1"/>
  <c r="Z1042" i="2"/>
  <c r="Y1042" i="2"/>
  <c r="S1042" i="2"/>
  <c r="O1042" i="2"/>
  <c r="N1042" i="2"/>
  <c r="AH1041" i="2"/>
  <c r="AG1041" i="2"/>
  <c r="AE1041" i="2"/>
  <c r="AD1041" i="2"/>
  <c r="AC1041" i="2"/>
  <c r="AA1041" i="2"/>
  <c r="Z1041" i="2"/>
  <c r="Y1041" i="2"/>
  <c r="S1041" i="2"/>
  <c r="O1041" i="2"/>
  <c r="N1041" i="2"/>
  <c r="AB1041" i="2" s="1"/>
  <c r="AF1041" i="2" s="1"/>
  <c r="AH1040" i="2"/>
  <c r="AC1040" i="2"/>
  <c r="AG1040" i="2" s="1"/>
  <c r="AB1040" i="2"/>
  <c r="AF1040" i="2" s="1"/>
  <c r="AA1040" i="2"/>
  <c r="AE1040" i="2" s="1"/>
  <c r="Z1040" i="2"/>
  <c r="Y1040" i="2"/>
  <c r="S1040" i="2"/>
  <c r="O1040" i="2"/>
  <c r="AD1040" i="2" s="1"/>
  <c r="N1040" i="2"/>
  <c r="AF1039" i="2"/>
  <c r="AD1039" i="2"/>
  <c r="AH1039" i="2" s="1"/>
  <c r="AC1039" i="2"/>
  <c r="AG1039" i="2" s="1"/>
  <c r="AB1039" i="2"/>
  <c r="Z1039" i="2"/>
  <c r="Y1039" i="2"/>
  <c r="S1039" i="2"/>
  <c r="O1039" i="2"/>
  <c r="N1039" i="2"/>
  <c r="AA1039" i="2" s="1"/>
  <c r="AE1039" i="2" s="1"/>
  <c r="AG1038" i="2"/>
  <c r="AE1038" i="2"/>
  <c r="AC1038" i="2"/>
  <c r="AA1038" i="2"/>
  <c r="Z1038" i="2"/>
  <c r="Y1038" i="2"/>
  <c r="S1038" i="2"/>
  <c r="O1038" i="2"/>
  <c r="AD1038" i="2" s="1"/>
  <c r="AH1038" i="2" s="1"/>
  <c r="N1038" i="2"/>
  <c r="AB1038" i="2" s="1"/>
  <c r="AF1038" i="2" s="1"/>
  <c r="AC1037" i="2"/>
  <c r="AG1037" i="2" s="1"/>
  <c r="AB1037" i="2"/>
  <c r="AF1037" i="2" s="1"/>
  <c r="AA1037" i="2"/>
  <c r="AE1037" i="2" s="1"/>
  <c r="Z1037" i="2"/>
  <c r="Y1037" i="2"/>
  <c r="S1037" i="2"/>
  <c r="O1037" i="2"/>
  <c r="AD1037" i="2" s="1"/>
  <c r="AH1037" i="2" s="1"/>
  <c r="N1037" i="2"/>
  <c r="AH1036" i="2"/>
  <c r="AE1036" i="2"/>
  <c r="AC1036" i="2"/>
  <c r="AG1036" i="2" s="1"/>
  <c r="AA1036" i="2"/>
  <c r="Z1036" i="2"/>
  <c r="Y1036" i="2"/>
  <c r="S1036" i="2"/>
  <c r="O1036" i="2"/>
  <c r="AD1036" i="2" s="1"/>
  <c r="N1036" i="2"/>
  <c r="AB1036" i="2" s="1"/>
  <c r="AF1036" i="2" s="1"/>
  <c r="AD1035" i="2"/>
  <c r="AH1035" i="2" s="1"/>
  <c r="AC1035" i="2"/>
  <c r="AG1035" i="2" s="1"/>
  <c r="AB1035" i="2"/>
  <c r="AF1035" i="2" s="1"/>
  <c r="Z1035" i="2"/>
  <c r="Y1035" i="2"/>
  <c r="S1035" i="2"/>
  <c r="O1035" i="2"/>
  <c r="N1035" i="2"/>
  <c r="AA1035" i="2" s="1"/>
  <c r="AE1035" i="2" s="1"/>
  <c r="AE1034" i="2"/>
  <c r="AC1034" i="2"/>
  <c r="AG1034" i="2" s="1"/>
  <c r="AA1034" i="2"/>
  <c r="Z1034" i="2"/>
  <c r="Y1034" i="2"/>
  <c r="S1034" i="2"/>
  <c r="O1034" i="2"/>
  <c r="AD1034" i="2" s="1"/>
  <c r="AH1034" i="2" s="1"/>
  <c r="N1034" i="2"/>
  <c r="AB1034" i="2" s="1"/>
  <c r="AF1034" i="2" s="1"/>
  <c r="AG1033" i="2"/>
  <c r="AD1033" i="2"/>
  <c r="AH1033" i="2" s="1"/>
  <c r="AC1033" i="2"/>
  <c r="AB1033" i="2"/>
  <c r="AF1033" i="2" s="1"/>
  <c r="AA1033" i="2"/>
  <c r="AE1033" i="2" s="1"/>
  <c r="Z1033" i="2"/>
  <c r="Y1033" i="2"/>
  <c r="S1033" i="2"/>
  <c r="O1033" i="2"/>
  <c r="N1033" i="2"/>
  <c r="AH1032" i="2"/>
  <c r="AE1032" i="2"/>
  <c r="AD1032" i="2"/>
  <c r="AC1032" i="2"/>
  <c r="AG1032" i="2" s="1"/>
  <c r="AB1032" i="2"/>
  <c r="AF1032" i="2" s="1"/>
  <c r="Z1032" i="2"/>
  <c r="Y1032" i="2"/>
  <c r="S1032" i="2"/>
  <c r="O1032" i="2"/>
  <c r="N1032" i="2"/>
  <c r="AA1032" i="2" s="1"/>
  <c r="AG1031" i="2"/>
  <c r="AC1031" i="2"/>
  <c r="AA1031" i="2"/>
  <c r="AE1031" i="2" s="1"/>
  <c r="Z1031" i="2"/>
  <c r="Y1031" i="2"/>
  <c r="S1031" i="2"/>
  <c r="O1031" i="2"/>
  <c r="AD1031" i="2" s="1"/>
  <c r="AH1031" i="2" s="1"/>
  <c r="N1031" i="2"/>
  <c r="AB1031" i="2" s="1"/>
  <c r="AF1031" i="2" s="1"/>
  <c r="AG1030" i="2"/>
  <c r="AE1030" i="2"/>
  <c r="AD1030" i="2"/>
  <c r="AH1030" i="2" s="1"/>
  <c r="AC1030" i="2"/>
  <c r="AB1030" i="2"/>
  <c r="AF1030" i="2" s="1"/>
  <c r="AA1030" i="2"/>
  <c r="Z1030" i="2"/>
  <c r="Y1030" i="2"/>
  <c r="S1030" i="2"/>
  <c r="O1030" i="2"/>
  <c r="N1030" i="2"/>
  <c r="AG1029" i="2"/>
  <c r="AE1029" i="2"/>
  <c r="AD1029" i="2"/>
  <c r="AH1029" i="2" s="1"/>
  <c r="AC1029" i="2"/>
  <c r="AB1029" i="2"/>
  <c r="AF1029" i="2" s="1"/>
  <c r="AA1029" i="2"/>
  <c r="Z1029" i="2"/>
  <c r="Y1029" i="2"/>
  <c r="S1029" i="2"/>
  <c r="O1029" i="2"/>
  <c r="N1029" i="2"/>
  <c r="AG1028" i="2"/>
  <c r="AC1028" i="2"/>
  <c r="AA1028" i="2"/>
  <c r="AE1028" i="2" s="1"/>
  <c r="Z1028" i="2"/>
  <c r="Y1028" i="2"/>
  <c r="S1028" i="2"/>
  <c r="O1028" i="2"/>
  <c r="AD1028" i="2" s="1"/>
  <c r="AH1028" i="2" s="1"/>
  <c r="N1028" i="2"/>
  <c r="AB1028" i="2" s="1"/>
  <c r="AF1028" i="2" s="1"/>
  <c r="AG1027" i="2"/>
  <c r="AF1027" i="2"/>
  <c r="AE1027" i="2"/>
  <c r="AD1027" i="2"/>
  <c r="AH1027" i="2" s="1"/>
  <c r="AC1027" i="2"/>
  <c r="AA1027" i="2"/>
  <c r="Z1027" i="2"/>
  <c r="Y1027" i="2"/>
  <c r="S1027" i="2"/>
  <c r="O1027" i="2"/>
  <c r="N1027" i="2"/>
  <c r="AB1027" i="2" s="1"/>
  <c r="AF1026" i="2"/>
  <c r="AE1026" i="2"/>
  <c r="AD1026" i="2"/>
  <c r="AH1026" i="2" s="1"/>
  <c r="AC1026" i="2"/>
  <c r="AG1026" i="2" s="1"/>
  <c r="AB1026" i="2"/>
  <c r="AA1026" i="2"/>
  <c r="Z1026" i="2"/>
  <c r="Y1026" i="2"/>
  <c r="S1026" i="2"/>
  <c r="O1026" i="2"/>
  <c r="N1026" i="2"/>
  <c r="AG1025" i="2"/>
  <c r="AD1025" i="2"/>
  <c r="AH1025" i="2" s="1"/>
  <c r="AC1025" i="2"/>
  <c r="AA1025" i="2"/>
  <c r="AE1025" i="2" s="1"/>
  <c r="Z1025" i="2"/>
  <c r="Y1025" i="2"/>
  <c r="S1025" i="2"/>
  <c r="O1025" i="2"/>
  <c r="N1025" i="2"/>
  <c r="AB1025" i="2" s="1"/>
  <c r="AF1025" i="2" s="1"/>
  <c r="AE1024" i="2"/>
  <c r="AD1024" i="2"/>
  <c r="AH1024" i="2" s="1"/>
  <c r="AB1024" i="2"/>
  <c r="AF1024" i="2" s="1"/>
  <c r="Z1024" i="2"/>
  <c r="Y1024" i="2"/>
  <c r="S1024" i="2"/>
  <c r="O1024" i="2"/>
  <c r="AC1024" i="2" s="1"/>
  <c r="AG1024" i="2" s="1"/>
  <c r="N1024" i="2"/>
  <c r="AA1024" i="2" s="1"/>
  <c r="AH1023" i="2"/>
  <c r="AF1023" i="2"/>
  <c r="AE1023" i="2"/>
  <c r="AD1023" i="2"/>
  <c r="AC1023" i="2"/>
  <c r="AG1023" i="2" s="1"/>
  <c r="AB1023" i="2"/>
  <c r="Z1023" i="2"/>
  <c r="Y1023" i="2"/>
  <c r="S1023" i="2"/>
  <c r="O1023" i="2"/>
  <c r="N1023" i="2"/>
  <c r="AA1023" i="2" s="1"/>
  <c r="AF1022" i="2"/>
  <c r="AD1022" i="2"/>
  <c r="AH1022" i="2" s="1"/>
  <c r="AC1022" i="2"/>
  <c r="AG1022" i="2" s="1"/>
  <c r="AB1022" i="2"/>
  <c r="AA1022" i="2"/>
  <c r="AE1022" i="2" s="1"/>
  <c r="Z1022" i="2"/>
  <c r="Y1022" i="2"/>
  <c r="S1022" i="2"/>
  <c r="O1022" i="2"/>
  <c r="N1022" i="2"/>
  <c r="AH1021" i="2"/>
  <c r="AF1021" i="2"/>
  <c r="AE1021" i="2"/>
  <c r="AD1021" i="2"/>
  <c r="AB1021" i="2"/>
  <c r="AA1021" i="2"/>
  <c r="Z1021" i="2"/>
  <c r="Y1021" i="2"/>
  <c r="S1021" i="2"/>
  <c r="O1021" i="2"/>
  <c r="AC1021" i="2" s="1"/>
  <c r="AG1021" i="2" s="1"/>
  <c r="N1021" i="2"/>
  <c r="AH1020" i="2"/>
  <c r="AG1020" i="2"/>
  <c r="AF1020" i="2"/>
  <c r="AC1020" i="2"/>
  <c r="AB1020" i="2"/>
  <c r="AA1020" i="2"/>
  <c r="AE1020" i="2" s="1"/>
  <c r="Z1020" i="2"/>
  <c r="Y1020" i="2"/>
  <c r="S1020" i="2"/>
  <c r="O1020" i="2"/>
  <c r="AD1020" i="2" s="1"/>
  <c r="N1020" i="2"/>
  <c r="AH1019" i="2"/>
  <c r="AF1019" i="2"/>
  <c r="AE1019" i="2"/>
  <c r="AD1019" i="2"/>
  <c r="AC1019" i="2"/>
  <c r="AG1019" i="2" s="1"/>
  <c r="AB1019" i="2"/>
  <c r="AA1019" i="2"/>
  <c r="Z1019" i="2"/>
  <c r="Y1019" i="2"/>
  <c r="S1019" i="2"/>
  <c r="O1019" i="2"/>
  <c r="N1019" i="2"/>
  <c r="AH1018" i="2"/>
  <c r="AD1018" i="2"/>
  <c r="AB1018" i="2"/>
  <c r="AF1018" i="2" s="1"/>
  <c r="Z1018" i="2"/>
  <c r="Y1018" i="2"/>
  <c r="S1018" i="2"/>
  <c r="O1018" i="2"/>
  <c r="AC1018" i="2" s="1"/>
  <c r="AG1018" i="2" s="1"/>
  <c r="N1018" i="2"/>
  <c r="AA1018" i="2" s="1"/>
  <c r="AE1018" i="2" s="1"/>
  <c r="AF1017" i="2"/>
  <c r="AD1017" i="2"/>
  <c r="AH1017" i="2" s="1"/>
  <c r="AC1017" i="2"/>
  <c r="AG1017" i="2" s="1"/>
  <c r="AB1017" i="2"/>
  <c r="Z1017" i="2"/>
  <c r="Y1017" i="2"/>
  <c r="S1017" i="2"/>
  <c r="O1017" i="2"/>
  <c r="N1017" i="2"/>
  <c r="AA1017" i="2" s="1"/>
  <c r="AE1017" i="2" s="1"/>
  <c r="AF1016" i="2"/>
  <c r="AE1016" i="2"/>
  <c r="AD1016" i="2"/>
  <c r="AH1016" i="2" s="1"/>
  <c r="AC1016" i="2"/>
  <c r="AG1016" i="2" s="1"/>
  <c r="AA1016" i="2"/>
  <c r="Z1016" i="2"/>
  <c r="Y1016" i="2"/>
  <c r="S1016" i="2"/>
  <c r="O1016" i="2"/>
  <c r="N1016" i="2"/>
  <c r="AB1016" i="2" s="1"/>
  <c r="AH1015" i="2"/>
  <c r="AD1015" i="2"/>
  <c r="AC1015" i="2"/>
  <c r="AG1015" i="2" s="1"/>
  <c r="AA1015" i="2"/>
  <c r="AE1015" i="2" s="1"/>
  <c r="Z1015" i="2"/>
  <c r="Y1015" i="2"/>
  <c r="S1015" i="2"/>
  <c r="O1015" i="2"/>
  <c r="N1015" i="2"/>
  <c r="AB1015" i="2" s="1"/>
  <c r="AF1015" i="2" s="1"/>
  <c r="AH1014" i="2"/>
  <c r="AG1014" i="2"/>
  <c r="AF1014" i="2"/>
  <c r="AD1014" i="2"/>
  <c r="AC1014" i="2"/>
  <c r="AA1014" i="2"/>
  <c r="AE1014" i="2" s="1"/>
  <c r="Z1014" i="2"/>
  <c r="Y1014" i="2"/>
  <c r="S1014" i="2"/>
  <c r="O1014" i="2"/>
  <c r="N1014" i="2"/>
  <c r="AB1014" i="2" s="1"/>
  <c r="AD1013" i="2"/>
  <c r="AH1013" i="2" s="1"/>
  <c r="AC1013" i="2"/>
  <c r="AG1013" i="2" s="1"/>
  <c r="AB1013" i="2"/>
  <c r="AF1013" i="2" s="1"/>
  <c r="AA1013" i="2"/>
  <c r="AE1013" i="2" s="1"/>
  <c r="Z1013" i="2"/>
  <c r="Y1013" i="2"/>
  <c r="S1013" i="2"/>
  <c r="O1013" i="2"/>
  <c r="N1013" i="2"/>
  <c r="AF1012" i="2"/>
  <c r="AE1012" i="2"/>
  <c r="AC1012" i="2"/>
  <c r="AG1012" i="2" s="1"/>
  <c r="AA1012" i="2"/>
  <c r="Z1012" i="2"/>
  <c r="Y1012" i="2"/>
  <c r="S1012" i="2"/>
  <c r="O1012" i="2"/>
  <c r="AD1012" i="2" s="1"/>
  <c r="AH1012" i="2" s="1"/>
  <c r="N1012" i="2"/>
  <c r="AB1012" i="2" s="1"/>
  <c r="AH1011" i="2"/>
  <c r="AG1011" i="2"/>
  <c r="AF1011" i="2"/>
  <c r="AE1011" i="2"/>
  <c r="AD1011" i="2"/>
  <c r="AC1011" i="2"/>
  <c r="AB1011" i="2"/>
  <c r="AA1011" i="2"/>
  <c r="Z1011" i="2"/>
  <c r="Y1011" i="2"/>
  <c r="S1011" i="2"/>
  <c r="O1011" i="2"/>
  <c r="N1011" i="2"/>
  <c r="AD1010" i="2"/>
  <c r="AH1010" i="2" s="1"/>
  <c r="AC1010" i="2"/>
  <c r="AG1010" i="2" s="1"/>
  <c r="AB1010" i="2"/>
  <c r="AF1010" i="2" s="1"/>
  <c r="AA1010" i="2"/>
  <c r="AE1010" i="2" s="1"/>
  <c r="Z1010" i="2"/>
  <c r="Y1010" i="2"/>
  <c r="S1010" i="2"/>
  <c r="O1010" i="2"/>
  <c r="N1010" i="2"/>
  <c r="AH1009" i="2"/>
  <c r="AG1009" i="2"/>
  <c r="AC1009" i="2"/>
  <c r="AA1009" i="2"/>
  <c r="AE1009" i="2" s="1"/>
  <c r="Z1009" i="2"/>
  <c r="Y1009" i="2"/>
  <c r="S1009" i="2"/>
  <c r="O1009" i="2"/>
  <c r="AD1009" i="2" s="1"/>
  <c r="N1009" i="2"/>
  <c r="AB1009" i="2" s="1"/>
  <c r="AF1009" i="2" s="1"/>
  <c r="AH1008" i="2"/>
  <c r="AG1008" i="2"/>
  <c r="AC1008" i="2"/>
  <c r="Z1008" i="2"/>
  <c r="Y1008" i="2"/>
  <c r="S1008" i="2"/>
  <c r="O1008" i="2"/>
  <c r="AD1008" i="2" s="1"/>
  <c r="N1008" i="2"/>
  <c r="AF1007" i="2"/>
  <c r="AE1007" i="2"/>
  <c r="AD1007" i="2"/>
  <c r="AH1007" i="2" s="1"/>
  <c r="AC1007" i="2"/>
  <c r="AG1007" i="2" s="1"/>
  <c r="AB1007" i="2"/>
  <c r="Z1007" i="2"/>
  <c r="Y1007" i="2"/>
  <c r="S1007" i="2"/>
  <c r="O1007" i="2"/>
  <c r="N1007" i="2"/>
  <c r="AA1007" i="2" s="1"/>
  <c r="AG1006" i="2"/>
  <c r="AC1006" i="2"/>
  <c r="AA1006" i="2"/>
  <c r="AE1006" i="2" s="1"/>
  <c r="Z1006" i="2"/>
  <c r="Y1006" i="2"/>
  <c r="S1006" i="2"/>
  <c r="O1006" i="2"/>
  <c r="AD1006" i="2" s="1"/>
  <c r="AH1006" i="2" s="1"/>
  <c r="N1006" i="2"/>
  <c r="AB1006" i="2" s="1"/>
  <c r="AF1006" i="2" s="1"/>
  <c r="AG1005" i="2"/>
  <c r="AD1005" i="2"/>
  <c r="AH1005" i="2" s="1"/>
  <c r="AC1005" i="2"/>
  <c r="AB1005" i="2"/>
  <c r="AF1005" i="2" s="1"/>
  <c r="AA1005" i="2"/>
  <c r="AE1005" i="2" s="1"/>
  <c r="Z1005" i="2"/>
  <c r="Y1005" i="2"/>
  <c r="S1005" i="2"/>
  <c r="O1005" i="2"/>
  <c r="N1005" i="2"/>
  <c r="AH1004" i="2"/>
  <c r="AG1004" i="2"/>
  <c r="AE1004" i="2"/>
  <c r="AD1004" i="2"/>
  <c r="AC1004" i="2"/>
  <c r="AB1004" i="2"/>
  <c r="AF1004" i="2" s="1"/>
  <c r="AA1004" i="2"/>
  <c r="Z1004" i="2"/>
  <c r="Y1004" i="2"/>
  <c r="S1004" i="2"/>
  <c r="O1004" i="2"/>
  <c r="N1004" i="2"/>
  <c r="AC1003" i="2"/>
  <c r="AG1003" i="2" s="1"/>
  <c r="AB1003" i="2"/>
  <c r="AF1003" i="2" s="1"/>
  <c r="AA1003" i="2"/>
  <c r="AE1003" i="2" s="1"/>
  <c r="Z1003" i="2"/>
  <c r="Y1003" i="2"/>
  <c r="S1003" i="2"/>
  <c r="O1003" i="2"/>
  <c r="AD1003" i="2" s="1"/>
  <c r="AH1003" i="2" s="1"/>
  <c r="N1003" i="2"/>
  <c r="AH1002" i="2"/>
  <c r="AG1002" i="2"/>
  <c r="AF1002" i="2"/>
  <c r="AD1002" i="2"/>
  <c r="AC1002" i="2"/>
  <c r="AA1002" i="2"/>
  <c r="AE1002" i="2" s="1"/>
  <c r="Z1002" i="2"/>
  <c r="Y1002" i="2"/>
  <c r="S1002" i="2"/>
  <c r="O1002" i="2"/>
  <c r="N1002" i="2"/>
  <c r="AB1002" i="2" s="1"/>
  <c r="AH1001" i="2"/>
  <c r="AG1001" i="2"/>
  <c r="AE1001" i="2"/>
  <c r="AC1001" i="2"/>
  <c r="AB1001" i="2"/>
  <c r="AF1001" i="2" s="1"/>
  <c r="AA1001" i="2"/>
  <c r="Z1001" i="2"/>
  <c r="Y1001" i="2"/>
  <c r="S1001" i="2"/>
  <c r="O1001" i="2"/>
  <c r="AD1001" i="2" s="1"/>
  <c r="N1001" i="2"/>
  <c r="AE1000" i="2"/>
  <c r="AC1000" i="2"/>
  <c r="AG1000" i="2" s="1"/>
  <c r="AB1000" i="2"/>
  <c r="AF1000" i="2" s="1"/>
  <c r="AA1000" i="2"/>
  <c r="Z1000" i="2"/>
  <c r="Y1000" i="2"/>
  <c r="S1000" i="2"/>
  <c r="O1000" i="2"/>
  <c r="AD1000" i="2" s="1"/>
  <c r="AH1000" i="2" s="1"/>
  <c r="N1000" i="2"/>
  <c r="AE999" i="2"/>
  <c r="AD999" i="2"/>
  <c r="AH999" i="2" s="1"/>
  <c r="AB999" i="2"/>
  <c r="AF999" i="2" s="1"/>
  <c r="AA999" i="2"/>
  <c r="Z999" i="2"/>
  <c r="Y999" i="2"/>
  <c r="S999" i="2"/>
  <c r="O999" i="2"/>
  <c r="AC999" i="2" s="1"/>
  <c r="AG999" i="2" s="1"/>
  <c r="N999" i="2"/>
  <c r="AH998" i="2"/>
  <c r="AF998" i="2"/>
  <c r="AD998" i="2"/>
  <c r="AC998" i="2"/>
  <c r="AG998" i="2" s="1"/>
  <c r="AB998" i="2"/>
  <c r="AA998" i="2"/>
  <c r="AE998" i="2" s="1"/>
  <c r="Z998" i="2"/>
  <c r="Y998" i="2"/>
  <c r="S998" i="2"/>
  <c r="O998" i="2"/>
  <c r="N998" i="2"/>
  <c r="AC997" i="2"/>
  <c r="AG997" i="2" s="1"/>
  <c r="AA997" i="2"/>
  <c r="AE997" i="2" s="1"/>
  <c r="Z997" i="2"/>
  <c r="Y997" i="2"/>
  <c r="S997" i="2"/>
  <c r="O997" i="2"/>
  <c r="AD997" i="2" s="1"/>
  <c r="AH997" i="2" s="1"/>
  <c r="N997" i="2"/>
  <c r="AB997" i="2" s="1"/>
  <c r="AF997" i="2" s="1"/>
  <c r="AH996" i="2"/>
  <c r="AF996" i="2"/>
  <c r="AE996" i="2"/>
  <c r="AD996" i="2"/>
  <c r="AC996" i="2"/>
  <c r="AG996" i="2" s="1"/>
  <c r="AA996" i="2"/>
  <c r="Z996" i="2"/>
  <c r="Y996" i="2"/>
  <c r="S996" i="2"/>
  <c r="O996" i="2"/>
  <c r="N996" i="2"/>
  <c r="AB996" i="2" s="1"/>
  <c r="AF995" i="2"/>
  <c r="AD995" i="2"/>
  <c r="AH995" i="2" s="1"/>
  <c r="AC995" i="2"/>
  <c r="AG995" i="2" s="1"/>
  <c r="AB995" i="2"/>
  <c r="AA995" i="2"/>
  <c r="AE995" i="2" s="1"/>
  <c r="Z995" i="2"/>
  <c r="Y995" i="2"/>
  <c r="S995" i="2"/>
  <c r="O995" i="2"/>
  <c r="N995" i="2"/>
  <c r="AH994" i="2"/>
  <c r="AE994" i="2"/>
  <c r="AD994" i="2"/>
  <c r="AB994" i="2"/>
  <c r="AF994" i="2" s="1"/>
  <c r="AA994" i="2"/>
  <c r="Z994" i="2"/>
  <c r="Y994" i="2"/>
  <c r="S994" i="2"/>
  <c r="O994" i="2"/>
  <c r="AC994" i="2" s="1"/>
  <c r="AG994" i="2" s="1"/>
  <c r="N994" i="2"/>
  <c r="AH993" i="2"/>
  <c r="AG993" i="2"/>
  <c r="AF993" i="2"/>
  <c r="AD993" i="2"/>
  <c r="AB993" i="2"/>
  <c r="Z993" i="2"/>
  <c r="Y993" i="2"/>
  <c r="S993" i="2"/>
  <c r="O993" i="2"/>
  <c r="AC993" i="2" s="1"/>
  <c r="N993" i="2"/>
  <c r="AA993" i="2" s="1"/>
  <c r="AE993" i="2" s="1"/>
  <c r="AH992" i="2"/>
  <c r="AD992" i="2"/>
  <c r="AC992" i="2"/>
  <c r="AG992" i="2" s="1"/>
  <c r="AB992" i="2"/>
  <c r="AF992" i="2" s="1"/>
  <c r="AA992" i="2"/>
  <c r="AE992" i="2" s="1"/>
  <c r="Z992" i="2"/>
  <c r="Y992" i="2"/>
  <c r="S992" i="2"/>
  <c r="O992" i="2"/>
  <c r="N992" i="2"/>
  <c r="AG991" i="2"/>
  <c r="AF991" i="2"/>
  <c r="AE991" i="2"/>
  <c r="AC991" i="2"/>
  <c r="AA991" i="2"/>
  <c r="Z991" i="2"/>
  <c r="Y991" i="2"/>
  <c r="S991" i="2"/>
  <c r="O991" i="2"/>
  <c r="AD991" i="2" s="1"/>
  <c r="AH991" i="2" s="1"/>
  <c r="N991" i="2"/>
  <c r="AB991" i="2" s="1"/>
  <c r="AC990" i="2"/>
  <c r="AG990" i="2" s="1"/>
  <c r="AA990" i="2"/>
  <c r="AE990" i="2" s="1"/>
  <c r="Z990" i="2"/>
  <c r="Y990" i="2"/>
  <c r="S990" i="2"/>
  <c r="O990" i="2"/>
  <c r="AD990" i="2" s="1"/>
  <c r="AH990" i="2" s="1"/>
  <c r="N990" i="2"/>
  <c r="AB990" i="2" s="1"/>
  <c r="AF990" i="2" s="1"/>
  <c r="AE989" i="2"/>
  <c r="AC989" i="2"/>
  <c r="AG989" i="2" s="1"/>
  <c r="AA989" i="2"/>
  <c r="Z989" i="2"/>
  <c r="Y989" i="2"/>
  <c r="S989" i="2"/>
  <c r="O989" i="2"/>
  <c r="AD989" i="2" s="1"/>
  <c r="AH989" i="2" s="1"/>
  <c r="N989" i="2"/>
  <c r="AB989" i="2" s="1"/>
  <c r="AF989" i="2" s="1"/>
  <c r="AF988" i="2"/>
  <c r="AD988" i="2"/>
  <c r="AH988" i="2" s="1"/>
  <c r="AC988" i="2"/>
  <c r="AG988" i="2" s="1"/>
  <c r="AB988" i="2"/>
  <c r="Z988" i="2"/>
  <c r="Y988" i="2"/>
  <c r="S988" i="2"/>
  <c r="O988" i="2"/>
  <c r="N988" i="2"/>
  <c r="AA988" i="2" s="1"/>
  <c r="AE988" i="2" s="1"/>
  <c r="AF987" i="2"/>
  <c r="AD987" i="2"/>
  <c r="AH987" i="2" s="1"/>
  <c r="AC987" i="2"/>
  <c r="AG987" i="2" s="1"/>
  <c r="AB987" i="2"/>
  <c r="AA987" i="2"/>
  <c r="AE987" i="2" s="1"/>
  <c r="Z987" i="2"/>
  <c r="Y987" i="2"/>
  <c r="S987" i="2"/>
  <c r="O987" i="2"/>
  <c r="N987" i="2"/>
  <c r="AG986" i="2"/>
  <c r="AF986" i="2"/>
  <c r="AE986" i="2"/>
  <c r="AC986" i="2"/>
  <c r="AA986" i="2"/>
  <c r="Z986" i="2"/>
  <c r="Y986" i="2"/>
  <c r="S986" i="2"/>
  <c r="O986" i="2"/>
  <c r="AD986" i="2" s="1"/>
  <c r="AH986" i="2" s="1"/>
  <c r="N986" i="2"/>
  <c r="AB986" i="2" s="1"/>
  <c r="AG985" i="2"/>
  <c r="AF985" i="2"/>
  <c r="AE985" i="2"/>
  <c r="AD985" i="2"/>
  <c r="AH985" i="2" s="1"/>
  <c r="AC985" i="2"/>
  <c r="AB985" i="2"/>
  <c r="AA985" i="2"/>
  <c r="Z985" i="2"/>
  <c r="Y985" i="2"/>
  <c r="S985" i="2"/>
  <c r="O985" i="2"/>
  <c r="N985" i="2"/>
  <c r="AD984" i="2"/>
  <c r="AH984" i="2" s="1"/>
  <c r="AC984" i="2"/>
  <c r="AG984" i="2" s="1"/>
  <c r="AA984" i="2"/>
  <c r="AE984" i="2" s="1"/>
  <c r="Z984" i="2"/>
  <c r="Y984" i="2"/>
  <c r="S984" i="2"/>
  <c r="O984" i="2"/>
  <c r="N984" i="2"/>
  <c r="AB984" i="2" s="1"/>
  <c r="AF984" i="2" s="1"/>
  <c r="AH983" i="2"/>
  <c r="AD983" i="2"/>
  <c r="AC983" i="2"/>
  <c r="AG983" i="2" s="1"/>
  <c r="AB983" i="2"/>
  <c r="AF983" i="2" s="1"/>
  <c r="Z983" i="2"/>
  <c r="Y983" i="2"/>
  <c r="S983" i="2"/>
  <c r="O983" i="2"/>
  <c r="N983" i="2"/>
  <c r="AA983" i="2" s="1"/>
  <c r="AE983" i="2" s="1"/>
  <c r="AG982" i="2"/>
  <c r="AF982" i="2"/>
  <c r="AD982" i="2"/>
  <c r="AH982" i="2" s="1"/>
  <c r="AC982" i="2"/>
  <c r="AB982" i="2"/>
  <c r="Z982" i="2"/>
  <c r="Y982" i="2"/>
  <c r="S982" i="2"/>
  <c r="O982" i="2"/>
  <c r="N982" i="2"/>
  <c r="AA982" i="2" s="1"/>
  <c r="AE982" i="2" s="1"/>
  <c r="AH981" i="2"/>
  <c r="AD981" i="2"/>
  <c r="AB981" i="2"/>
  <c r="AF981" i="2" s="1"/>
  <c r="AA981" i="2"/>
  <c r="AE981" i="2" s="1"/>
  <c r="Z981" i="2"/>
  <c r="Y981" i="2"/>
  <c r="S981" i="2"/>
  <c r="O981" i="2"/>
  <c r="AC981" i="2" s="1"/>
  <c r="AG981" i="2" s="1"/>
  <c r="N981" i="2"/>
  <c r="AD980" i="2"/>
  <c r="AH980" i="2" s="1"/>
  <c r="AC980" i="2"/>
  <c r="AG980" i="2" s="1"/>
  <c r="AB980" i="2"/>
  <c r="AF980" i="2" s="1"/>
  <c r="AA980" i="2"/>
  <c r="AE980" i="2" s="1"/>
  <c r="Z980" i="2"/>
  <c r="Y980" i="2"/>
  <c r="S980" i="2"/>
  <c r="O980" i="2"/>
  <c r="N980" i="2"/>
  <c r="AE979" i="2"/>
  <c r="AC979" i="2"/>
  <c r="AG979" i="2" s="1"/>
  <c r="AA979" i="2"/>
  <c r="Z979" i="2"/>
  <c r="Y979" i="2"/>
  <c r="S979" i="2"/>
  <c r="O979" i="2"/>
  <c r="AD979" i="2" s="1"/>
  <c r="AH979" i="2" s="1"/>
  <c r="N979" i="2"/>
  <c r="AB979" i="2" s="1"/>
  <c r="AF979" i="2" s="1"/>
  <c r="AG978" i="2"/>
  <c r="AF978" i="2"/>
  <c r="AE978" i="2"/>
  <c r="AD978" i="2"/>
  <c r="AH978" i="2" s="1"/>
  <c r="AC978" i="2"/>
  <c r="AB978" i="2"/>
  <c r="AA978" i="2"/>
  <c r="Z978" i="2"/>
  <c r="Y978" i="2"/>
  <c r="S978" i="2"/>
  <c r="O978" i="2"/>
  <c r="N978" i="2"/>
  <c r="AG977" i="2"/>
  <c r="AE977" i="2"/>
  <c r="AD977" i="2"/>
  <c r="AH977" i="2" s="1"/>
  <c r="AC977" i="2"/>
  <c r="AB977" i="2"/>
  <c r="AF977" i="2" s="1"/>
  <c r="AA977" i="2"/>
  <c r="Z977" i="2"/>
  <c r="Y977" i="2"/>
  <c r="S977" i="2"/>
  <c r="O977" i="2"/>
  <c r="N977" i="2"/>
  <c r="AC976" i="2"/>
  <c r="AG976" i="2" s="1"/>
  <c r="AA976" i="2"/>
  <c r="AE976" i="2" s="1"/>
  <c r="Z976" i="2"/>
  <c r="Y976" i="2"/>
  <c r="S976" i="2"/>
  <c r="O976" i="2"/>
  <c r="AD976" i="2" s="1"/>
  <c r="AH976" i="2" s="1"/>
  <c r="N976" i="2"/>
  <c r="AB976" i="2" s="1"/>
  <c r="AF976" i="2" s="1"/>
  <c r="AG975" i="2"/>
  <c r="AF975" i="2"/>
  <c r="AE975" i="2"/>
  <c r="AD975" i="2"/>
  <c r="AH975" i="2" s="1"/>
  <c r="AC975" i="2"/>
  <c r="AB975" i="2"/>
  <c r="Z975" i="2"/>
  <c r="Y975" i="2"/>
  <c r="S975" i="2"/>
  <c r="O975" i="2"/>
  <c r="N975" i="2"/>
  <c r="AA975" i="2" s="1"/>
  <c r="AH974" i="2"/>
  <c r="AG974" i="2"/>
  <c r="AF974" i="2"/>
  <c r="AE974" i="2"/>
  <c r="AD974" i="2"/>
  <c r="AC974" i="2"/>
  <c r="AB974" i="2"/>
  <c r="AA974" i="2"/>
  <c r="Z974" i="2"/>
  <c r="Y974" i="2"/>
  <c r="S974" i="2"/>
  <c r="O974" i="2"/>
  <c r="N974" i="2"/>
  <c r="AC973" i="2"/>
  <c r="AG973" i="2" s="1"/>
  <c r="AB973" i="2"/>
  <c r="AF973" i="2" s="1"/>
  <c r="AA973" i="2"/>
  <c r="AE973" i="2" s="1"/>
  <c r="Z973" i="2"/>
  <c r="Y973" i="2"/>
  <c r="S973" i="2"/>
  <c r="O973" i="2"/>
  <c r="AD973" i="2" s="1"/>
  <c r="AH973" i="2" s="1"/>
  <c r="N973" i="2"/>
  <c r="AG972" i="2"/>
  <c r="AC972" i="2"/>
  <c r="AB972" i="2"/>
  <c r="AF972" i="2" s="1"/>
  <c r="AA972" i="2"/>
  <c r="AE972" i="2" s="1"/>
  <c r="Z972" i="2"/>
  <c r="Y972" i="2"/>
  <c r="S972" i="2"/>
  <c r="O972" i="2"/>
  <c r="AD972" i="2" s="1"/>
  <c r="AH972" i="2" s="1"/>
  <c r="N972" i="2"/>
  <c r="AG971" i="2"/>
  <c r="AF971" i="2"/>
  <c r="AE971" i="2"/>
  <c r="AC971" i="2"/>
  <c r="AB971" i="2"/>
  <c r="AA971" i="2"/>
  <c r="Z971" i="2"/>
  <c r="Y971" i="2"/>
  <c r="S971" i="2"/>
  <c r="O971" i="2"/>
  <c r="AD971" i="2" s="1"/>
  <c r="AH971" i="2" s="1"/>
  <c r="N971" i="2"/>
  <c r="AC970" i="2"/>
  <c r="AG970" i="2" s="1"/>
  <c r="AA970" i="2"/>
  <c r="AE970" i="2" s="1"/>
  <c r="Z970" i="2"/>
  <c r="Y970" i="2"/>
  <c r="S970" i="2"/>
  <c r="O970" i="2"/>
  <c r="AD970" i="2" s="1"/>
  <c r="AH970" i="2" s="1"/>
  <c r="N970" i="2"/>
  <c r="AB970" i="2" s="1"/>
  <c r="AF970" i="2" s="1"/>
  <c r="AF969" i="2"/>
  <c r="AE969" i="2"/>
  <c r="AD969" i="2"/>
  <c r="AH969" i="2" s="1"/>
  <c r="AC969" i="2"/>
  <c r="AG969" i="2" s="1"/>
  <c r="AA969" i="2"/>
  <c r="Z969" i="2"/>
  <c r="Y969" i="2"/>
  <c r="S969" i="2"/>
  <c r="O969" i="2"/>
  <c r="N969" i="2"/>
  <c r="AB969" i="2" s="1"/>
  <c r="AE968" i="2"/>
  <c r="AD968" i="2"/>
  <c r="AH968" i="2" s="1"/>
  <c r="AB968" i="2"/>
  <c r="AF968" i="2" s="1"/>
  <c r="Z968" i="2"/>
  <c r="Y968" i="2"/>
  <c r="S968" i="2"/>
  <c r="O968" i="2"/>
  <c r="AC968" i="2" s="1"/>
  <c r="AG968" i="2" s="1"/>
  <c r="N968" i="2"/>
  <c r="AA968" i="2" s="1"/>
  <c r="AF967" i="2"/>
  <c r="AE967" i="2"/>
  <c r="AD967" i="2"/>
  <c r="AH967" i="2" s="1"/>
  <c r="AC967" i="2"/>
  <c r="AG967" i="2" s="1"/>
  <c r="AB967" i="2"/>
  <c r="AA967" i="2"/>
  <c r="Z967" i="2"/>
  <c r="Y967" i="2"/>
  <c r="S967" i="2"/>
  <c r="O967" i="2"/>
  <c r="N967" i="2"/>
  <c r="AH966" i="2"/>
  <c r="AG966" i="2"/>
  <c r="AF966" i="2"/>
  <c r="AE966" i="2"/>
  <c r="AC966" i="2"/>
  <c r="AB966" i="2"/>
  <c r="AA966" i="2"/>
  <c r="Z966" i="2"/>
  <c r="Y966" i="2"/>
  <c r="S966" i="2"/>
  <c r="O966" i="2"/>
  <c r="AD966" i="2" s="1"/>
  <c r="N966" i="2"/>
  <c r="AG965" i="2"/>
  <c r="AD965" i="2"/>
  <c r="AH965" i="2" s="1"/>
  <c r="AC965" i="2"/>
  <c r="AB965" i="2"/>
  <c r="AF965" i="2" s="1"/>
  <c r="Z965" i="2"/>
  <c r="Y965" i="2"/>
  <c r="S965" i="2"/>
  <c r="O965" i="2"/>
  <c r="N965" i="2"/>
  <c r="AA965" i="2" s="1"/>
  <c r="AE965" i="2" s="1"/>
  <c r="AG964" i="2"/>
  <c r="AF964" i="2"/>
  <c r="AE964" i="2"/>
  <c r="AC964" i="2"/>
  <c r="AA964" i="2"/>
  <c r="Z964" i="2"/>
  <c r="Y964" i="2"/>
  <c r="S964" i="2"/>
  <c r="O964" i="2"/>
  <c r="AD964" i="2" s="1"/>
  <c r="AH964" i="2" s="1"/>
  <c r="N964" i="2"/>
  <c r="AB964" i="2" s="1"/>
  <c r="AG963" i="2"/>
  <c r="AD963" i="2"/>
  <c r="AH963" i="2" s="1"/>
  <c r="AC963" i="2"/>
  <c r="AB963" i="2"/>
  <c r="AF963" i="2" s="1"/>
  <c r="AA963" i="2"/>
  <c r="AE963" i="2" s="1"/>
  <c r="Z963" i="2"/>
  <c r="Y963" i="2"/>
  <c r="S963" i="2"/>
  <c r="O963" i="2"/>
  <c r="N963" i="2"/>
  <c r="AE962" i="2"/>
  <c r="AD962" i="2"/>
  <c r="AH962" i="2" s="1"/>
  <c r="AC962" i="2"/>
  <c r="AG962" i="2" s="1"/>
  <c r="AB962" i="2"/>
  <c r="AF962" i="2" s="1"/>
  <c r="AA962" i="2"/>
  <c r="Z962" i="2"/>
  <c r="Y962" i="2"/>
  <c r="S962" i="2"/>
  <c r="O962" i="2"/>
  <c r="N962" i="2"/>
  <c r="AG961" i="2"/>
  <c r="AF961" i="2"/>
  <c r="AE961" i="2"/>
  <c r="AC961" i="2"/>
  <c r="AA961" i="2"/>
  <c r="Z961" i="2"/>
  <c r="Y961" i="2"/>
  <c r="S961" i="2"/>
  <c r="O961" i="2"/>
  <c r="AD961" i="2" s="1"/>
  <c r="AH961" i="2" s="1"/>
  <c r="N961" i="2"/>
  <c r="AB961" i="2" s="1"/>
  <c r="AF960" i="2"/>
  <c r="AE960" i="2"/>
  <c r="AD960" i="2"/>
  <c r="AH960" i="2" s="1"/>
  <c r="AC960" i="2"/>
  <c r="AG960" i="2" s="1"/>
  <c r="AB960" i="2"/>
  <c r="AA960" i="2"/>
  <c r="Z960" i="2"/>
  <c r="Y960" i="2"/>
  <c r="S960" i="2"/>
  <c r="O960" i="2"/>
  <c r="N960" i="2"/>
  <c r="AF959" i="2"/>
  <c r="AD959" i="2"/>
  <c r="AH959" i="2" s="1"/>
  <c r="AB959" i="2"/>
  <c r="AA959" i="2"/>
  <c r="AE959" i="2" s="1"/>
  <c r="Z959" i="2"/>
  <c r="Y959" i="2"/>
  <c r="S959" i="2"/>
  <c r="O959" i="2"/>
  <c r="AC959" i="2" s="1"/>
  <c r="AG959" i="2" s="1"/>
  <c r="N959" i="2"/>
  <c r="AF958" i="2"/>
  <c r="AD958" i="2"/>
  <c r="AH958" i="2" s="1"/>
  <c r="AC958" i="2"/>
  <c r="AG958" i="2" s="1"/>
  <c r="AB958" i="2"/>
  <c r="AA958" i="2"/>
  <c r="AE958" i="2" s="1"/>
  <c r="Z958" i="2"/>
  <c r="Y958" i="2"/>
  <c r="S958" i="2"/>
  <c r="O958" i="2"/>
  <c r="N958" i="2"/>
  <c r="AH957" i="2"/>
  <c r="AG957" i="2"/>
  <c r="AF957" i="2"/>
  <c r="AE957" i="2"/>
  <c r="AD957" i="2"/>
  <c r="AC957" i="2"/>
  <c r="AA957" i="2"/>
  <c r="Z957" i="2"/>
  <c r="Y957" i="2"/>
  <c r="S957" i="2"/>
  <c r="O957" i="2"/>
  <c r="N957" i="2"/>
  <c r="AB957" i="2" s="1"/>
  <c r="AH956" i="2"/>
  <c r="AG956" i="2"/>
  <c r="AD956" i="2"/>
  <c r="AC956" i="2"/>
  <c r="AB956" i="2"/>
  <c r="AF956" i="2" s="1"/>
  <c r="AA956" i="2"/>
  <c r="AE956" i="2" s="1"/>
  <c r="Z956" i="2"/>
  <c r="Y956" i="2"/>
  <c r="S956" i="2"/>
  <c r="O956" i="2"/>
  <c r="N956" i="2"/>
  <c r="AE955" i="2"/>
  <c r="AC955" i="2"/>
  <c r="AG955" i="2" s="1"/>
  <c r="AA955" i="2"/>
  <c r="Z955" i="2"/>
  <c r="Y955" i="2"/>
  <c r="S955" i="2"/>
  <c r="O955" i="2"/>
  <c r="AD955" i="2" s="1"/>
  <c r="AH955" i="2" s="1"/>
  <c r="N955" i="2"/>
  <c r="AB955" i="2" s="1"/>
  <c r="AF955" i="2" s="1"/>
  <c r="AF954" i="2"/>
  <c r="AD954" i="2"/>
  <c r="AH954" i="2" s="1"/>
  <c r="AC954" i="2"/>
  <c r="AG954" i="2" s="1"/>
  <c r="AB954" i="2"/>
  <c r="AA954" i="2"/>
  <c r="AE954" i="2" s="1"/>
  <c r="Z954" i="2"/>
  <c r="Y954" i="2"/>
  <c r="S954" i="2"/>
  <c r="O954" i="2"/>
  <c r="N954" i="2"/>
  <c r="AC953" i="2"/>
  <c r="AG953" i="2" s="1"/>
  <c r="AA953" i="2"/>
  <c r="AE953" i="2" s="1"/>
  <c r="Z953" i="2"/>
  <c r="Y953" i="2"/>
  <c r="S953" i="2"/>
  <c r="O953" i="2"/>
  <c r="AD953" i="2" s="1"/>
  <c r="AH953" i="2" s="1"/>
  <c r="N953" i="2"/>
  <c r="AB953" i="2" s="1"/>
  <c r="AF953" i="2" s="1"/>
  <c r="AG952" i="2"/>
  <c r="AD952" i="2"/>
  <c r="AH952" i="2" s="1"/>
  <c r="AC952" i="2"/>
  <c r="AB952" i="2"/>
  <c r="AF952" i="2" s="1"/>
  <c r="Z952" i="2"/>
  <c r="Y952" i="2"/>
  <c r="S952" i="2"/>
  <c r="O952" i="2"/>
  <c r="N952" i="2"/>
  <c r="AA952" i="2" s="1"/>
  <c r="AE952" i="2" s="1"/>
  <c r="AG951" i="2"/>
  <c r="AC951" i="2"/>
  <c r="AA951" i="2"/>
  <c r="AE951" i="2" s="1"/>
  <c r="Z951" i="2"/>
  <c r="Y951" i="2"/>
  <c r="S951" i="2"/>
  <c r="O951" i="2"/>
  <c r="AD951" i="2" s="1"/>
  <c r="AH951" i="2" s="1"/>
  <c r="N951" i="2"/>
  <c r="AB951" i="2" s="1"/>
  <c r="AF951" i="2" s="1"/>
  <c r="AG950" i="2"/>
  <c r="AC950" i="2"/>
  <c r="AA950" i="2"/>
  <c r="AE950" i="2" s="1"/>
  <c r="Z950" i="2"/>
  <c r="Y950" i="2"/>
  <c r="S950" i="2"/>
  <c r="O950" i="2"/>
  <c r="AD950" i="2" s="1"/>
  <c r="AH950" i="2" s="1"/>
  <c r="N950" i="2"/>
  <c r="AB950" i="2" s="1"/>
  <c r="AF950" i="2" s="1"/>
  <c r="AG949" i="2"/>
  <c r="AD949" i="2"/>
  <c r="AH949" i="2" s="1"/>
  <c r="AC949" i="2"/>
  <c r="AA949" i="2"/>
  <c r="AE949" i="2" s="1"/>
  <c r="Z949" i="2"/>
  <c r="Y949" i="2"/>
  <c r="S949" i="2"/>
  <c r="O949" i="2"/>
  <c r="N949" i="2"/>
  <c r="AB949" i="2" s="1"/>
  <c r="AF949" i="2" s="1"/>
  <c r="AG948" i="2"/>
  <c r="AF948" i="2"/>
  <c r="AD948" i="2"/>
  <c r="AH948" i="2" s="1"/>
  <c r="AC948" i="2"/>
  <c r="AB948" i="2"/>
  <c r="AA948" i="2"/>
  <c r="AE948" i="2" s="1"/>
  <c r="Z948" i="2"/>
  <c r="Y948" i="2"/>
  <c r="S948" i="2"/>
  <c r="O948" i="2"/>
  <c r="N948" i="2"/>
  <c r="AH947" i="2"/>
  <c r="AD947" i="2"/>
  <c r="AB947" i="2"/>
  <c r="AF947" i="2" s="1"/>
  <c r="AA947" i="2"/>
  <c r="AE947" i="2" s="1"/>
  <c r="Z947" i="2"/>
  <c r="Y947" i="2"/>
  <c r="S947" i="2"/>
  <c r="O947" i="2"/>
  <c r="AC947" i="2" s="1"/>
  <c r="AG947" i="2" s="1"/>
  <c r="N947" i="2"/>
  <c r="AC946" i="2"/>
  <c r="AG946" i="2" s="1"/>
  <c r="AB946" i="2"/>
  <c r="AF946" i="2" s="1"/>
  <c r="AA946" i="2"/>
  <c r="AE946" i="2" s="1"/>
  <c r="Z946" i="2"/>
  <c r="Y946" i="2"/>
  <c r="S946" i="2"/>
  <c r="O946" i="2"/>
  <c r="AD946" i="2" s="1"/>
  <c r="AH946" i="2" s="1"/>
  <c r="N946" i="2"/>
  <c r="AE945" i="2"/>
  <c r="AD945" i="2"/>
  <c r="AH945" i="2" s="1"/>
  <c r="AC945" i="2"/>
  <c r="AG945" i="2" s="1"/>
  <c r="AB945" i="2"/>
  <c r="AF945" i="2" s="1"/>
  <c r="Z945" i="2"/>
  <c r="Y945" i="2"/>
  <c r="S945" i="2"/>
  <c r="O945" i="2"/>
  <c r="N945" i="2"/>
  <c r="AA945" i="2" s="1"/>
  <c r="AG944" i="2"/>
  <c r="AE944" i="2"/>
  <c r="AC944" i="2"/>
  <c r="AB944" i="2"/>
  <c r="AF944" i="2" s="1"/>
  <c r="AA944" i="2"/>
  <c r="Z944" i="2"/>
  <c r="Y944" i="2"/>
  <c r="S944" i="2"/>
  <c r="O944" i="2"/>
  <c r="AD944" i="2" s="1"/>
  <c r="AH944" i="2" s="1"/>
  <c r="N944" i="2"/>
  <c r="AE943" i="2"/>
  <c r="AC943" i="2"/>
  <c r="AG943" i="2" s="1"/>
  <c r="AB943" i="2"/>
  <c r="AF943" i="2" s="1"/>
  <c r="AA943" i="2"/>
  <c r="Z943" i="2"/>
  <c r="Y943" i="2"/>
  <c r="S943" i="2"/>
  <c r="O943" i="2"/>
  <c r="AD943" i="2" s="1"/>
  <c r="AH943" i="2" s="1"/>
  <c r="N943" i="2"/>
  <c r="AH942" i="2"/>
  <c r="AF942" i="2"/>
  <c r="AD942" i="2"/>
  <c r="AB942" i="2"/>
  <c r="AA942" i="2"/>
  <c r="AE942" i="2" s="1"/>
  <c r="Z942" i="2"/>
  <c r="Y942" i="2"/>
  <c r="S942" i="2"/>
  <c r="O942" i="2"/>
  <c r="AC942" i="2" s="1"/>
  <c r="AG942" i="2" s="1"/>
  <c r="N942" i="2"/>
  <c r="AH941" i="2"/>
  <c r="AD941" i="2"/>
  <c r="AB941" i="2"/>
  <c r="AF941" i="2" s="1"/>
  <c r="Z941" i="2"/>
  <c r="Y941" i="2"/>
  <c r="S941" i="2"/>
  <c r="O941" i="2"/>
  <c r="AC941" i="2" s="1"/>
  <c r="AG941" i="2" s="1"/>
  <c r="N941" i="2"/>
  <c r="AA941" i="2" s="1"/>
  <c r="AE941" i="2" s="1"/>
  <c r="AE940" i="2"/>
  <c r="AD940" i="2"/>
  <c r="AH940" i="2" s="1"/>
  <c r="AC940" i="2"/>
  <c r="AG940" i="2" s="1"/>
  <c r="AB940" i="2"/>
  <c r="AF940" i="2" s="1"/>
  <c r="Z940" i="2"/>
  <c r="Y940" i="2"/>
  <c r="S940" i="2"/>
  <c r="O940" i="2"/>
  <c r="N940" i="2"/>
  <c r="AA940" i="2" s="1"/>
  <c r="AE939" i="2"/>
  <c r="AC939" i="2"/>
  <c r="AG939" i="2" s="1"/>
  <c r="AA939" i="2"/>
  <c r="Z939" i="2"/>
  <c r="Y939" i="2"/>
  <c r="S939" i="2"/>
  <c r="O939" i="2"/>
  <c r="AD939" i="2" s="1"/>
  <c r="AH939" i="2" s="1"/>
  <c r="N939" i="2"/>
  <c r="AB939" i="2" s="1"/>
  <c r="AF939" i="2" s="1"/>
  <c r="AE938" i="2"/>
  <c r="AC938" i="2"/>
  <c r="AG938" i="2" s="1"/>
  <c r="AA938" i="2"/>
  <c r="Z938" i="2"/>
  <c r="Y938" i="2"/>
  <c r="S938" i="2"/>
  <c r="O938" i="2"/>
  <c r="AD938" i="2" s="1"/>
  <c r="AH938" i="2" s="1"/>
  <c r="N938" i="2"/>
  <c r="AB938" i="2" s="1"/>
  <c r="AF938" i="2" s="1"/>
  <c r="AF937" i="2"/>
  <c r="AD937" i="2"/>
  <c r="AH937" i="2" s="1"/>
  <c r="AC937" i="2"/>
  <c r="AG937" i="2" s="1"/>
  <c r="AB937" i="2"/>
  <c r="AA937" i="2"/>
  <c r="AE937" i="2" s="1"/>
  <c r="Z937" i="2"/>
  <c r="Y937" i="2"/>
  <c r="S937" i="2"/>
  <c r="O937" i="2"/>
  <c r="N937" i="2"/>
  <c r="AH936" i="2"/>
  <c r="AG936" i="2"/>
  <c r="AF936" i="2"/>
  <c r="AE936" i="2"/>
  <c r="AD936" i="2"/>
  <c r="AC936" i="2"/>
  <c r="AB936" i="2"/>
  <c r="AA936" i="2"/>
  <c r="Z936" i="2"/>
  <c r="Y936" i="2"/>
  <c r="S936" i="2"/>
  <c r="O936" i="2"/>
  <c r="N936" i="2"/>
  <c r="AH935" i="2"/>
  <c r="AD935" i="2"/>
  <c r="AC935" i="2"/>
  <c r="AG935" i="2" s="1"/>
  <c r="AB935" i="2"/>
  <c r="AF935" i="2" s="1"/>
  <c r="AA935" i="2"/>
  <c r="AE935" i="2" s="1"/>
  <c r="Z935" i="2"/>
  <c r="Y935" i="2"/>
  <c r="S935" i="2"/>
  <c r="O935" i="2"/>
  <c r="N935" i="2"/>
  <c r="AC934" i="2"/>
  <c r="AG934" i="2" s="1"/>
  <c r="AA934" i="2"/>
  <c r="AE934" i="2" s="1"/>
  <c r="Z934" i="2"/>
  <c r="Y934" i="2"/>
  <c r="S934" i="2"/>
  <c r="O934" i="2"/>
  <c r="AD934" i="2" s="1"/>
  <c r="AH934" i="2" s="1"/>
  <c r="N934" i="2"/>
  <c r="AB934" i="2" s="1"/>
  <c r="AF934" i="2" s="1"/>
  <c r="AG933" i="2"/>
  <c r="AF933" i="2"/>
  <c r="AE933" i="2"/>
  <c r="AD933" i="2"/>
  <c r="AH933" i="2" s="1"/>
  <c r="AC933" i="2"/>
  <c r="AB933" i="2"/>
  <c r="AA933" i="2"/>
  <c r="Z933" i="2"/>
  <c r="Y933" i="2"/>
  <c r="S933" i="2"/>
  <c r="O933" i="2"/>
  <c r="N933" i="2"/>
  <c r="AB932" i="2"/>
  <c r="AF932" i="2" s="1"/>
  <c r="AA932" i="2"/>
  <c r="AE932" i="2" s="1"/>
  <c r="Z932" i="2"/>
  <c r="Y932" i="2"/>
  <c r="S932" i="2"/>
  <c r="O932" i="2"/>
  <c r="N932" i="2"/>
  <c r="AG931" i="2"/>
  <c r="AE931" i="2"/>
  <c r="AD931" i="2"/>
  <c r="AH931" i="2" s="1"/>
  <c r="AC931" i="2"/>
  <c r="AA931" i="2"/>
  <c r="Z931" i="2"/>
  <c r="Y931" i="2"/>
  <c r="S931" i="2"/>
  <c r="O931" i="2"/>
  <c r="N931" i="2"/>
  <c r="AB931" i="2" s="1"/>
  <c r="AF931" i="2" s="1"/>
  <c r="AH930" i="2"/>
  <c r="AG930" i="2"/>
  <c r="AF930" i="2"/>
  <c r="AD930" i="2"/>
  <c r="AC930" i="2"/>
  <c r="AB930" i="2"/>
  <c r="AA930" i="2"/>
  <c r="AE930" i="2" s="1"/>
  <c r="Z930" i="2"/>
  <c r="Y930" i="2"/>
  <c r="S930" i="2"/>
  <c r="O930" i="2"/>
  <c r="N930" i="2"/>
  <c r="AD929" i="2"/>
  <c r="AH929" i="2" s="1"/>
  <c r="AC929" i="2"/>
  <c r="AG929" i="2" s="1"/>
  <c r="AA929" i="2"/>
  <c r="AE929" i="2" s="1"/>
  <c r="Z929" i="2"/>
  <c r="Y929" i="2"/>
  <c r="S929" i="2"/>
  <c r="O929" i="2"/>
  <c r="N929" i="2"/>
  <c r="AB929" i="2" s="1"/>
  <c r="AF929" i="2" s="1"/>
  <c r="AD928" i="2"/>
  <c r="AH928" i="2" s="1"/>
  <c r="AB928" i="2"/>
  <c r="AF928" i="2" s="1"/>
  <c r="Z928" i="2"/>
  <c r="Y928" i="2"/>
  <c r="S928" i="2"/>
  <c r="O928" i="2"/>
  <c r="AC928" i="2" s="1"/>
  <c r="AG928" i="2" s="1"/>
  <c r="N928" i="2"/>
  <c r="AA928" i="2" s="1"/>
  <c r="AE928" i="2" s="1"/>
  <c r="AE927" i="2"/>
  <c r="AC927" i="2"/>
  <c r="AG927" i="2" s="1"/>
  <c r="AB927" i="2"/>
  <c r="AF927" i="2" s="1"/>
  <c r="AA927" i="2"/>
  <c r="Z927" i="2"/>
  <c r="Y927" i="2"/>
  <c r="S927" i="2"/>
  <c r="O927" i="2"/>
  <c r="AD927" i="2" s="1"/>
  <c r="AH927" i="2" s="1"/>
  <c r="N927" i="2"/>
  <c r="AE926" i="2"/>
  <c r="AD926" i="2"/>
  <c r="AH926" i="2" s="1"/>
  <c r="AC926" i="2"/>
  <c r="AG926" i="2" s="1"/>
  <c r="AB926" i="2"/>
  <c r="AF926" i="2" s="1"/>
  <c r="AA926" i="2"/>
  <c r="Z926" i="2"/>
  <c r="Y926" i="2"/>
  <c r="S926" i="2"/>
  <c r="O926" i="2"/>
  <c r="N926" i="2"/>
  <c r="AF925" i="2"/>
  <c r="AE925" i="2"/>
  <c r="AC925" i="2"/>
  <c r="AG925" i="2" s="1"/>
  <c r="AB925" i="2"/>
  <c r="AA925" i="2"/>
  <c r="Z925" i="2"/>
  <c r="Y925" i="2"/>
  <c r="S925" i="2"/>
  <c r="O925" i="2"/>
  <c r="AD925" i="2" s="1"/>
  <c r="AH925" i="2" s="1"/>
  <c r="N925" i="2"/>
  <c r="AH924" i="2"/>
  <c r="AG924" i="2"/>
  <c r="AF924" i="2"/>
  <c r="AE924" i="2"/>
  <c r="AD924" i="2"/>
  <c r="AB924" i="2"/>
  <c r="AA924" i="2"/>
  <c r="Z924" i="2"/>
  <c r="Y924" i="2"/>
  <c r="S924" i="2"/>
  <c r="O924" i="2"/>
  <c r="AC924" i="2" s="1"/>
  <c r="N924" i="2"/>
  <c r="AC923" i="2"/>
  <c r="AG923" i="2" s="1"/>
  <c r="AB923" i="2"/>
  <c r="AF923" i="2" s="1"/>
  <c r="AA923" i="2"/>
  <c r="AE923" i="2" s="1"/>
  <c r="Z923" i="2"/>
  <c r="Y923" i="2"/>
  <c r="S923" i="2"/>
  <c r="O923" i="2"/>
  <c r="AD923" i="2" s="1"/>
  <c r="AH923" i="2" s="1"/>
  <c r="N923" i="2"/>
  <c r="Z922" i="2"/>
  <c r="Y922" i="2"/>
  <c r="S922" i="2"/>
  <c r="O922" i="2"/>
  <c r="N922" i="2"/>
  <c r="AE921" i="2"/>
  <c r="AD921" i="2"/>
  <c r="AH921" i="2" s="1"/>
  <c r="AC921" i="2"/>
  <c r="AG921" i="2" s="1"/>
  <c r="AB921" i="2"/>
  <c r="AF921" i="2" s="1"/>
  <c r="AA921" i="2"/>
  <c r="Z921" i="2"/>
  <c r="Y921" i="2"/>
  <c r="S921" i="2"/>
  <c r="O921" i="2"/>
  <c r="N921" i="2"/>
  <c r="AF920" i="2"/>
  <c r="AE920" i="2"/>
  <c r="AD920" i="2"/>
  <c r="AH920" i="2" s="1"/>
  <c r="AC920" i="2"/>
  <c r="AG920" i="2" s="1"/>
  <c r="AA920" i="2"/>
  <c r="Z920" i="2"/>
  <c r="Y920" i="2"/>
  <c r="S920" i="2"/>
  <c r="O920" i="2"/>
  <c r="N920" i="2"/>
  <c r="AB920" i="2" s="1"/>
  <c r="AF919" i="2"/>
  <c r="AE919" i="2"/>
  <c r="AD919" i="2"/>
  <c r="AH919" i="2" s="1"/>
  <c r="AC919" i="2"/>
  <c r="AG919" i="2" s="1"/>
  <c r="AB919" i="2"/>
  <c r="AA919" i="2"/>
  <c r="Z919" i="2"/>
  <c r="Y919" i="2"/>
  <c r="S919" i="2"/>
  <c r="O919" i="2"/>
  <c r="N919" i="2"/>
  <c r="AH918" i="2"/>
  <c r="AF918" i="2"/>
  <c r="AE918" i="2"/>
  <c r="AD918" i="2"/>
  <c r="AC918" i="2"/>
  <c r="AG918" i="2" s="1"/>
  <c r="AB918" i="2"/>
  <c r="AA918" i="2"/>
  <c r="Z918" i="2"/>
  <c r="Y918" i="2"/>
  <c r="S918" i="2"/>
  <c r="O918" i="2"/>
  <c r="N918" i="2"/>
  <c r="AH917" i="2"/>
  <c r="AC917" i="2"/>
  <c r="AG917" i="2" s="1"/>
  <c r="AB917" i="2"/>
  <c r="AF917" i="2" s="1"/>
  <c r="AA917" i="2"/>
  <c r="AE917" i="2" s="1"/>
  <c r="Z917" i="2"/>
  <c r="Y917" i="2"/>
  <c r="S917" i="2"/>
  <c r="O917" i="2"/>
  <c r="AD917" i="2" s="1"/>
  <c r="N917" i="2"/>
  <c r="AG916" i="2"/>
  <c r="AF916" i="2"/>
  <c r="AD916" i="2"/>
  <c r="AH916" i="2" s="1"/>
  <c r="AB916" i="2"/>
  <c r="Z916" i="2"/>
  <c r="Y916" i="2"/>
  <c r="S916" i="2"/>
  <c r="O916" i="2"/>
  <c r="AC916" i="2" s="1"/>
  <c r="N916" i="2"/>
  <c r="AA916" i="2" s="1"/>
  <c r="AE916" i="2" s="1"/>
  <c r="AH915" i="2"/>
  <c r="AG915" i="2"/>
  <c r="AF915" i="2"/>
  <c r="AE915" i="2"/>
  <c r="AD915" i="2"/>
  <c r="AC915" i="2"/>
  <c r="AB915" i="2"/>
  <c r="AA915" i="2"/>
  <c r="Z915" i="2"/>
  <c r="Y915" i="2"/>
  <c r="S915" i="2"/>
  <c r="O915" i="2"/>
  <c r="N915" i="2"/>
  <c r="AD914" i="2"/>
  <c r="AH914" i="2" s="1"/>
  <c r="AC914" i="2"/>
  <c r="AG914" i="2" s="1"/>
  <c r="AA914" i="2"/>
  <c r="AE914" i="2" s="1"/>
  <c r="Z914" i="2"/>
  <c r="Y914" i="2"/>
  <c r="S914" i="2"/>
  <c r="O914" i="2"/>
  <c r="N914" i="2"/>
  <c r="AB914" i="2" s="1"/>
  <c r="AF914" i="2" s="1"/>
  <c r="AG913" i="2"/>
  <c r="AE913" i="2"/>
  <c r="AD913" i="2"/>
  <c r="AH913" i="2" s="1"/>
  <c r="AC913" i="2"/>
  <c r="AA913" i="2"/>
  <c r="Z913" i="2"/>
  <c r="Y913" i="2"/>
  <c r="S913" i="2"/>
  <c r="O913" i="2"/>
  <c r="N913" i="2"/>
  <c r="AB913" i="2" s="1"/>
  <c r="AF913" i="2" s="1"/>
  <c r="AH912" i="2"/>
  <c r="AG912" i="2"/>
  <c r="AE912" i="2"/>
  <c r="AD912" i="2"/>
  <c r="AC912" i="2"/>
  <c r="AB912" i="2"/>
  <c r="AF912" i="2" s="1"/>
  <c r="AA912" i="2"/>
  <c r="Z912" i="2"/>
  <c r="Y912" i="2"/>
  <c r="S912" i="2"/>
  <c r="O912" i="2"/>
  <c r="N912" i="2"/>
  <c r="AE911" i="2"/>
  <c r="AD911" i="2"/>
  <c r="AH911" i="2" s="1"/>
  <c r="AC911" i="2"/>
  <c r="AG911" i="2" s="1"/>
  <c r="AB911" i="2"/>
  <c r="AF911" i="2" s="1"/>
  <c r="AA911" i="2"/>
  <c r="Z911" i="2"/>
  <c r="Y911" i="2"/>
  <c r="S911" i="2"/>
  <c r="O911" i="2"/>
  <c r="N911" i="2"/>
  <c r="AG910" i="2"/>
  <c r="AC910" i="2"/>
  <c r="AA910" i="2"/>
  <c r="AE910" i="2" s="1"/>
  <c r="Z910" i="2"/>
  <c r="Y910" i="2"/>
  <c r="S910" i="2"/>
  <c r="O910" i="2"/>
  <c r="AD910" i="2" s="1"/>
  <c r="AH910" i="2" s="1"/>
  <c r="N910" i="2"/>
  <c r="AB910" i="2" s="1"/>
  <c r="AF910" i="2" s="1"/>
  <c r="AH909" i="2"/>
  <c r="AG909" i="2"/>
  <c r="AE909" i="2"/>
  <c r="AD909" i="2"/>
  <c r="AC909" i="2"/>
  <c r="AB909" i="2"/>
  <c r="AF909" i="2" s="1"/>
  <c r="AA909" i="2"/>
  <c r="Z909" i="2"/>
  <c r="Y909" i="2"/>
  <c r="S909" i="2"/>
  <c r="O909" i="2"/>
  <c r="N909" i="2"/>
  <c r="AD908" i="2"/>
  <c r="AH908" i="2" s="1"/>
  <c r="AC908" i="2"/>
  <c r="AG908" i="2" s="1"/>
  <c r="AB908" i="2"/>
  <c r="AF908" i="2" s="1"/>
  <c r="Z908" i="2"/>
  <c r="Y908" i="2"/>
  <c r="S908" i="2"/>
  <c r="O908" i="2"/>
  <c r="N908" i="2"/>
  <c r="AA908" i="2" s="1"/>
  <c r="AE908" i="2" s="1"/>
  <c r="AF907" i="2"/>
  <c r="AE907" i="2"/>
  <c r="AD907" i="2"/>
  <c r="AH907" i="2" s="1"/>
  <c r="AB907" i="2"/>
  <c r="AA907" i="2"/>
  <c r="Z907" i="2"/>
  <c r="Y907" i="2"/>
  <c r="S907" i="2"/>
  <c r="O907" i="2"/>
  <c r="AC907" i="2" s="1"/>
  <c r="AG907" i="2" s="1"/>
  <c r="N907" i="2"/>
  <c r="AH906" i="2"/>
  <c r="AG906" i="2"/>
  <c r="AF906" i="2"/>
  <c r="AE906" i="2"/>
  <c r="AC906" i="2"/>
  <c r="AB906" i="2"/>
  <c r="AA906" i="2"/>
  <c r="Z906" i="2"/>
  <c r="Y906" i="2"/>
  <c r="S906" i="2"/>
  <c r="O906" i="2"/>
  <c r="AD906" i="2" s="1"/>
  <c r="N906" i="2"/>
  <c r="AH905" i="2"/>
  <c r="AE905" i="2"/>
  <c r="AD905" i="2"/>
  <c r="AB905" i="2"/>
  <c r="AF905" i="2" s="1"/>
  <c r="AA905" i="2"/>
  <c r="Z905" i="2"/>
  <c r="Y905" i="2"/>
  <c r="S905" i="2"/>
  <c r="O905" i="2"/>
  <c r="AC905" i="2" s="1"/>
  <c r="AG905" i="2" s="1"/>
  <c r="N905" i="2"/>
  <c r="AH904" i="2"/>
  <c r="AG904" i="2"/>
  <c r="AF904" i="2"/>
  <c r="AC904" i="2"/>
  <c r="AA904" i="2"/>
  <c r="AE904" i="2" s="1"/>
  <c r="Z904" i="2"/>
  <c r="Y904" i="2"/>
  <c r="S904" i="2"/>
  <c r="O904" i="2"/>
  <c r="AD904" i="2" s="1"/>
  <c r="N904" i="2"/>
  <c r="AB904" i="2" s="1"/>
  <c r="AH903" i="2"/>
  <c r="AD903" i="2"/>
  <c r="AC903" i="2"/>
  <c r="AG903" i="2" s="1"/>
  <c r="AB903" i="2"/>
  <c r="AF903" i="2" s="1"/>
  <c r="AA903" i="2"/>
  <c r="AE903" i="2" s="1"/>
  <c r="Z903" i="2"/>
  <c r="Y903" i="2"/>
  <c r="S903" i="2"/>
  <c r="O903" i="2"/>
  <c r="N903" i="2"/>
  <c r="AE902" i="2"/>
  <c r="AD902" i="2"/>
  <c r="AH902" i="2" s="1"/>
  <c r="AC902" i="2"/>
  <c r="AG902" i="2" s="1"/>
  <c r="AA902" i="2"/>
  <c r="Z902" i="2"/>
  <c r="Y902" i="2"/>
  <c r="S902" i="2"/>
  <c r="O902" i="2"/>
  <c r="N902" i="2"/>
  <c r="AB902" i="2" s="1"/>
  <c r="AF902" i="2" s="1"/>
  <c r="AG901" i="2"/>
  <c r="AF901" i="2"/>
  <c r="AE901" i="2"/>
  <c r="AD901" i="2"/>
  <c r="AH901" i="2" s="1"/>
  <c r="AC901" i="2"/>
  <c r="AB901" i="2"/>
  <c r="AA901" i="2"/>
  <c r="Z901" i="2"/>
  <c r="Y901" i="2"/>
  <c r="S901" i="2"/>
  <c r="O901" i="2"/>
  <c r="N901" i="2"/>
  <c r="AG900" i="2"/>
  <c r="AF900" i="2"/>
  <c r="AD900" i="2"/>
  <c r="AH900" i="2" s="1"/>
  <c r="AC900" i="2"/>
  <c r="AB900" i="2"/>
  <c r="AA900" i="2"/>
  <c r="AE900" i="2" s="1"/>
  <c r="Z900" i="2"/>
  <c r="Y900" i="2"/>
  <c r="S900" i="2"/>
  <c r="O900" i="2"/>
  <c r="N900" i="2"/>
  <c r="AG899" i="2"/>
  <c r="AC899" i="2"/>
  <c r="AB899" i="2"/>
  <c r="AF899" i="2" s="1"/>
  <c r="AA899" i="2"/>
  <c r="AE899" i="2" s="1"/>
  <c r="Z899" i="2"/>
  <c r="Y899" i="2"/>
  <c r="S899" i="2"/>
  <c r="O899" i="2"/>
  <c r="AD899" i="2" s="1"/>
  <c r="AH899" i="2" s="1"/>
  <c r="N899" i="2"/>
  <c r="AG898" i="2"/>
  <c r="AC898" i="2"/>
  <c r="AA898" i="2"/>
  <c r="AE898" i="2" s="1"/>
  <c r="Z898" i="2"/>
  <c r="Y898" i="2"/>
  <c r="S898" i="2"/>
  <c r="O898" i="2"/>
  <c r="AD898" i="2" s="1"/>
  <c r="AH898" i="2" s="1"/>
  <c r="N898" i="2"/>
  <c r="AB898" i="2" s="1"/>
  <c r="AF898" i="2" s="1"/>
  <c r="AH897" i="2"/>
  <c r="AG897" i="2"/>
  <c r="AF897" i="2"/>
  <c r="AD897" i="2"/>
  <c r="AC897" i="2"/>
  <c r="AB897" i="2"/>
  <c r="AA897" i="2"/>
  <c r="AE897" i="2" s="1"/>
  <c r="Z897" i="2"/>
  <c r="Y897" i="2"/>
  <c r="S897" i="2"/>
  <c r="O897" i="2"/>
  <c r="N897" i="2"/>
  <c r="AC896" i="2"/>
  <c r="AG896" i="2" s="1"/>
  <c r="AB896" i="2"/>
  <c r="AF896" i="2" s="1"/>
  <c r="AA896" i="2"/>
  <c r="AE896" i="2" s="1"/>
  <c r="Z896" i="2"/>
  <c r="Y896" i="2"/>
  <c r="S896" i="2"/>
  <c r="O896" i="2"/>
  <c r="AD896" i="2" s="1"/>
  <c r="AH896" i="2" s="1"/>
  <c r="N896" i="2"/>
  <c r="AG895" i="2"/>
  <c r="AE895" i="2"/>
  <c r="AC895" i="2"/>
  <c r="AA895" i="2"/>
  <c r="Z895" i="2"/>
  <c r="Y895" i="2"/>
  <c r="S895" i="2"/>
  <c r="O895" i="2"/>
  <c r="AD895" i="2" s="1"/>
  <c r="AH895" i="2" s="1"/>
  <c r="N895" i="2"/>
  <c r="AB895" i="2" s="1"/>
  <c r="AF895" i="2" s="1"/>
  <c r="AH894" i="2"/>
  <c r="AG894" i="2"/>
  <c r="AF894" i="2"/>
  <c r="AD894" i="2"/>
  <c r="AC894" i="2"/>
  <c r="AB894" i="2"/>
  <c r="AA894" i="2"/>
  <c r="AE894" i="2" s="1"/>
  <c r="Z894" i="2"/>
  <c r="Y894" i="2"/>
  <c r="S894" i="2"/>
  <c r="O894" i="2"/>
  <c r="N894" i="2"/>
  <c r="AD893" i="2"/>
  <c r="AH893" i="2" s="1"/>
  <c r="AC893" i="2"/>
  <c r="AG893" i="2" s="1"/>
  <c r="AB893" i="2"/>
  <c r="AF893" i="2" s="1"/>
  <c r="AA893" i="2"/>
  <c r="AE893" i="2" s="1"/>
  <c r="Z893" i="2"/>
  <c r="Y893" i="2"/>
  <c r="S893" i="2"/>
  <c r="O893" i="2"/>
  <c r="N893" i="2"/>
  <c r="AH892" i="2"/>
  <c r="AG892" i="2"/>
  <c r="AC892" i="2"/>
  <c r="AA892" i="2"/>
  <c r="AE892" i="2" s="1"/>
  <c r="Z892" i="2"/>
  <c r="Y892" i="2"/>
  <c r="S892" i="2"/>
  <c r="O892" i="2"/>
  <c r="AD892" i="2" s="1"/>
  <c r="N892" i="2"/>
  <c r="AB892" i="2" s="1"/>
  <c r="AF892" i="2" s="1"/>
  <c r="AH891" i="2"/>
  <c r="AE891" i="2"/>
  <c r="AD891" i="2"/>
  <c r="AC891" i="2"/>
  <c r="AG891" i="2" s="1"/>
  <c r="AB891" i="2"/>
  <c r="AF891" i="2" s="1"/>
  <c r="AA891" i="2"/>
  <c r="Z891" i="2"/>
  <c r="Y891" i="2"/>
  <c r="S891" i="2"/>
  <c r="O891" i="2"/>
  <c r="N891" i="2"/>
  <c r="AF890" i="2"/>
  <c r="AE890" i="2"/>
  <c r="AD890" i="2"/>
  <c r="AH890" i="2" s="1"/>
  <c r="AC890" i="2"/>
  <c r="AG890" i="2" s="1"/>
  <c r="AB890" i="2"/>
  <c r="AA890" i="2"/>
  <c r="Z890" i="2"/>
  <c r="Y890" i="2"/>
  <c r="S890" i="2"/>
  <c r="O890" i="2"/>
  <c r="N890" i="2"/>
  <c r="AG889" i="2"/>
  <c r="AF889" i="2"/>
  <c r="AC889" i="2"/>
  <c r="AB889" i="2"/>
  <c r="AA889" i="2"/>
  <c r="AE889" i="2" s="1"/>
  <c r="Z889" i="2"/>
  <c r="Y889" i="2"/>
  <c r="S889" i="2"/>
  <c r="O889" i="2"/>
  <c r="AD889" i="2" s="1"/>
  <c r="AH889" i="2" s="1"/>
  <c r="N889" i="2"/>
  <c r="AH888" i="2"/>
  <c r="AG888" i="2"/>
  <c r="AC888" i="2"/>
  <c r="AB888" i="2"/>
  <c r="AF888" i="2" s="1"/>
  <c r="AA888" i="2"/>
  <c r="AE888" i="2" s="1"/>
  <c r="Z888" i="2"/>
  <c r="Y888" i="2"/>
  <c r="S888" i="2"/>
  <c r="O888" i="2"/>
  <c r="AD888" i="2" s="1"/>
  <c r="N888" i="2"/>
  <c r="AH887" i="2"/>
  <c r="AG887" i="2"/>
  <c r="AF887" i="2"/>
  <c r="AC887" i="2"/>
  <c r="AB887" i="2"/>
  <c r="AA887" i="2"/>
  <c r="AE887" i="2" s="1"/>
  <c r="Z887" i="2"/>
  <c r="Y887" i="2"/>
  <c r="S887" i="2"/>
  <c r="O887" i="2"/>
  <c r="AD887" i="2" s="1"/>
  <c r="N887" i="2"/>
  <c r="AH886" i="2"/>
  <c r="AG886" i="2"/>
  <c r="AC886" i="2"/>
  <c r="AA886" i="2"/>
  <c r="AE886" i="2" s="1"/>
  <c r="Z886" i="2"/>
  <c r="Y886" i="2"/>
  <c r="S886" i="2"/>
  <c r="O886" i="2"/>
  <c r="AD886" i="2" s="1"/>
  <c r="N886" i="2"/>
  <c r="AB886" i="2" s="1"/>
  <c r="AF886" i="2" s="1"/>
  <c r="AD885" i="2"/>
  <c r="AH885" i="2" s="1"/>
  <c r="AC885" i="2"/>
  <c r="AG885" i="2" s="1"/>
  <c r="AB885" i="2"/>
  <c r="AF885" i="2" s="1"/>
  <c r="AA885" i="2"/>
  <c r="AE885" i="2" s="1"/>
  <c r="Z885" i="2"/>
  <c r="Y885" i="2"/>
  <c r="S885" i="2"/>
  <c r="O885" i="2"/>
  <c r="N885" i="2"/>
  <c r="AF884" i="2"/>
  <c r="AE884" i="2"/>
  <c r="AD884" i="2"/>
  <c r="AH884" i="2" s="1"/>
  <c r="AC884" i="2"/>
  <c r="AG884" i="2" s="1"/>
  <c r="AA884" i="2"/>
  <c r="Z884" i="2"/>
  <c r="Y884" i="2"/>
  <c r="S884" i="2"/>
  <c r="O884" i="2"/>
  <c r="N884" i="2"/>
  <c r="AB884" i="2" s="1"/>
  <c r="AH883" i="2"/>
  <c r="AG883" i="2"/>
  <c r="AF883" i="2"/>
  <c r="AD883" i="2"/>
  <c r="AC883" i="2"/>
  <c r="AB883" i="2"/>
  <c r="AA883" i="2"/>
  <c r="AE883" i="2" s="1"/>
  <c r="Z883" i="2"/>
  <c r="Y883" i="2"/>
  <c r="S883" i="2"/>
  <c r="O883" i="2"/>
  <c r="N883" i="2"/>
  <c r="AH882" i="2"/>
  <c r="AG882" i="2"/>
  <c r="AE882" i="2"/>
  <c r="AD882" i="2"/>
  <c r="AC882" i="2"/>
  <c r="AB882" i="2"/>
  <c r="AF882" i="2" s="1"/>
  <c r="AA882" i="2"/>
  <c r="Z882" i="2"/>
  <c r="Y882" i="2"/>
  <c r="S882" i="2"/>
  <c r="O882" i="2"/>
  <c r="N882" i="2"/>
  <c r="AH881" i="2"/>
  <c r="AG881" i="2"/>
  <c r="AF881" i="2"/>
  <c r="AC881" i="2"/>
  <c r="AB881" i="2"/>
  <c r="AA881" i="2"/>
  <c r="AE881" i="2" s="1"/>
  <c r="Z881" i="2"/>
  <c r="Y881" i="2"/>
  <c r="S881" i="2"/>
  <c r="O881" i="2"/>
  <c r="AD881" i="2" s="1"/>
  <c r="N881" i="2"/>
  <c r="AH880" i="2"/>
  <c r="AG880" i="2"/>
  <c r="AC880" i="2"/>
  <c r="AA880" i="2"/>
  <c r="AE880" i="2" s="1"/>
  <c r="Z880" i="2"/>
  <c r="Y880" i="2"/>
  <c r="S880" i="2"/>
  <c r="O880" i="2"/>
  <c r="AD880" i="2" s="1"/>
  <c r="N880" i="2"/>
  <c r="AB880" i="2" s="1"/>
  <c r="AF880" i="2" s="1"/>
  <c r="AH879" i="2"/>
  <c r="AF879" i="2"/>
  <c r="AE879" i="2"/>
  <c r="AC879" i="2"/>
  <c r="AG879" i="2" s="1"/>
  <c r="AB879" i="2"/>
  <c r="AA879" i="2"/>
  <c r="Z879" i="2"/>
  <c r="Y879" i="2"/>
  <c r="S879" i="2"/>
  <c r="O879" i="2"/>
  <c r="AD879" i="2" s="1"/>
  <c r="N879" i="2"/>
  <c r="AD878" i="2"/>
  <c r="AH878" i="2" s="1"/>
  <c r="AC878" i="2"/>
  <c r="AG878" i="2" s="1"/>
  <c r="AA878" i="2"/>
  <c r="AE878" i="2" s="1"/>
  <c r="Z878" i="2"/>
  <c r="Y878" i="2"/>
  <c r="S878" i="2"/>
  <c r="O878" i="2"/>
  <c r="N878" i="2"/>
  <c r="AB878" i="2" s="1"/>
  <c r="AF878" i="2" s="1"/>
  <c r="AG877" i="2"/>
  <c r="AF877" i="2"/>
  <c r="AC877" i="2"/>
  <c r="AA877" i="2"/>
  <c r="AE877" i="2" s="1"/>
  <c r="Z877" i="2"/>
  <c r="Y877" i="2"/>
  <c r="S877" i="2"/>
  <c r="O877" i="2"/>
  <c r="AD877" i="2" s="1"/>
  <c r="AH877" i="2" s="1"/>
  <c r="N877" i="2"/>
  <c r="AB877" i="2" s="1"/>
  <c r="AG876" i="2"/>
  <c r="AE876" i="2"/>
  <c r="AD876" i="2"/>
  <c r="AH876" i="2" s="1"/>
  <c r="AC876" i="2"/>
  <c r="AB876" i="2"/>
  <c r="AF876" i="2" s="1"/>
  <c r="AA876" i="2"/>
  <c r="Z876" i="2"/>
  <c r="Y876" i="2"/>
  <c r="S876" i="2"/>
  <c r="O876" i="2"/>
  <c r="N876" i="2"/>
  <c r="AG875" i="2"/>
  <c r="AC875" i="2"/>
  <c r="AA875" i="2"/>
  <c r="AE875" i="2" s="1"/>
  <c r="Z875" i="2"/>
  <c r="Y875" i="2"/>
  <c r="S875" i="2"/>
  <c r="O875" i="2"/>
  <c r="AD875" i="2" s="1"/>
  <c r="AH875" i="2" s="1"/>
  <c r="N875" i="2"/>
  <c r="AB875" i="2" s="1"/>
  <c r="AF875" i="2" s="1"/>
  <c r="AG874" i="2"/>
  <c r="AC874" i="2"/>
  <c r="AB874" i="2"/>
  <c r="AF874" i="2" s="1"/>
  <c r="AA874" i="2"/>
  <c r="AE874" i="2" s="1"/>
  <c r="Z874" i="2"/>
  <c r="Y874" i="2"/>
  <c r="S874" i="2"/>
  <c r="O874" i="2"/>
  <c r="AD874" i="2" s="1"/>
  <c r="AH874" i="2" s="1"/>
  <c r="N874" i="2"/>
  <c r="AG873" i="2"/>
  <c r="AE873" i="2"/>
  <c r="AD873" i="2"/>
  <c r="AH873" i="2" s="1"/>
  <c r="AC873" i="2"/>
  <c r="AA873" i="2"/>
  <c r="Z873" i="2"/>
  <c r="Y873" i="2"/>
  <c r="S873" i="2"/>
  <c r="O873" i="2"/>
  <c r="N873" i="2"/>
  <c r="AB873" i="2" s="1"/>
  <c r="AF873" i="2" s="1"/>
  <c r="AE872" i="2"/>
  <c r="AC872" i="2"/>
  <c r="AG872" i="2" s="1"/>
  <c r="AB872" i="2"/>
  <c r="AF872" i="2" s="1"/>
  <c r="AA872" i="2"/>
  <c r="Z872" i="2"/>
  <c r="Y872" i="2"/>
  <c r="S872" i="2"/>
  <c r="O872" i="2"/>
  <c r="AD872" i="2" s="1"/>
  <c r="AH872" i="2" s="1"/>
  <c r="N872" i="2"/>
  <c r="AD871" i="2"/>
  <c r="AH871" i="2" s="1"/>
  <c r="AC871" i="2"/>
  <c r="AG871" i="2" s="1"/>
  <c r="AB871" i="2"/>
  <c r="AF871" i="2" s="1"/>
  <c r="AA871" i="2"/>
  <c r="AE871" i="2" s="1"/>
  <c r="Z871" i="2"/>
  <c r="Y871" i="2"/>
  <c r="S871" i="2"/>
  <c r="O871" i="2"/>
  <c r="N871" i="2"/>
  <c r="AH870" i="2"/>
  <c r="AD870" i="2"/>
  <c r="AB870" i="2"/>
  <c r="AF870" i="2" s="1"/>
  <c r="AA870" i="2"/>
  <c r="AE870" i="2" s="1"/>
  <c r="Z870" i="2"/>
  <c r="Y870" i="2"/>
  <c r="S870" i="2"/>
  <c r="O870" i="2"/>
  <c r="AC870" i="2" s="1"/>
  <c r="AG870" i="2" s="1"/>
  <c r="N870" i="2"/>
  <c r="AH869" i="2"/>
  <c r="AG869" i="2"/>
  <c r="AF869" i="2"/>
  <c r="AE869" i="2"/>
  <c r="AC869" i="2"/>
  <c r="AA869" i="2"/>
  <c r="Z869" i="2"/>
  <c r="Y869" i="2"/>
  <c r="S869" i="2"/>
  <c r="O869" i="2"/>
  <c r="AD869" i="2" s="1"/>
  <c r="N869" i="2"/>
  <c r="AB869" i="2" s="1"/>
  <c r="AC868" i="2"/>
  <c r="AG868" i="2" s="1"/>
  <c r="AA868" i="2"/>
  <c r="AE868" i="2" s="1"/>
  <c r="Z868" i="2"/>
  <c r="Y868" i="2"/>
  <c r="S868" i="2"/>
  <c r="O868" i="2"/>
  <c r="AD868" i="2" s="1"/>
  <c r="AH868" i="2" s="1"/>
  <c r="N868" i="2"/>
  <c r="AB868" i="2" s="1"/>
  <c r="AF868" i="2" s="1"/>
  <c r="AE867" i="2"/>
  <c r="AC867" i="2"/>
  <c r="AG867" i="2" s="1"/>
  <c r="AB867" i="2"/>
  <c r="AF867" i="2" s="1"/>
  <c r="AA867" i="2"/>
  <c r="Z867" i="2"/>
  <c r="Y867" i="2"/>
  <c r="S867" i="2"/>
  <c r="O867" i="2"/>
  <c r="AD867" i="2" s="1"/>
  <c r="AH867" i="2" s="1"/>
  <c r="N867" i="2"/>
  <c r="AH866" i="2"/>
  <c r="AD866" i="2"/>
  <c r="AC866" i="2"/>
  <c r="AG866" i="2" s="1"/>
  <c r="Z866" i="2"/>
  <c r="Y866" i="2"/>
  <c r="S866" i="2"/>
  <c r="O866" i="2"/>
  <c r="N866" i="2"/>
  <c r="AH865" i="2"/>
  <c r="AG865" i="2"/>
  <c r="AF865" i="2"/>
  <c r="AD865" i="2"/>
  <c r="AC865" i="2"/>
  <c r="AB865" i="2"/>
  <c r="AA865" i="2"/>
  <c r="AE865" i="2" s="1"/>
  <c r="Z865" i="2"/>
  <c r="Y865" i="2"/>
  <c r="S865" i="2"/>
  <c r="O865" i="2"/>
  <c r="N865" i="2"/>
  <c r="AH864" i="2"/>
  <c r="AG864" i="2"/>
  <c r="AF864" i="2"/>
  <c r="AD864" i="2"/>
  <c r="AC864" i="2"/>
  <c r="AB864" i="2"/>
  <c r="AA864" i="2"/>
  <c r="AE864" i="2" s="1"/>
  <c r="Z864" i="2"/>
  <c r="Y864" i="2"/>
  <c r="S864" i="2"/>
  <c r="O864" i="2"/>
  <c r="N864" i="2"/>
  <c r="AH863" i="2"/>
  <c r="AF863" i="2"/>
  <c r="AC863" i="2"/>
  <c r="AG863" i="2" s="1"/>
  <c r="AB863" i="2"/>
  <c r="AA863" i="2"/>
  <c r="AE863" i="2" s="1"/>
  <c r="Z863" i="2"/>
  <c r="Y863" i="2"/>
  <c r="S863" i="2"/>
  <c r="O863" i="2"/>
  <c r="AD863" i="2" s="1"/>
  <c r="N863" i="2"/>
  <c r="AG862" i="2"/>
  <c r="AC862" i="2"/>
  <c r="AA862" i="2"/>
  <c r="AE862" i="2" s="1"/>
  <c r="Z862" i="2"/>
  <c r="Y862" i="2"/>
  <c r="S862" i="2"/>
  <c r="O862" i="2"/>
  <c r="AD862" i="2" s="1"/>
  <c r="AH862" i="2" s="1"/>
  <c r="N862" i="2"/>
  <c r="AB862" i="2" s="1"/>
  <c r="AF862" i="2" s="1"/>
  <c r="AH861" i="2"/>
  <c r="AG861" i="2"/>
  <c r="AE861" i="2"/>
  <c r="AC861" i="2"/>
  <c r="AB861" i="2"/>
  <c r="AF861" i="2" s="1"/>
  <c r="AA861" i="2"/>
  <c r="Z861" i="2"/>
  <c r="Y861" i="2"/>
  <c r="S861" i="2"/>
  <c r="O861" i="2"/>
  <c r="AD861" i="2" s="1"/>
  <c r="N861" i="2"/>
  <c r="AE860" i="2"/>
  <c r="AD860" i="2"/>
  <c r="AH860" i="2" s="1"/>
  <c r="AC860" i="2"/>
  <c r="AG860" i="2" s="1"/>
  <c r="AB860" i="2"/>
  <c r="AF860" i="2" s="1"/>
  <c r="AA860" i="2"/>
  <c r="Z860" i="2"/>
  <c r="Y860" i="2"/>
  <c r="S860" i="2"/>
  <c r="O860" i="2"/>
  <c r="N860" i="2"/>
  <c r="AG859" i="2"/>
  <c r="AC859" i="2"/>
  <c r="AA859" i="2"/>
  <c r="AE859" i="2" s="1"/>
  <c r="Z859" i="2"/>
  <c r="Y859" i="2"/>
  <c r="S859" i="2"/>
  <c r="O859" i="2"/>
  <c r="AD859" i="2" s="1"/>
  <c r="AH859" i="2" s="1"/>
  <c r="N859" i="2"/>
  <c r="AB859" i="2" s="1"/>
  <c r="AF859" i="2" s="1"/>
  <c r="AG858" i="2"/>
  <c r="AF858" i="2"/>
  <c r="AE858" i="2"/>
  <c r="AD858" i="2"/>
  <c r="AH858" i="2" s="1"/>
  <c r="AC858" i="2"/>
  <c r="AB858" i="2"/>
  <c r="AA858" i="2"/>
  <c r="Z858" i="2"/>
  <c r="Y858" i="2"/>
  <c r="S858" i="2"/>
  <c r="O858" i="2"/>
  <c r="N858" i="2"/>
  <c r="AF857" i="2"/>
  <c r="AD857" i="2"/>
  <c r="AH857" i="2" s="1"/>
  <c r="AC857" i="2"/>
  <c r="AG857" i="2" s="1"/>
  <c r="AB857" i="2"/>
  <c r="AA857" i="2"/>
  <c r="AE857" i="2" s="1"/>
  <c r="Z857" i="2"/>
  <c r="Y857" i="2"/>
  <c r="S857" i="2"/>
  <c r="O857" i="2"/>
  <c r="N857" i="2"/>
  <c r="AH856" i="2"/>
  <c r="AG856" i="2"/>
  <c r="AC856" i="2"/>
  <c r="AB856" i="2"/>
  <c r="AF856" i="2" s="1"/>
  <c r="AA856" i="2"/>
  <c r="AE856" i="2" s="1"/>
  <c r="Z856" i="2"/>
  <c r="Y856" i="2"/>
  <c r="S856" i="2"/>
  <c r="O856" i="2"/>
  <c r="AD856" i="2" s="1"/>
  <c r="N856" i="2"/>
  <c r="AH855" i="2"/>
  <c r="AG855" i="2"/>
  <c r="AE855" i="2"/>
  <c r="AD855" i="2"/>
  <c r="AC855" i="2"/>
  <c r="AB855" i="2"/>
  <c r="AF855" i="2" s="1"/>
  <c r="AA855" i="2"/>
  <c r="Z855" i="2"/>
  <c r="Y855" i="2"/>
  <c r="S855" i="2"/>
  <c r="O855" i="2"/>
  <c r="N855" i="2"/>
  <c r="AG854" i="2"/>
  <c r="AF854" i="2"/>
  <c r="AE854" i="2"/>
  <c r="AC854" i="2"/>
  <c r="AB854" i="2"/>
  <c r="AA854" i="2"/>
  <c r="Z854" i="2"/>
  <c r="Y854" i="2"/>
  <c r="S854" i="2"/>
  <c r="O854" i="2"/>
  <c r="AD854" i="2" s="1"/>
  <c r="AH854" i="2" s="1"/>
  <c r="N854" i="2"/>
  <c r="AC853" i="2"/>
  <c r="AG853" i="2" s="1"/>
  <c r="AB853" i="2"/>
  <c r="AF853" i="2" s="1"/>
  <c r="AA853" i="2"/>
  <c r="AE853" i="2" s="1"/>
  <c r="Z853" i="2"/>
  <c r="Y853" i="2"/>
  <c r="S853" i="2"/>
  <c r="O853" i="2"/>
  <c r="AD853" i="2" s="1"/>
  <c r="AH853" i="2" s="1"/>
  <c r="N853" i="2"/>
  <c r="AG852" i="2"/>
  <c r="AC852" i="2"/>
  <c r="AB852" i="2"/>
  <c r="AF852" i="2" s="1"/>
  <c r="AA852" i="2"/>
  <c r="AE852" i="2" s="1"/>
  <c r="Z852" i="2"/>
  <c r="Y852" i="2"/>
  <c r="S852" i="2"/>
  <c r="O852" i="2"/>
  <c r="AD852" i="2" s="1"/>
  <c r="AH852" i="2" s="1"/>
  <c r="N852" i="2"/>
  <c r="AG851" i="2"/>
  <c r="AF851" i="2"/>
  <c r="AC851" i="2"/>
  <c r="AB851" i="2"/>
  <c r="AA851" i="2"/>
  <c r="AE851" i="2" s="1"/>
  <c r="Z851" i="2"/>
  <c r="Y851" i="2"/>
  <c r="S851" i="2"/>
  <c r="O851" i="2"/>
  <c r="AD851" i="2" s="1"/>
  <c r="AH851" i="2" s="1"/>
  <c r="N851" i="2"/>
  <c r="AC850" i="2"/>
  <c r="AG850" i="2" s="1"/>
  <c r="AB850" i="2"/>
  <c r="AF850" i="2" s="1"/>
  <c r="AA850" i="2"/>
  <c r="AE850" i="2" s="1"/>
  <c r="Z850" i="2"/>
  <c r="Y850" i="2"/>
  <c r="S850" i="2"/>
  <c r="O850" i="2"/>
  <c r="AD850" i="2" s="1"/>
  <c r="AH850" i="2" s="1"/>
  <c r="N850" i="2"/>
  <c r="AH849" i="2"/>
  <c r="AE849" i="2"/>
  <c r="AD849" i="2"/>
  <c r="AB849" i="2"/>
  <c r="AF849" i="2" s="1"/>
  <c r="AA849" i="2"/>
  <c r="Z849" i="2"/>
  <c r="Y849" i="2"/>
  <c r="S849" i="2"/>
  <c r="O849" i="2"/>
  <c r="AC849" i="2" s="1"/>
  <c r="AG849" i="2" s="1"/>
  <c r="N849" i="2"/>
  <c r="AF848" i="2"/>
  <c r="AE848" i="2"/>
  <c r="AD848" i="2"/>
  <c r="AH848" i="2" s="1"/>
  <c r="AC848" i="2"/>
  <c r="AG848" i="2" s="1"/>
  <c r="AB848" i="2"/>
  <c r="Z848" i="2"/>
  <c r="Y848" i="2"/>
  <c r="S848" i="2"/>
  <c r="O848" i="2"/>
  <c r="N848" i="2"/>
  <c r="AA848" i="2" s="1"/>
  <c r="AH847" i="2"/>
  <c r="AF847" i="2"/>
  <c r="AD847" i="2"/>
  <c r="AC847" i="2"/>
  <c r="AG847" i="2" s="1"/>
  <c r="AB847" i="2"/>
  <c r="AA847" i="2"/>
  <c r="AE847" i="2" s="1"/>
  <c r="Z847" i="2"/>
  <c r="Y847" i="2"/>
  <c r="S847" i="2"/>
  <c r="O847" i="2"/>
  <c r="N847" i="2"/>
  <c r="AH846" i="2"/>
  <c r="AD846" i="2"/>
  <c r="AC846" i="2"/>
  <c r="AG846" i="2" s="1"/>
  <c r="AA846" i="2"/>
  <c r="AE846" i="2" s="1"/>
  <c r="Z846" i="2"/>
  <c r="Y846" i="2"/>
  <c r="S846" i="2"/>
  <c r="O846" i="2"/>
  <c r="N846" i="2"/>
  <c r="AB846" i="2" s="1"/>
  <c r="AF846" i="2" s="1"/>
  <c r="AH845" i="2"/>
  <c r="AC845" i="2"/>
  <c r="AG845" i="2" s="1"/>
  <c r="AB845" i="2"/>
  <c r="AF845" i="2" s="1"/>
  <c r="AA845" i="2"/>
  <c r="AE845" i="2" s="1"/>
  <c r="Z845" i="2"/>
  <c r="Y845" i="2"/>
  <c r="S845" i="2"/>
  <c r="O845" i="2"/>
  <c r="AD845" i="2" s="1"/>
  <c r="N845" i="2"/>
  <c r="AC844" i="2"/>
  <c r="AG844" i="2" s="1"/>
  <c r="AA844" i="2"/>
  <c r="AE844" i="2" s="1"/>
  <c r="Z844" i="2"/>
  <c r="Y844" i="2"/>
  <c r="S844" i="2"/>
  <c r="O844" i="2"/>
  <c r="AD844" i="2" s="1"/>
  <c r="AH844" i="2" s="1"/>
  <c r="N844" i="2"/>
  <c r="AB844" i="2" s="1"/>
  <c r="AF844" i="2" s="1"/>
  <c r="AD843" i="2"/>
  <c r="AH843" i="2" s="1"/>
  <c r="AC843" i="2"/>
  <c r="AG843" i="2" s="1"/>
  <c r="AB843" i="2"/>
  <c r="AF843" i="2" s="1"/>
  <c r="AA843" i="2"/>
  <c r="AE843" i="2" s="1"/>
  <c r="Z843" i="2"/>
  <c r="Y843" i="2"/>
  <c r="S843" i="2"/>
  <c r="O843" i="2"/>
  <c r="N843" i="2"/>
  <c r="AC842" i="2"/>
  <c r="AG842" i="2" s="1"/>
  <c r="AA842" i="2"/>
  <c r="AE842" i="2" s="1"/>
  <c r="Z842" i="2"/>
  <c r="Y842" i="2"/>
  <c r="S842" i="2"/>
  <c r="O842" i="2"/>
  <c r="AD842" i="2" s="1"/>
  <c r="AH842" i="2" s="1"/>
  <c r="N842" i="2"/>
  <c r="AB842" i="2" s="1"/>
  <c r="AF842" i="2" s="1"/>
  <c r="AG841" i="2"/>
  <c r="AC841" i="2"/>
  <c r="AA841" i="2"/>
  <c r="AE841" i="2" s="1"/>
  <c r="Z841" i="2"/>
  <c r="Y841" i="2"/>
  <c r="S841" i="2"/>
  <c r="O841" i="2"/>
  <c r="AD841" i="2" s="1"/>
  <c r="AH841" i="2" s="1"/>
  <c r="N841" i="2"/>
  <c r="AB841" i="2" s="1"/>
  <c r="AF841" i="2" s="1"/>
  <c r="AH840" i="2"/>
  <c r="AG840" i="2"/>
  <c r="AF840" i="2"/>
  <c r="AE840" i="2"/>
  <c r="AD840" i="2"/>
  <c r="AC840" i="2"/>
  <c r="AB840" i="2"/>
  <c r="AA840" i="2"/>
  <c r="Z840" i="2"/>
  <c r="Y840" i="2"/>
  <c r="S840" i="2"/>
  <c r="O840" i="2"/>
  <c r="N840" i="2"/>
  <c r="AA839" i="2"/>
  <c r="AE839" i="2" s="1"/>
  <c r="Z839" i="2"/>
  <c r="Y839" i="2"/>
  <c r="S839" i="2"/>
  <c r="O839" i="2"/>
  <c r="AD839" i="2" s="1"/>
  <c r="AH839" i="2" s="1"/>
  <c r="N839" i="2"/>
  <c r="AB839" i="2" s="1"/>
  <c r="AF839" i="2" s="1"/>
  <c r="AC838" i="2"/>
  <c r="AG838" i="2" s="1"/>
  <c r="AA838" i="2"/>
  <c r="AE838" i="2" s="1"/>
  <c r="Z838" i="2"/>
  <c r="Y838" i="2"/>
  <c r="S838" i="2"/>
  <c r="O838" i="2"/>
  <c r="AD838" i="2" s="1"/>
  <c r="AH838" i="2" s="1"/>
  <c r="N838" i="2"/>
  <c r="AB838" i="2" s="1"/>
  <c r="AF838" i="2" s="1"/>
  <c r="AE837" i="2"/>
  <c r="AC837" i="2"/>
  <c r="AG837" i="2" s="1"/>
  <c r="AB837" i="2"/>
  <c r="AF837" i="2" s="1"/>
  <c r="AA837" i="2"/>
  <c r="Z837" i="2"/>
  <c r="Y837" i="2"/>
  <c r="S837" i="2"/>
  <c r="O837" i="2"/>
  <c r="AD837" i="2" s="1"/>
  <c r="AH837" i="2" s="1"/>
  <c r="N837" i="2"/>
  <c r="AH836" i="2"/>
  <c r="AG836" i="2"/>
  <c r="AE836" i="2"/>
  <c r="AD836" i="2"/>
  <c r="AC836" i="2"/>
  <c r="AA836" i="2"/>
  <c r="Z836" i="2"/>
  <c r="Y836" i="2"/>
  <c r="S836" i="2"/>
  <c r="O836" i="2"/>
  <c r="N836" i="2"/>
  <c r="AB836" i="2" s="1"/>
  <c r="AF836" i="2" s="1"/>
  <c r="AD835" i="2"/>
  <c r="AH835" i="2" s="1"/>
  <c r="AB835" i="2"/>
  <c r="AF835" i="2" s="1"/>
  <c r="AA835" i="2"/>
  <c r="AE835" i="2" s="1"/>
  <c r="Z835" i="2"/>
  <c r="Y835" i="2"/>
  <c r="S835" i="2"/>
  <c r="O835" i="2"/>
  <c r="AC835" i="2" s="1"/>
  <c r="AG835" i="2" s="1"/>
  <c r="N835" i="2"/>
  <c r="AG834" i="2"/>
  <c r="AD834" i="2"/>
  <c r="AH834" i="2" s="1"/>
  <c r="Z834" i="2"/>
  <c r="Y834" i="2"/>
  <c r="S834" i="2"/>
  <c r="O834" i="2"/>
  <c r="AC834" i="2" s="1"/>
  <c r="N834" i="2"/>
  <c r="AH833" i="2"/>
  <c r="AG833" i="2"/>
  <c r="AE833" i="2"/>
  <c r="AC833" i="2"/>
  <c r="AA833" i="2"/>
  <c r="Z833" i="2"/>
  <c r="Y833" i="2"/>
  <c r="S833" i="2"/>
  <c r="O833" i="2"/>
  <c r="AD833" i="2" s="1"/>
  <c r="N833" i="2"/>
  <c r="AB833" i="2" s="1"/>
  <c r="AF833" i="2" s="1"/>
  <c r="AC832" i="2"/>
  <c r="AG832" i="2" s="1"/>
  <c r="AA832" i="2"/>
  <c r="AE832" i="2" s="1"/>
  <c r="Z832" i="2"/>
  <c r="Y832" i="2"/>
  <c r="S832" i="2"/>
  <c r="O832" i="2"/>
  <c r="AD832" i="2" s="1"/>
  <c r="AH832" i="2" s="1"/>
  <c r="N832" i="2"/>
  <c r="AB832" i="2" s="1"/>
  <c r="AF832" i="2" s="1"/>
  <c r="AH831" i="2"/>
  <c r="AE831" i="2"/>
  <c r="AD831" i="2"/>
  <c r="AC831" i="2"/>
  <c r="AG831" i="2" s="1"/>
  <c r="AA831" i="2"/>
  <c r="Z831" i="2"/>
  <c r="Y831" i="2"/>
  <c r="S831" i="2"/>
  <c r="O831" i="2"/>
  <c r="N831" i="2"/>
  <c r="AB831" i="2" s="1"/>
  <c r="AF831" i="2" s="1"/>
  <c r="AF830" i="2"/>
  <c r="AE830" i="2"/>
  <c r="AD830" i="2"/>
  <c r="AH830" i="2" s="1"/>
  <c r="AC830" i="2"/>
  <c r="AG830" i="2" s="1"/>
  <c r="AB830" i="2"/>
  <c r="AA830" i="2"/>
  <c r="Z830" i="2"/>
  <c r="Y830" i="2"/>
  <c r="S830" i="2"/>
  <c r="O830" i="2"/>
  <c r="N830" i="2"/>
  <c r="AE829" i="2"/>
  <c r="AC829" i="2"/>
  <c r="AG829" i="2" s="1"/>
  <c r="AB829" i="2"/>
  <c r="AF829" i="2" s="1"/>
  <c r="AA829" i="2"/>
  <c r="Z829" i="2"/>
  <c r="Y829" i="2"/>
  <c r="S829" i="2"/>
  <c r="O829" i="2"/>
  <c r="AD829" i="2" s="1"/>
  <c r="AH829" i="2" s="1"/>
  <c r="N829" i="2"/>
  <c r="AH828" i="2"/>
  <c r="AG828" i="2"/>
  <c r="AC828" i="2"/>
  <c r="AB828" i="2"/>
  <c r="AF828" i="2" s="1"/>
  <c r="AA828" i="2"/>
  <c r="AE828" i="2" s="1"/>
  <c r="Z828" i="2"/>
  <c r="Y828" i="2"/>
  <c r="S828" i="2"/>
  <c r="O828" i="2"/>
  <c r="AD828" i="2" s="1"/>
  <c r="N828" i="2"/>
  <c r="AH827" i="2"/>
  <c r="AD827" i="2"/>
  <c r="AB827" i="2"/>
  <c r="AF827" i="2" s="1"/>
  <c r="AA827" i="2"/>
  <c r="AE827" i="2" s="1"/>
  <c r="Z827" i="2"/>
  <c r="Y827" i="2"/>
  <c r="S827" i="2"/>
  <c r="O827" i="2"/>
  <c r="AC827" i="2" s="1"/>
  <c r="AG827" i="2" s="1"/>
  <c r="N827" i="2"/>
  <c r="AH826" i="2"/>
  <c r="AE826" i="2"/>
  <c r="AC826" i="2"/>
  <c r="AG826" i="2" s="1"/>
  <c r="AA826" i="2"/>
  <c r="Z826" i="2"/>
  <c r="Y826" i="2"/>
  <c r="S826" i="2"/>
  <c r="O826" i="2"/>
  <c r="AD826" i="2" s="1"/>
  <c r="N826" i="2"/>
  <c r="AB826" i="2" s="1"/>
  <c r="AF826" i="2" s="1"/>
  <c r="AC825" i="2"/>
  <c r="AG825" i="2" s="1"/>
  <c r="AB825" i="2"/>
  <c r="AF825" i="2" s="1"/>
  <c r="AA825" i="2"/>
  <c r="AE825" i="2" s="1"/>
  <c r="Z825" i="2"/>
  <c r="Y825" i="2"/>
  <c r="S825" i="2"/>
  <c r="O825" i="2"/>
  <c r="AD825" i="2" s="1"/>
  <c r="AH825" i="2" s="1"/>
  <c r="N825" i="2"/>
  <c r="Z824" i="2"/>
  <c r="Y824" i="2"/>
  <c r="S824" i="2"/>
  <c r="O824" i="2"/>
  <c r="N824" i="2"/>
  <c r="AH823" i="2"/>
  <c r="AF823" i="2"/>
  <c r="AE823" i="2"/>
  <c r="AD823" i="2"/>
  <c r="AC823" i="2"/>
  <c r="AG823" i="2" s="1"/>
  <c r="AA823" i="2"/>
  <c r="Z823" i="2"/>
  <c r="Y823" i="2"/>
  <c r="S823" i="2"/>
  <c r="O823" i="2"/>
  <c r="N823" i="2"/>
  <c r="AB823" i="2" s="1"/>
  <c r="AD822" i="2"/>
  <c r="AH822" i="2" s="1"/>
  <c r="AC822" i="2"/>
  <c r="AG822" i="2" s="1"/>
  <c r="AA822" i="2"/>
  <c r="AE822" i="2" s="1"/>
  <c r="Z822" i="2"/>
  <c r="Y822" i="2"/>
  <c r="S822" i="2"/>
  <c r="O822" i="2"/>
  <c r="N822" i="2"/>
  <c r="AB822" i="2" s="1"/>
  <c r="AF822" i="2" s="1"/>
  <c r="AF821" i="2"/>
  <c r="AA821" i="2"/>
  <c r="AE821" i="2" s="1"/>
  <c r="Z821" i="2"/>
  <c r="Y821" i="2"/>
  <c r="S821" i="2"/>
  <c r="O821" i="2"/>
  <c r="N821" i="2"/>
  <c r="AB821" i="2" s="1"/>
  <c r="AF820" i="2"/>
  <c r="AD820" i="2"/>
  <c r="AH820" i="2" s="1"/>
  <c r="AC820" i="2"/>
  <c r="AG820" i="2" s="1"/>
  <c r="AB820" i="2"/>
  <c r="AA820" i="2"/>
  <c r="AE820" i="2" s="1"/>
  <c r="Z820" i="2"/>
  <c r="Y820" i="2"/>
  <c r="S820" i="2"/>
  <c r="O820" i="2"/>
  <c r="N820" i="2"/>
  <c r="AH819" i="2"/>
  <c r="AE819" i="2"/>
  <c r="AD819" i="2"/>
  <c r="AC819" i="2"/>
  <c r="AG819" i="2" s="1"/>
  <c r="AA819" i="2"/>
  <c r="Z819" i="2"/>
  <c r="Y819" i="2"/>
  <c r="S819" i="2"/>
  <c r="O819" i="2"/>
  <c r="N819" i="2"/>
  <c r="AB819" i="2" s="1"/>
  <c r="AF819" i="2" s="1"/>
  <c r="AH818" i="2"/>
  <c r="AC818" i="2"/>
  <c r="AG818" i="2" s="1"/>
  <c r="AA818" i="2"/>
  <c r="AE818" i="2" s="1"/>
  <c r="Z818" i="2"/>
  <c r="Y818" i="2"/>
  <c r="S818" i="2"/>
  <c r="O818" i="2"/>
  <c r="AD818" i="2" s="1"/>
  <c r="N818" i="2"/>
  <c r="AB818" i="2" s="1"/>
  <c r="AF818" i="2" s="1"/>
  <c r="AC817" i="2"/>
  <c r="AG817" i="2" s="1"/>
  <c r="AB817" i="2"/>
  <c r="AF817" i="2" s="1"/>
  <c r="AA817" i="2"/>
  <c r="AE817" i="2" s="1"/>
  <c r="Z817" i="2"/>
  <c r="Y817" i="2"/>
  <c r="S817" i="2"/>
  <c r="O817" i="2"/>
  <c r="AD817" i="2" s="1"/>
  <c r="AH817" i="2" s="1"/>
  <c r="N817" i="2"/>
  <c r="AF816" i="2"/>
  <c r="AB816" i="2"/>
  <c r="AA816" i="2"/>
  <c r="AE816" i="2" s="1"/>
  <c r="Z816" i="2"/>
  <c r="Y816" i="2"/>
  <c r="S816" i="2"/>
  <c r="O816" i="2"/>
  <c r="N816" i="2"/>
  <c r="AC815" i="2"/>
  <c r="AG815" i="2" s="1"/>
  <c r="AB815" i="2"/>
  <c r="AF815" i="2" s="1"/>
  <c r="AA815" i="2"/>
  <c r="AE815" i="2" s="1"/>
  <c r="Z815" i="2"/>
  <c r="Y815" i="2"/>
  <c r="S815" i="2"/>
  <c r="O815" i="2"/>
  <c r="AD815" i="2" s="1"/>
  <c r="AH815" i="2" s="1"/>
  <c r="N815" i="2"/>
  <c r="AG814" i="2"/>
  <c r="AE814" i="2"/>
  <c r="AC814" i="2"/>
  <c r="AA814" i="2"/>
  <c r="Z814" i="2"/>
  <c r="Y814" i="2"/>
  <c r="S814" i="2"/>
  <c r="O814" i="2"/>
  <c r="AD814" i="2" s="1"/>
  <c r="AH814" i="2" s="1"/>
  <c r="N814" i="2"/>
  <c r="AB814" i="2" s="1"/>
  <c r="AF814" i="2" s="1"/>
  <c r="AE813" i="2"/>
  <c r="AD813" i="2"/>
  <c r="AH813" i="2" s="1"/>
  <c r="AC813" i="2"/>
  <c r="AG813" i="2" s="1"/>
  <c r="AB813" i="2"/>
  <c r="AF813" i="2" s="1"/>
  <c r="AA813" i="2"/>
  <c r="Z813" i="2"/>
  <c r="Y813" i="2"/>
  <c r="S813" i="2"/>
  <c r="O813" i="2"/>
  <c r="N813" i="2"/>
  <c r="AE812" i="2"/>
  <c r="AC812" i="2"/>
  <c r="AG812" i="2" s="1"/>
  <c r="AB812" i="2"/>
  <c r="AF812" i="2" s="1"/>
  <c r="AA812" i="2"/>
  <c r="Z812" i="2"/>
  <c r="Y812" i="2"/>
  <c r="S812" i="2"/>
  <c r="O812" i="2"/>
  <c r="AD812" i="2" s="1"/>
  <c r="AH812" i="2" s="1"/>
  <c r="N812" i="2"/>
  <c r="AF811" i="2"/>
  <c r="AB811" i="2"/>
  <c r="AA811" i="2"/>
  <c r="AE811" i="2" s="1"/>
  <c r="Z811" i="2"/>
  <c r="Y811" i="2"/>
  <c r="S811" i="2"/>
  <c r="O811" i="2"/>
  <c r="N811" i="2"/>
  <c r="AH810" i="2"/>
  <c r="AG810" i="2"/>
  <c r="AE810" i="2"/>
  <c r="AD810" i="2"/>
  <c r="AC810" i="2"/>
  <c r="AA810" i="2"/>
  <c r="Z810" i="2"/>
  <c r="Y810" i="2"/>
  <c r="S810" i="2"/>
  <c r="O810" i="2"/>
  <c r="N810" i="2"/>
  <c r="AB810" i="2" s="1"/>
  <c r="AF810" i="2" s="1"/>
  <c r="AH809" i="2"/>
  <c r="AE809" i="2"/>
  <c r="AC809" i="2"/>
  <c r="AG809" i="2" s="1"/>
  <c r="AB809" i="2"/>
  <c r="AF809" i="2" s="1"/>
  <c r="AA809" i="2"/>
  <c r="Z809" i="2"/>
  <c r="Y809" i="2"/>
  <c r="S809" i="2"/>
  <c r="O809" i="2"/>
  <c r="AD809" i="2" s="1"/>
  <c r="N809" i="2"/>
  <c r="AH808" i="2"/>
  <c r="AG808" i="2"/>
  <c r="AC808" i="2"/>
  <c r="AA808" i="2"/>
  <c r="AE808" i="2" s="1"/>
  <c r="Z808" i="2"/>
  <c r="Y808" i="2"/>
  <c r="S808" i="2"/>
  <c r="O808" i="2"/>
  <c r="AD808" i="2" s="1"/>
  <c r="N808" i="2"/>
  <c r="AB808" i="2" s="1"/>
  <c r="AF808" i="2" s="1"/>
  <c r="AH807" i="2"/>
  <c r="AF807" i="2"/>
  <c r="AD807" i="2"/>
  <c r="AC807" i="2"/>
  <c r="AG807" i="2" s="1"/>
  <c r="AB807" i="2"/>
  <c r="AA807" i="2"/>
  <c r="AE807" i="2" s="1"/>
  <c r="Z807" i="2"/>
  <c r="Y807" i="2"/>
  <c r="S807" i="2"/>
  <c r="O807" i="2"/>
  <c r="N807" i="2"/>
  <c r="AC806" i="2"/>
  <c r="AG806" i="2" s="1"/>
  <c r="AA806" i="2"/>
  <c r="AE806" i="2" s="1"/>
  <c r="Z806" i="2"/>
  <c r="Y806" i="2"/>
  <c r="S806" i="2"/>
  <c r="O806" i="2"/>
  <c r="AD806" i="2" s="1"/>
  <c r="AH806" i="2" s="1"/>
  <c r="N806" i="2"/>
  <c r="AB806" i="2" s="1"/>
  <c r="AF806" i="2" s="1"/>
  <c r="AE805" i="2"/>
  <c r="AC805" i="2"/>
  <c r="AG805" i="2" s="1"/>
  <c r="AA805" i="2"/>
  <c r="Z805" i="2"/>
  <c r="Y805" i="2"/>
  <c r="S805" i="2"/>
  <c r="O805" i="2"/>
  <c r="AD805" i="2" s="1"/>
  <c r="AH805" i="2" s="1"/>
  <c r="N805" i="2"/>
  <c r="AB805" i="2" s="1"/>
  <c r="AF805" i="2" s="1"/>
  <c r="AH804" i="2"/>
  <c r="AE804" i="2"/>
  <c r="AD804" i="2"/>
  <c r="AC804" i="2"/>
  <c r="AG804" i="2" s="1"/>
  <c r="AA804" i="2"/>
  <c r="Z804" i="2"/>
  <c r="Y804" i="2"/>
  <c r="S804" i="2"/>
  <c r="O804" i="2"/>
  <c r="N804" i="2"/>
  <c r="AB804" i="2" s="1"/>
  <c r="AF804" i="2" s="1"/>
  <c r="AH803" i="2"/>
  <c r="AG803" i="2"/>
  <c r="AF803" i="2"/>
  <c r="AE803" i="2"/>
  <c r="AD803" i="2"/>
  <c r="AC803" i="2"/>
  <c r="AB803" i="2"/>
  <c r="AA803" i="2"/>
  <c r="Z803" i="2"/>
  <c r="Y803" i="2"/>
  <c r="S803" i="2"/>
  <c r="O803" i="2"/>
  <c r="N803" i="2"/>
  <c r="AD802" i="2"/>
  <c r="AH802" i="2" s="1"/>
  <c r="AC802" i="2"/>
  <c r="AG802" i="2" s="1"/>
  <c r="AB802" i="2"/>
  <c r="AF802" i="2" s="1"/>
  <c r="AA802" i="2"/>
  <c r="AE802" i="2" s="1"/>
  <c r="Z802" i="2"/>
  <c r="Y802" i="2"/>
  <c r="S802" i="2"/>
  <c r="O802" i="2"/>
  <c r="N802" i="2"/>
  <c r="AG801" i="2"/>
  <c r="AE801" i="2"/>
  <c r="AC801" i="2"/>
  <c r="AA801" i="2"/>
  <c r="Z801" i="2"/>
  <c r="Y801" i="2"/>
  <c r="S801" i="2"/>
  <c r="O801" i="2"/>
  <c r="AD801" i="2" s="1"/>
  <c r="AH801" i="2" s="1"/>
  <c r="N801" i="2"/>
  <c r="AB801" i="2" s="1"/>
  <c r="AF801" i="2" s="1"/>
  <c r="AG800" i="2"/>
  <c r="AF800" i="2"/>
  <c r="AE800" i="2"/>
  <c r="AD800" i="2"/>
  <c r="AH800" i="2" s="1"/>
  <c r="AC800" i="2"/>
  <c r="AB800" i="2"/>
  <c r="AA800" i="2"/>
  <c r="Z800" i="2"/>
  <c r="Y800" i="2"/>
  <c r="S800" i="2"/>
  <c r="O800" i="2"/>
  <c r="N800" i="2"/>
  <c r="AD799" i="2"/>
  <c r="AH799" i="2" s="1"/>
  <c r="AC799" i="2"/>
  <c r="AG799" i="2" s="1"/>
  <c r="AB799" i="2"/>
  <c r="AF799" i="2" s="1"/>
  <c r="AA799" i="2"/>
  <c r="AE799" i="2" s="1"/>
  <c r="Z799" i="2"/>
  <c r="Y799" i="2"/>
  <c r="S799" i="2"/>
  <c r="O799" i="2"/>
  <c r="N799" i="2"/>
  <c r="AG798" i="2"/>
  <c r="AC798" i="2"/>
  <c r="AA798" i="2"/>
  <c r="AE798" i="2" s="1"/>
  <c r="Z798" i="2"/>
  <c r="Y798" i="2"/>
  <c r="S798" i="2"/>
  <c r="O798" i="2"/>
  <c r="AD798" i="2" s="1"/>
  <c r="AH798" i="2" s="1"/>
  <c r="N798" i="2"/>
  <c r="AB798" i="2" s="1"/>
  <c r="AF798" i="2" s="1"/>
  <c r="AF797" i="2"/>
  <c r="AD797" i="2"/>
  <c r="AH797" i="2" s="1"/>
  <c r="AC797" i="2"/>
  <c r="AG797" i="2" s="1"/>
  <c r="AB797" i="2"/>
  <c r="AA797" i="2"/>
  <c r="AE797" i="2" s="1"/>
  <c r="Z797" i="2"/>
  <c r="Y797" i="2"/>
  <c r="S797" i="2"/>
  <c r="O797" i="2"/>
  <c r="N797" i="2"/>
  <c r="AC796" i="2"/>
  <c r="AG796" i="2" s="1"/>
  <c r="AB796" i="2"/>
  <c r="AF796" i="2" s="1"/>
  <c r="AA796" i="2"/>
  <c r="AE796" i="2" s="1"/>
  <c r="Z796" i="2"/>
  <c r="Y796" i="2"/>
  <c r="S796" i="2"/>
  <c r="O796" i="2"/>
  <c r="AD796" i="2" s="1"/>
  <c r="AH796" i="2" s="1"/>
  <c r="N796" i="2"/>
  <c r="AD795" i="2"/>
  <c r="AH795" i="2" s="1"/>
  <c r="AC795" i="2"/>
  <c r="AG795" i="2" s="1"/>
  <c r="AB795" i="2"/>
  <c r="AF795" i="2" s="1"/>
  <c r="Z795" i="2"/>
  <c r="Y795" i="2"/>
  <c r="S795" i="2"/>
  <c r="O795" i="2"/>
  <c r="N795" i="2"/>
  <c r="AA795" i="2" s="1"/>
  <c r="AE795" i="2" s="1"/>
  <c r="AF794" i="2"/>
  <c r="AE794" i="2"/>
  <c r="AD794" i="2"/>
  <c r="AH794" i="2" s="1"/>
  <c r="AC794" i="2"/>
  <c r="AG794" i="2" s="1"/>
  <c r="AA794" i="2"/>
  <c r="Z794" i="2"/>
  <c r="Y794" i="2"/>
  <c r="S794" i="2"/>
  <c r="O794" i="2"/>
  <c r="N794" i="2"/>
  <c r="AB794" i="2" s="1"/>
  <c r="AH793" i="2"/>
  <c r="AG793" i="2"/>
  <c r="AF793" i="2"/>
  <c r="AD793" i="2"/>
  <c r="AC793" i="2"/>
  <c r="AB793" i="2"/>
  <c r="AA793" i="2"/>
  <c r="AE793" i="2" s="1"/>
  <c r="Z793" i="2"/>
  <c r="Y793" i="2"/>
  <c r="S793" i="2"/>
  <c r="O793" i="2"/>
  <c r="N793" i="2"/>
  <c r="AH792" i="2"/>
  <c r="AE792" i="2"/>
  <c r="AD792" i="2"/>
  <c r="AC792" i="2"/>
  <c r="AG792" i="2" s="1"/>
  <c r="AA792" i="2"/>
  <c r="Z792" i="2"/>
  <c r="Y792" i="2"/>
  <c r="S792" i="2"/>
  <c r="O792" i="2"/>
  <c r="N792" i="2"/>
  <c r="AB792" i="2" s="1"/>
  <c r="AF792" i="2" s="1"/>
  <c r="AH791" i="2"/>
  <c r="AG791" i="2"/>
  <c r="AC791" i="2"/>
  <c r="AB791" i="2"/>
  <c r="AF791" i="2" s="1"/>
  <c r="AA791" i="2"/>
  <c r="AE791" i="2" s="1"/>
  <c r="Z791" i="2"/>
  <c r="Y791" i="2"/>
  <c r="S791" i="2"/>
  <c r="O791" i="2"/>
  <c r="AD791" i="2" s="1"/>
  <c r="N791" i="2"/>
  <c r="AH790" i="2"/>
  <c r="AC790" i="2"/>
  <c r="AG790" i="2" s="1"/>
  <c r="AA790" i="2"/>
  <c r="AE790" i="2" s="1"/>
  <c r="Z790" i="2"/>
  <c r="Y790" i="2"/>
  <c r="S790" i="2"/>
  <c r="O790" i="2"/>
  <c r="AD790" i="2" s="1"/>
  <c r="N790" i="2"/>
  <c r="AB790" i="2" s="1"/>
  <c r="AF790" i="2" s="1"/>
  <c r="AH789" i="2"/>
  <c r="AG789" i="2"/>
  <c r="AD789" i="2"/>
  <c r="AC789" i="2"/>
  <c r="AB789" i="2"/>
  <c r="AF789" i="2" s="1"/>
  <c r="Z789" i="2"/>
  <c r="Y789" i="2"/>
  <c r="S789" i="2"/>
  <c r="O789" i="2"/>
  <c r="N789" i="2"/>
  <c r="AA789" i="2" s="1"/>
  <c r="AE789" i="2" s="1"/>
  <c r="AD788" i="2"/>
  <c r="AH788" i="2" s="1"/>
  <c r="AC788" i="2"/>
  <c r="AG788" i="2" s="1"/>
  <c r="AB788" i="2"/>
  <c r="AF788" i="2" s="1"/>
  <c r="AA788" i="2"/>
  <c r="AE788" i="2" s="1"/>
  <c r="Z788" i="2"/>
  <c r="Y788" i="2"/>
  <c r="S788" i="2"/>
  <c r="O788" i="2"/>
  <c r="N788" i="2"/>
  <c r="AG787" i="2"/>
  <c r="AE787" i="2"/>
  <c r="AC787" i="2"/>
  <c r="AA787" i="2"/>
  <c r="Z787" i="2"/>
  <c r="Y787" i="2"/>
  <c r="S787" i="2"/>
  <c r="O787" i="2"/>
  <c r="AD787" i="2" s="1"/>
  <c r="AH787" i="2" s="1"/>
  <c r="N787" i="2"/>
  <c r="AB787" i="2" s="1"/>
  <c r="AF787" i="2" s="1"/>
  <c r="AF786" i="2"/>
  <c r="AE786" i="2"/>
  <c r="AD786" i="2"/>
  <c r="AH786" i="2" s="1"/>
  <c r="AC786" i="2"/>
  <c r="AG786" i="2" s="1"/>
  <c r="AB786" i="2"/>
  <c r="AA786" i="2"/>
  <c r="Z786" i="2"/>
  <c r="Y786" i="2"/>
  <c r="S786" i="2"/>
  <c r="O786" i="2"/>
  <c r="N786" i="2"/>
  <c r="AD785" i="2"/>
  <c r="AH785" i="2" s="1"/>
  <c r="AB785" i="2"/>
  <c r="AF785" i="2" s="1"/>
  <c r="AA785" i="2"/>
  <c r="AE785" i="2" s="1"/>
  <c r="Z785" i="2"/>
  <c r="Y785" i="2"/>
  <c r="S785" i="2"/>
  <c r="O785" i="2"/>
  <c r="AC785" i="2" s="1"/>
  <c r="AG785" i="2" s="1"/>
  <c r="N785" i="2"/>
  <c r="AF784" i="2"/>
  <c r="AD784" i="2"/>
  <c r="AH784" i="2" s="1"/>
  <c r="AB784" i="2"/>
  <c r="Z784" i="2"/>
  <c r="Y784" i="2"/>
  <c r="S784" i="2"/>
  <c r="O784" i="2"/>
  <c r="AC784" i="2" s="1"/>
  <c r="AG784" i="2" s="1"/>
  <c r="N784" i="2"/>
  <c r="AA784" i="2" s="1"/>
  <c r="AE784" i="2" s="1"/>
  <c r="AF783" i="2"/>
  <c r="AD783" i="2"/>
  <c r="AH783" i="2" s="1"/>
  <c r="AC783" i="2"/>
  <c r="AG783" i="2" s="1"/>
  <c r="AB783" i="2"/>
  <c r="AA783" i="2"/>
  <c r="AE783" i="2" s="1"/>
  <c r="Z783" i="2"/>
  <c r="Y783" i="2"/>
  <c r="S783" i="2"/>
  <c r="O783" i="2"/>
  <c r="N783" i="2"/>
  <c r="AH782" i="2"/>
  <c r="AE782" i="2"/>
  <c r="AD782" i="2"/>
  <c r="AC782" i="2"/>
  <c r="AG782" i="2" s="1"/>
  <c r="AA782" i="2"/>
  <c r="Z782" i="2"/>
  <c r="Y782" i="2"/>
  <c r="S782" i="2"/>
  <c r="O782" i="2"/>
  <c r="N782" i="2"/>
  <c r="AB782" i="2" s="1"/>
  <c r="AF782" i="2" s="1"/>
  <c r="Z781" i="2"/>
  <c r="Y781" i="2"/>
  <c r="S781" i="2"/>
  <c r="O781" i="2"/>
  <c r="N781" i="2"/>
  <c r="AH780" i="2"/>
  <c r="AG780" i="2"/>
  <c r="AE780" i="2"/>
  <c r="AC780" i="2"/>
  <c r="AB780" i="2"/>
  <c r="AF780" i="2" s="1"/>
  <c r="AA780" i="2"/>
  <c r="Z780" i="2"/>
  <c r="Y780" i="2"/>
  <c r="S780" i="2"/>
  <c r="O780" i="2"/>
  <c r="AD780" i="2" s="1"/>
  <c r="N780" i="2"/>
  <c r="AH779" i="2"/>
  <c r="AF779" i="2"/>
  <c r="AD779" i="2"/>
  <c r="AB779" i="2"/>
  <c r="AA779" i="2"/>
  <c r="AE779" i="2" s="1"/>
  <c r="Z779" i="2"/>
  <c r="Y779" i="2"/>
  <c r="S779" i="2"/>
  <c r="O779" i="2"/>
  <c r="AC779" i="2" s="1"/>
  <c r="AG779" i="2" s="1"/>
  <c r="N779" i="2"/>
  <c r="AE778" i="2"/>
  <c r="AD778" i="2"/>
  <c r="AH778" i="2" s="1"/>
  <c r="AC778" i="2"/>
  <c r="AG778" i="2" s="1"/>
  <c r="AB778" i="2"/>
  <c r="AF778" i="2" s="1"/>
  <c r="AA778" i="2"/>
  <c r="Z778" i="2"/>
  <c r="Y778" i="2"/>
  <c r="S778" i="2"/>
  <c r="O778" i="2"/>
  <c r="N778" i="2"/>
  <c r="AH777" i="2"/>
  <c r="AE777" i="2"/>
  <c r="AD777" i="2"/>
  <c r="AC777" i="2"/>
  <c r="AG777" i="2" s="1"/>
  <c r="AA777" i="2"/>
  <c r="Z777" i="2"/>
  <c r="Y777" i="2"/>
  <c r="S777" i="2"/>
  <c r="O777" i="2"/>
  <c r="N777" i="2"/>
  <c r="AB777" i="2" s="1"/>
  <c r="AF777" i="2" s="1"/>
  <c r="AF776" i="2"/>
  <c r="AE776" i="2"/>
  <c r="AD776" i="2"/>
  <c r="AH776" i="2" s="1"/>
  <c r="AC776" i="2"/>
  <c r="AG776" i="2" s="1"/>
  <c r="AB776" i="2"/>
  <c r="AA776" i="2"/>
  <c r="Z776" i="2"/>
  <c r="Y776" i="2"/>
  <c r="S776" i="2"/>
  <c r="O776" i="2"/>
  <c r="N776" i="2"/>
  <c r="AG775" i="2"/>
  <c r="AF775" i="2"/>
  <c r="AE775" i="2"/>
  <c r="AD775" i="2"/>
  <c r="AH775" i="2" s="1"/>
  <c r="AC775" i="2"/>
  <c r="AB775" i="2"/>
  <c r="AA775" i="2"/>
  <c r="Z775" i="2"/>
  <c r="Y775" i="2"/>
  <c r="S775" i="2"/>
  <c r="O775" i="2"/>
  <c r="N775" i="2"/>
  <c r="AE774" i="2"/>
  <c r="AB774" i="2"/>
  <c r="AF774" i="2" s="1"/>
  <c r="Z774" i="2"/>
  <c r="Y774" i="2"/>
  <c r="S774" i="2"/>
  <c r="O774" i="2"/>
  <c r="N774" i="2"/>
  <c r="AA774" i="2" s="1"/>
  <c r="AH773" i="2"/>
  <c r="AF773" i="2"/>
  <c r="AD773" i="2"/>
  <c r="AB773" i="2"/>
  <c r="Z773" i="2"/>
  <c r="Y773" i="2"/>
  <c r="S773" i="2"/>
  <c r="O773" i="2"/>
  <c r="AC773" i="2" s="1"/>
  <c r="AG773" i="2" s="1"/>
  <c r="N773" i="2"/>
  <c r="AA773" i="2" s="1"/>
  <c r="AE773" i="2" s="1"/>
  <c r="AG772" i="2"/>
  <c r="AF772" i="2"/>
  <c r="AE772" i="2"/>
  <c r="AD772" i="2"/>
  <c r="AH772" i="2" s="1"/>
  <c r="AC772" i="2"/>
  <c r="AB772" i="2"/>
  <c r="AA772" i="2"/>
  <c r="Z772" i="2"/>
  <c r="Y772" i="2"/>
  <c r="S772" i="2"/>
  <c r="O772" i="2"/>
  <c r="N772" i="2"/>
  <c r="AD771" i="2"/>
  <c r="AH771" i="2" s="1"/>
  <c r="AC771" i="2"/>
  <c r="AG771" i="2" s="1"/>
  <c r="AA771" i="2"/>
  <c r="AE771" i="2" s="1"/>
  <c r="Z771" i="2"/>
  <c r="Y771" i="2"/>
  <c r="S771" i="2"/>
  <c r="O771" i="2"/>
  <c r="N771" i="2"/>
  <c r="AB771" i="2" s="1"/>
  <c r="AF771" i="2" s="1"/>
  <c r="AE770" i="2"/>
  <c r="AC770" i="2"/>
  <c r="AG770" i="2" s="1"/>
  <c r="AA770" i="2"/>
  <c r="Z770" i="2"/>
  <c r="Y770" i="2"/>
  <c r="S770" i="2"/>
  <c r="O770" i="2"/>
  <c r="AD770" i="2" s="1"/>
  <c r="AH770" i="2" s="1"/>
  <c r="N770" i="2"/>
  <c r="AB770" i="2" s="1"/>
  <c r="AF770" i="2" s="1"/>
  <c r="AG769" i="2"/>
  <c r="AF769" i="2"/>
  <c r="AE769" i="2"/>
  <c r="AD769" i="2"/>
  <c r="AH769" i="2" s="1"/>
  <c r="AC769" i="2"/>
  <c r="AB769" i="2"/>
  <c r="AA769" i="2"/>
  <c r="Z769" i="2"/>
  <c r="Y769" i="2"/>
  <c r="S769" i="2"/>
  <c r="O769" i="2"/>
  <c r="N769" i="2"/>
  <c r="AD768" i="2"/>
  <c r="AH768" i="2" s="1"/>
  <c r="AC768" i="2"/>
  <c r="AG768" i="2" s="1"/>
  <c r="AB768" i="2"/>
  <c r="AF768" i="2" s="1"/>
  <c r="AA768" i="2"/>
  <c r="AE768" i="2" s="1"/>
  <c r="Z768" i="2"/>
  <c r="Y768" i="2"/>
  <c r="S768" i="2"/>
  <c r="O768" i="2"/>
  <c r="N768" i="2"/>
  <c r="AH767" i="2"/>
  <c r="AF767" i="2"/>
  <c r="AE767" i="2"/>
  <c r="AD767" i="2"/>
  <c r="AB767" i="2"/>
  <c r="Z767" i="2"/>
  <c r="Y767" i="2"/>
  <c r="S767" i="2"/>
  <c r="O767" i="2"/>
  <c r="AC767" i="2" s="1"/>
  <c r="AG767" i="2" s="1"/>
  <c r="N767" i="2"/>
  <c r="AA767" i="2" s="1"/>
  <c r="AG766" i="2"/>
  <c r="AF766" i="2"/>
  <c r="AD766" i="2"/>
  <c r="AH766" i="2" s="1"/>
  <c r="AC766" i="2"/>
  <c r="AB766" i="2"/>
  <c r="AA766" i="2"/>
  <c r="AE766" i="2" s="1"/>
  <c r="Z766" i="2"/>
  <c r="Y766" i="2"/>
  <c r="S766" i="2"/>
  <c r="O766" i="2"/>
  <c r="N766" i="2"/>
  <c r="AE765" i="2"/>
  <c r="AD765" i="2"/>
  <c r="AH765" i="2" s="1"/>
  <c r="AC765" i="2"/>
  <c r="AG765" i="2" s="1"/>
  <c r="AB765" i="2"/>
  <c r="AF765" i="2" s="1"/>
  <c r="AA765" i="2"/>
  <c r="Z765" i="2"/>
  <c r="Y765" i="2"/>
  <c r="S765" i="2"/>
  <c r="O765" i="2"/>
  <c r="N765" i="2"/>
  <c r="Z764" i="2"/>
  <c r="Y764" i="2"/>
  <c r="S764" i="2"/>
  <c r="O764" i="2"/>
  <c r="AC764" i="2" s="1"/>
  <c r="AG764" i="2" s="1"/>
  <c r="N764" i="2"/>
  <c r="AF763" i="2"/>
  <c r="AD763" i="2"/>
  <c r="AH763" i="2" s="1"/>
  <c r="AC763" i="2"/>
  <c r="AG763" i="2" s="1"/>
  <c r="AB763" i="2"/>
  <c r="AA763" i="2"/>
  <c r="AE763" i="2" s="1"/>
  <c r="Z763" i="2"/>
  <c r="Y763" i="2"/>
  <c r="S763" i="2"/>
  <c r="O763" i="2"/>
  <c r="N763" i="2"/>
  <c r="AF762" i="2"/>
  <c r="AD762" i="2"/>
  <c r="AH762" i="2" s="1"/>
  <c r="AB762" i="2"/>
  <c r="AA762" i="2"/>
  <c r="AE762" i="2" s="1"/>
  <c r="Z762" i="2"/>
  <c r="Y762" i="2"/>
  <c r="S762" i="2"/>
  <c r="O762" i="2"/>
  <c r="AC762" i="2" s="1"/>
  <c r="AG762" i="2" s="1"/>
  <c r="N762" i="2"/>
  <c r="AH761" i="2"/>
  <c r="AD761" i="2"/>
  <c r="AC761" i="2"/>
  <c r="AG761" i="2" s="1"/>
  <c r="AB761" i="2"/>
  <c r="AF761" i="2" s="1"/>
  <c r="Z761" i="2"/>
  <c r="Y761" i="2"/>
  <c r="S761" i="2"/>
  <c r="O761" i="2"/>
  <c r="N761" i="2"/>
  <c r="AA761" i="2" s="1"/>
  <c r="AE761" i="2" s="1"/>
  <c r="AF760" i="2"/>
  <c r="AE760" i="2"/>
  <c r="AD760" i="2"/>
  <c r="AH760" i="2" s="1"/>
  <c r="AC760" i="2"/>
  <c r="AG760" i="2" s="1"/>
  <c r="AA760" i="2"/>
  <c r="Z760" i="2"/>
  <c r="Y760" i="2"/>
  <c r="S760" i="2"/>
  <c r="O760" i="2"/>
  <c r="N760" i="2"/>
  <c r="AB760" i="2" s="1"/>
  <c r="AH759" i="2"/>
  <c r="AE759" i="2"/>
  <c r="AD759" i="2"/>
  <c r="AB759" i="2"/>
  <c r="AF759" i="2" s="1"/>
  <c r="AA759" i="2"/>
  <c r="Z759" i="2"/>
  <c r="Y759" i="2"/>
  <c r="S759" i="2"/>
  <c r="O759" i="2"/>
  <c r="AC759" i="2" s="1"/>
  <c r="AG759" i="2" s="1"/>
  <c r="N759" i="2"/>
  <c r="AG758" i="2"/>
  <c r="AF758" i="2"/>
  <c r="AE758" i="2"/>
  <c r="AC758" i="2"/>
  <c r="AB758" i="2"/>
  <c r="AA758" i="2"/>
  <c r="Z758" i="2"/>
  <c r="Y758" i="2"/>
  <c r="S758" i="2"/>
  <c r="O758" i="2"/>
  <c r="AD758" i="2" s="1"/>
  <c r="AH758" i="2" s="1"/>
  <c r="N758" i="2"/>
  <c r="AH757" i="2"/>
  <c r="AG757" i="2"/>
  <c r="AE757" i="2"/>
  <c r="AD757" i="2"/>
  <c r="AB757" i="2"/>
  <c r="AF757" i="2" s="1"/>
  <c r="AA757" i="2"/>
  <c r="Z757" i="2"/>
  <c r="Y757" i="2"/>
  <c r="S757" i="2"/>
  <c r="O757" i="2"/>
  <c r="AC757" i="2" s="1"/>
  <c r="N757" i="2"/>
  <c r="AH756" i="2"/>
  <c r="AC756" i="2"/>
  <c r="AG756" i="2" s="1"/>
  <c r="AA756" i="2"/>
  <c r="AE756" i="2" s="1"/>
  <c r="Z756" i="2"/>
  <c r="Y756" i="2"/>
  <c r="S756" i="2"/>
  <c r="O756" i="2"/>
  <c r="AD756" i="2" s="1"/>
  <c r="N756" i="2"/>
  <c r="AB756" i="2" s="1"/>
  <c r="AF756" i="2" s="1"/>
  <c r="AH755" i="2"/>
  <c r="AG755" i="2"/>
  <c r="AF755" i="2"/>
  <c r="AC755" i="2"/>
  <c r="AB755" i="2"/>
  <c r="AA755" i="2"/>
  <c r="AE755" i="2" s="1"/>
  <c r="Z755" i="2"/>
  <c r="Y755" i="2"/>
  <c r="S755" i="2"/>
  <c r="O755" i="2"/>
  <c r="AD755" i="2" s="1"/>
  <c r="N755" i="2"/>
  <c r="AH754" i="2"/>
  <c r="AD754" i="2"/>
  <c r="AC754" i="2"/>
  <c r="AG754" i="2" s="1"/>
  <c r="AB754" i="2"/>
  <c r="AF754" i="2" s="1"/>
  <c r="AA754" i="2"/>
  <c r="AE754" i="2" s="1"/>
  <c r="Z754" i="2"/>
  <c r="Y754" i="2"/>
  <c r="S754" i="2"/>
  <c r="O754" i="2"/>
  <c r="N754" i="2"/>
  <c r="AH753" i="2"/>
  <c r="AG753" i="2"/>
  <c r="AD753" i="2"/>
  <c r="AB753" i="2"/>
  <c r="AF753" i="2" s="1"/>
  <c r="Z753" i="2"/>
  <c r="Y753" i="2"/>
  <c r="S753" i="2"/>
  <c r="O753" i="2"/>
  <c r="AC753" i="2" s="1"/>
  <c r="N753" i="2"/>
  <c r="AA753" i="2" s="1"/>
  <c r="AE753" i="2" s="1"/>
  <c r="AF752" i="2"/>
  <c r="AE752" i="2"/>
  <c r="AD752" i="2"/>
  <c r="AH752" i="2" s="1"/>
  <c r="AC752" i="2"/>
  <c r="AG752" i="2" s="1"/>
  <c r="AB752" i="2"/>
  <c r="AA752" i="2"/>
  <c r="Z752" i="2"/>
  <c r="Y752" i="2"/>
  <c r="S752" i="2"/>
  <c r="O752" i="2"/>
  <c r="N752" i="2"/>
  <c r="AF751" i="2"/>
  <c r="AC751" i="2"/>
  <c r="AG751" i="2" s="1"/>
  <c r="AA751" i="2"/>
  <c r="AE751" i="2" s="1"/>
  <c r="Z751" i="2"/>
  <c r="Y751" i="2"/>
  <c r="S751" i="2"/>
  <c r="O751" i="2"/>
  <c r="AD751" i="2" s="1"/>
  <c r="AH751" i="2" s="1"/>
  <c r="N751" i="2"/>
  <c r="AB751" i="2" s="1"/>
  <c r="AH750" i="2"/>
  <c r="AE750" i="2"/>
  <c r="AD750" i="2"/>
  <c r="AC750" i="2"/>
  <c r="AG750" i="2" s="1"/>
  <c r="AA750" i="2"/>
  <c r="Z750" i="2"/>
  <c r="Y750" i="2"/>
  <c r="S750" i="2"/>
  <c r="O750" i="2"/>
  <c r="N750" i="2"/>
  <c r="AB750" i="2" s="1"/>
  <c r="AF750" i="2" s="1"/>
  <c r="AH749" i="2"/>
  <c r="AG749" i="2"/>
  <c r="AF749" i="2"/>
  <c r="AD749" i="2"/>
  <c r="AC749" i="2"/>
  <c r="AB749" i="2"/>
  <c r="AA749" i="2"/>
  <c r="AE749" i="2" s="1"/>
  <c r="Z749" i="2"/>
  <c r="Y749" i="2"/>
  <c r="S749" i="2"/>
  <c r="O749" i="2"/>
  <c r="N749" i="2"/>
  <c r="AF748" i="2"/>
  <c r="AC748" i="2"/>
  <c r="AG748" i="2" s="1"/>
  <c r="AB748" i="2"/>
  <c r="AA748" i="2"/>
  <c r="AE748" i="2" s="1"/>
  <c r="Z748" i="2"/>
  <c r="Y748" i="2"/>
  <c r="S748" i="2"/>
  <c r="O748" i="2"/>
  <c r="AD748" i="2" s="1"/>
  <c r="AH748" i="2" s="1"/>
  <c r="N748" i="2"/>
  <c r="AG747" i="2"/>
  <c r="AE747" i="2"/>
  <c r="AC747" i="2"/>
  <c r="AA747" i="2"/>
  <c r="Z747" i="2"/>
  <c r="Y747" i="2"/>
  <c r="S747" i="2"/>
  <c r="O747" i="2"/>
  <c r="AD747" i="2" s="1"/>
  <c r="AH747" i="2" s="1"/>
  <c r="N747" i="2"/>
  <c r="AB747" i="2" s="1"/>
  <c r="AF747" i="2" s="1"/>
  <c r="AH746" i="2"/>
  <c r="AG746" i="2"/>
  <c r="AF746" i="2"/>
  <c r="AE746" i="2"/>
  <c r="AD746" i="2"/>
  <c r="AC746" i="2"/>
  <c r="AB746" i="2"/>
  <c r="AA746" i="2"/>
  <c r="Z746" i="2"/>
  <c r="Y746" i="2"/>
  <c r="S746" i="2"/>
  <c r="O746" i="2"/>
  <c r="N746" i="2"/>
  <c r="AF745" i="2"/>
  <c r="AD745" i="2"/>
  <c r="AH745" i="2" s="1"/>
  <c r="AC745" i="2"/>
  <c r="AG745" i="2" s="1"/>
  <c r="AB745" i="2"/>
  <c r="AA745" i="2"/>
  <c r="AE745" i="2" s="1"/>
  <c r="Z745" i="2"/>
  <c r="Y745" i="2"/>
  <c r="S745" i="2"/>
  <c r="O745" i="2"/>
  <c r="N745" i="2"/>
  <c r="AG744" i="2"/>
  <c r="AC744" i="2"/>
  <c r="AA744" i="2"/>
  <c r="AE744" i="2" s="1"/>
  <c r="Z744" i="2"/>
  <c r="Y744" i="2"/>
  <c r="S744" i="2"/>
  <c r="O744" i="2"/>
  <c r="AD744" i="2" s="1"/>
  <c r="AH744" i="2" s="1"/>
  <c r="N744" i="2"/>
  <c r="AB744" i="2" s="1"/>
  <c r="AF744" i="2" s="1"/>
  <c r="AH743" i="2"/>
  <c r="AG743" i="2"/>
  <c r="AE743" i="2"/>
  <c r="AD743" i="2"/>
  <c r="AC743" i="2"/>
  <c r="AB743" i="2"/>
  <c r="AF743" i="2" s="1"/>
  <c r="AA743" i="2"/>
  <c r="Z743" i="2"/>
  <c r="Y743" i="2"/>
  <c r="S743" i="2"/>
  <c r="O743" i="2"/>
  <c r="N743" i="2"/>
  <c r="AE742" i="2"/>
  <c r="AD742" i="2"/>
  <c r="AH742" i="2" s="1"/>
  <c r="AB742" i="2"/>
  <c r="AF742" i="2" s="1"/>
  <c r="AA742" i="2"/>
  <c r="Z742" i="2"/>
  <c r="Y742" i="2"/>
  <c r="S742" i="2"/>
  <c r="O742" i="2"/>
  <c r="AC742" i="2" s="1"/>
  <c r="AG742" i="2" s="1"/>
  <c r="N742" i="2"/>
  <c r="AE741" i="2"/>
  <c r="AD741" i="2"/>
  <c r="AH741" i="2" s="1"/>
  <c r="AC741" i="2"/>
  <c r="AG741" i="2" s="1"/>
  <c r="AB741" i="2"/>
  <c r="AF741" i="2" s="1"/>
  <c r="Z741" i="2"/>
  <c r="Y741" i="2"/>
  <c r="S741" i="2"/>
  <c r="O741" i="2"/>
  <c r="N741" i="2"/>
  <c r="AA741" i="2" s="1"/>
  <c r="AF740" i="2"/>
  <c r="AD740" i="2"/>
  <c r="AH740" i="2" s="1"/>
  <c r="AB740" i="2"/>
  <c r="Z740" i="2"/>
  <c r="Y740" i="2"/>
  <c r="S740" i="2"/>
  <c r="O740" i="2"/>
  <c r="AC740" i="2" s="1"/>
  <c r="AG740" i="2" s="1"/>
  <c r="N740" i="2"/>
  <c r="AA740" i="2" s="1"/>
  <c r="AE740" i="2" s="1"/>
  <c r="AG739" i="2"/>
  <c r="AF739" i="2"/>
  <c r="AD739" i="2"/>
  <c r="AH739" i="2" s="1"/>
  <c r="AC739" i="2"/>
  <c r="AB739" i="2"/>
  <c r="AA739" i="2"/>
  <c r="AE739" i="2" s="1"/>
  <c r="Z739" i="2"/>
  <c r="Y739" i="2"/>
  <c r="S739" i="2"/>
  <c r="O739" i="2"/>
  <c r="N739" i="2"/>
  <c r="AG738" i="2"/>
  <c r="AE738" i="2"/>
  <c r="AD738" i="2"/>
  <c r="AH738" i="2" s="1"/>
  <c r="AC738" i="2"/>
  <c r="AA738" i="2"/>
  <c r="Z738" i="2"/>
  <c r="Y738" i="2"/>
  <c r="S738" i="2"/>
  <c r="O738" i="2"/>
  <c r="N738" i="2"/>
  <c r="AB738" i="2" s="1"/>
  <c r="AF738" i="2" s="1"/>
  <c r="AG737" i="2"/>
  <c r="AC737" i="2"/>
  <c r="AA737" i="2"/>
  <c r="AE737" i="2" s="1"/>
  <c r="Z737" i="2"/>
  <c r="Y737" i="2"/>
  <c r="S737" i="2"/>
  <c r="O737" i="2"/>
  <c r="AD737" i="2" s="1"/>
  <c r="AH737" i="2" s="1"/>
  <c r="N737" i="2"/>
  <c r="AB737" i="2" s="1"/>
  <c r="AF737" i="2" s="1"/>
  <c r="AH736" i="2"/>
  <c r="AE736" i="2"/>
  <c r="AD736" i="2"/>
  <c r="AB736" i="2"/>
  <c r="AF736" i="2" s="1"/>
  <c r="AA736" i="2"/>
  <c r="Z736" i="2"/>
  <c r="Y736" i="2"/>
  <c r="S736" i="2"/>
  <c r="O736" i="2"/>
  <c r="AC736" i="2" s="1"/>
  <c r="AG736" i="2" s="1"/>
  <c r="N736" i="2"/>
  <c r="AF735" i="2"/>
  <c r="AE735" i="2"/>
  <c r="AC735" i="2"/>
  <c r="AG735" i="2" s="1"/>
  <c r="AA735" i="2"/>
  <c r="Z735" i="2"/>
  <c r="Y735" i="2"/>
  <c r="S735" i="2"/>
  <c r="O735" i="2"/>
  <c r="AD735" i="2" s="1"/>
  <c r="AH735" i="2" s="1"/>
  <c r="N735" i="2"/>
  <c r="AB735" i="2" s="1"/>
  <c r="AD734" i="2"/>
  <c r="AH734" i="2" s="1"/>
  <c r="AC734" i="2"/>
  <c r="AG734" i="2" s="1"/>
  <c r="AA734" i="2"/>
  <c r="AE734" i="2" s="1"/>
  <c r="Z734" i="2"/>
  <c r="Y734" i="2"/>
  <c r="S734" i="2"/>
  <c r="O734" i="2"/>
  <c r="N734" i="2"/>
  <c r="AB734" i="2" s="1"/>
  <c r="AF734" i="2" s="1"/>
  <c r="AH733" i="2"/>
  <c r="AF733" i="2"/>
  <c r="AE733" i="2"/>
  <c r="AD733" i="2"/>
  <c r="AB733" i="2"/>
  <c r="Z733" i="2"/>
  <c r="Y733" i="2"/>
  <c r="S733" i="2"/>
  <c r="O733" i="2"/>
  <c r="AC733" i="2" s="1"/>
  <c r="AG733" i="2" s="1"/>
  <c r="N733" i="2"/>
  <c r="AA733" i="2" s="1"/>
  <c r="AE732" i="2"/>
  <c r="AC732" i="2"/>
  <c r="AG732" i="2" s="1"/>
  <c r="AB732" i="2"/>
  <c r="AF732" i="2" s="1"/>
  <c r="AA732" i="2"/>
  <c r="Z732" i="2"/>
  <c r="Y732" i="2"/>
  <c r="S732" i="2"/>
  <c r="O732" i="2"/>
  <c r="AD732" i="2" s="1"/>
  <c r="AH732" i="2" s="1"/>
  <c r="N732" i="2"/>
  <c r="AF731" i="2"/>
  <c r="AE731" i="2"/>
  <c r="AD731" i="2"/>
  <c r="AH731" i="2" s="1"/>
  <c r="AB731" i="2"/>
  <c r="AA731" i="2"/>
  <c r="Z731" i="2"/>
  <c r="Y731" i="2"/>
  <c r="S731" i="2"/>
  <c r="O731" i="2"/>
  <c r="AC731" i="2" s="1"/>
  <c r="AG731" i="2" s="1"/>
  <c r="N731" i="2"/>
  <c r="AG730" i="2"/>
  <c r="AF730" i="2"/>
  <c r="AC730" i="2"/>
  <c r="AB730" i="2"/>
  <c r="AA730" i="2"/>
  <c r="AE730" i="2" s="1"/>
  <c r="Z730" i="2"/>
  <c r="Y730" i="2"/>
  <c r="S730" i="2"/>
  <c r="O730" i="2"/>
  <c r="AD730" i="2" s="1"/>
  <c r="AH730" i="2" s="1"/>
  <c r="N730" i="2"/>
  <c r="AH729" i="2"/>
  <c r="AE729" i="2"/>
  <c r="AC729" i="2"/>
  <c r="AG729" i="2" s="1"/>
  <c r="AA729" i="2"/>
  <c r="Z729" i="2"/>
  <c r="Y729" i="2"/>
  <c r="S729" i="2"/>
  <c r="O729" i="2"/>
  <c r="AD729" i="2" s="1"/>
  <c r="N729" i="2"/>
  <c r="AB729" i="2" s="1"/>
  <c r="AF729" i="2" s="1"/>
  <c r="AG728" i="2"/>
  <c r="AF728" i="2"/>
  <c r="AE728" i="2"/>
  <c r="AD728" i="2"/>
  <c r="AH728" i="2" s="1"/>
  <c r="AC728" i="2"/>
  <c r="AB728" i="2"/>
  <c r="AA728" i="2"/>
  <c r="Z728" i="2"/>
  <c r="Y728" i="2"/>
  <c r="S728" i="2"/>
  <c r="O728" i="2"/>
  <c r="N728" i="2"/>
  <c r="AC727" i="2"/>
  <c r="AG727" i="2" s="1"/>
  <c r="AB727" i="2"/>
  <c r="AF727" i="2" s="1"/>
  <c r="AA727" i="2"/>
  <c r="AE727" i="2" s="1"/>
  <c r="Z727" i="2"/>
  <c r="Y727" i="2"/>
  <c r="S727" i="2"/>
  <c r="O727" i="2"/>
  <c r="AD727" i="2" s="1"/>
  <c r="AH727" i="2" s="1"/>
  <c r="N727" i="2"/>
  <c r="AH726" i="2"/>
  <c r="AE726" i="2"/>
  <c r="AD726" i="2"/>
  <c r="AC726" i="2"/>
  <c r="AG726" i="2" s="1"/>
  <c r="AA726" i="2"/>
  <c r="Z726" i="2"/>
  <c r="Y726" i="2"/>
  <c r="S726" i="2"/>
  <c r="O726" i="2"/>
  <c r="N726" i="2"/>
  <c r="AB726" i="2" s="1"/>
  <c r="AF726" i="2" s="1"/>
  <c r="AH725" i="2"/>
  <c r="AG725" i="2"/>
  <c r="AF725" i="2"/>
  <c r="AE725" i="2"/>
  <c r="AD725" i="2"/>
  <c r="AC725" i="2"/>
  <c r="AB725" i="2"/>
  <c r="AA725" i="2"/>
  <c r="Z725" i="2"/>
  <c r="Y725" i="2"/>
  <c r="S725" i="2"/>
  <c r="O725" i="2"/>
  <c r="N725" i="2"/>
  <c r="AD724" i="2"/>
  <c r="AH724" i="2" s="1"/>
  <c r="AC724" i="2"/>
  <c r="AG724" i="2" s="1"/>
  <c r="AA724" i="2"/>
  <c r="AE724" i="2" s="1"/>
  <c r="Z724" i="2"/>
  <c r="Y724" i="2"/>
  <c r="S724" i="2"/>
  <c r="O724" i="2"/>
  <c r="N724" i="2"/>
  <c r="AB724" i="2" s="1"/>
  <c r="AF724" i="2" s="1"/>
  <c r="AG723" i="2"/>
  <c r="AF723" i="2"/>
  <c r="AC723" i="2"/>
  <c r="AA723" i="2"/>
  <c r="AE723" i="2" s="1"/>
  <c r="Z723" i="2"/>
  <c r="Y723" i="2"/>
  <c r="S723" i="2"/>
  <c r="O723" i="2"/>
  <c r="AD723" i="2" s="1"/>
  <c r="AH723" i="2" s="1"/>
  <c r="N723" i="2"/>
  <c r="AB723" i="2" s="1"/>
  <c r="AC722" i="2"/>
  <c r="AG722" i="2" s="1"/>
  <c r="AB722" i="2"/>
  <c r="AF722" i="2" s="1"/>
  <c r="AA722" i="2"/>
  <c r="AE722" i="2" s="1"/>
  <c r="Z722" i="2"/>
  <c r="Y722" i="2"/>
  <c r="S722" i="2"/>
  <c r="O722" i="2"/>
  <c r="AD722" i="2" s="1"/>
  <c r="AH722" i="2" s="1"/>
  <c r="N722" i="2"/>
  <c r="AF721" i="2"/>
  <c r="AD721" i="2"/>
  <c r="AH721" i="2" s="1"/>
  <c r="AC721" i="2"/>
  <c r="AG721" i="2" s="1"/>
  <c r="AA721" i="2"/>
  <c r="AE721" i="2" s="1"/>
  <c r="Z721" i="2"/>
  <c r="Y721" i="2"/>
  <c r="S721" i="2"/>
  <c r="O721" i="2"/>
  <c r="N721" i="2"/>
  <c r="AB721" i="2" s="1"/>
  <c r="Z720" i="2"/>
  <c r="Y720" i="2"/>
  <c r="S720" i="2"/>
  <c r="O720" i="2"/>
  <c r="N720" i="2"/>
  <c r="AG719" i="2"/>
  <c r="AC719" i="2"/>
  <c r="AA719" i="2"/>
  <c r="AE719" i="2" s="1"/>
  <c r="Z719" i="2"/>
  <c r="Y719" i="2"/>
  <c r="S719" i="2"/>
  <c r="O719" i="2"/>
  <c r="AD719" i="2" s="1"/>
  <c r="AH719" i="2" s="1"/>
  <c r="N719" i="2"/>
  <c r="AB719" i="2" s="1"/>
  <c r="AF719" i="2" s="1"/>
  <c r="AH718" i="2"/>
  <c r="AG718" i="2"/>
  <c r="AE718" i="2"/>
  <c r="AD718" i="2"/>
  <c r="AC718" i="2"/>
  <c r="AB718" i="2"/>
  <c r="AF718" i="2" s="1"/>
  <c r="AA718" i="2"/>
  <c r="Z718" i="2"/>
  <c r="Y718" i="2"/>
  <c r="S718" i="2"/>
  <c r="O718" i="2"/>
  <c r="N718" i="2"/>
  <c r="AE717" i="2"/>
  <c r="AC717" i="2"/>
  <c r="AG717" i="2" s="1"/>
  <c r="AA717" i="2"/>
  <c r="Z717" i="2"/>
  <c r="Y717" i="2"/>
  <c r="S717" i="2"/>
  <c r="O717" i="2"/>
  <c r="AD717" i="2" s="1"/>
  <c r="AH717" i="2" s="1"/>
  <c r="N717" i="2"/>
  <c r="AB717" i="2" s="1"/>
  <c r="AF717" i="2" s="1"/>
  <c r="AD716" i="2"/>
  <c r="AH716" i="2" s="1"/>
  <c r="AC716" i="2"/>
  <c r="AG716" i="2" s="1"/>
  <c r="AB716" i="2"/>
  <c r="AF716" i="2" s="1"/>
  <c r="AA716" i="2"/>
  <c r="AE716" i="2" s="1"/>
  <c r="Z716" i="2"/>
  <c r="Y716" i="2"/>
  <c r="S716" i="2"/>
  <c r="O716" i="2"/>
  <c r="N716" i="2"/>
  <c r="AE715" i="2"/>
  <c r="AC715" i="2"/>
  <c r="AG715" i="2" s="1"/>
  <c r="AB715" i="2"/>
  <c r="AF715" i="2" s="1"/>
  <c r="AA715" i="2"/>
  <c r="Z715" i="2"/>
  <c r="Y715" i="2"/>
  <c r="S715" i="2"/>
  <c r="O715" i="2"/>
  <c r="AD715" i="2" s="1"/>
  <c r="AH715" i="2" s="1"/>
  <c r="N715" i="2"/>
  <c r="AH714" i="2"/>
  <c r="AF714" i="2"/>
  <c r="AE714" i="2"/>
  <c r="AD714" i="2"/>
  <c r="AB714" i="2"/>
  <c r="AA714" i="2"/>
  <c r="Z714" i="2"/>
  <c r="Y714" i="2"/>
  <c r="S714" i="2"/>
  <c r="O714" i="2"/>
  <c r="AC714" i="2" s="1"/>
  <c r="AG714" i="2" s="1"/>
  <c r="N714" i="2"/>
  <c r="AG713" i="2"/>
  <c r="AF713" i="2"/>
  <c r="AE713" i="2"/>
  <c r="AD713" i="2"/>
  <c r="AH713" i="2" s="1"/>
  <c r="AC713" i="2"/>
  <c r="AB713" i="2"/>
  <c r="AA713" i="2"/>
  <c r="Z713" i="2"/>
  <c r="Y713" i="2"/>
  <c r="S713" i="2"/>
  <c r="O713" i="2"/>
  <c r="N713" i="2"/>
  <c r="AH712" i="2"/>
  <c r="AD712" i="2"/>
  <c r="AB712" i="2"/>
  <c r="AF712" i="2" s="1"/>
  <c r="AA712" i="2"/>
  <c r="AE712" i="2" s="1"/>
  <c r="Z712" i="2"/>
  <c r="Y712" i="2"/>
  <c r="N34" i="1" s="1"/>
  <c r="Q34" i="1" s="1"/>
  <c r="R34" i="1" s="1"/>
  <c r="S712" i="2"/>
  <c r="O712" i="2"/>
  <c r="AC712" i="2" s="1"/>
  <c r="AG712" i="2" s="1"/>
  <c r="N712" i="2"/>
  <c r="AH711" i="2"/>
  <c r="AF711" i="2"/>
  <c r="AD711" i="2"/>
  <c r="AB711" i="2"/>
  <c r="AA711" i="2"/>
  <c r="AE711" i="2" s="1"/>
  <c r="Z711" i="2"/>
  <c r="Y711" i="2"/>
  <c r="S711" i="2"/>
  <c r="O711" i="2"/>
  <c r="AC711" i="2" s="1"/>
  <c r="AG711" i="2" s="1"/>
  <c r="N711" i="2"/>
  <c r="AG710" i="2"/>
  <c r="AE710" i="2"/>
  <c r="AD710" i="2"/>
  <c r="AH710" i="2" s="1"/>
  <c r="AC710" i="2"/>
  <c r="AA710" i="2"/>
  <c r="Z710" i="2"/>
  <c r="Y710" i="2"/>
  <c r="S710" i="2"/>
  <c r="O710" i="2"/>
  <c r="N710" i="2"/>
  <c r="AB710" i="2" s="1"/>
  <c r="AF710" i="2" s="1"/>
  <c r="AC709" i="2"/>
  <c r="AG709" i="2" s="1"/>
  <c r="AB709" i="2"/>
  <c r="AF709" i="2" s="1"/>
  <c r="AA709" i="2"/>
  <c r="AE709" i="2" s="1"/>
  <c r="Z709" i="2"/>
  <c r="Y709" i="2"/>
  <c r="S709" i="2"/>
  <c r="O709" i="2"/>
  <c r="AD709" i="2" s="1"/>
  <c r="AH709" i="2" s="1"/>
  <c r="N709" i="2"/>
  <c r="AH708" i="2"/>
  <c r="AF708" i="2"/>
  <c r="AE708" i="2"/>
  <c r="AD708" i="2"/>
  <c r="AB708" i="2"/>
  <c r="Z708" i="2"/>
  <c r="Y708" i="2"/>
  <c r="S708" i="2"/>
  <c r="O708" i="2"/>
  <c r="AC708" i="2" s="1"/>
  <c r="AG708" i="2" s="1"/>
  <c r="N708" i="2"/>
  <c r="AA708" i="2" s="1"/>
  <c r="AF707" i="2"/>
  <c r="AE707" i="2"/>
  <c r="AD707" i="2"/>
  <c r="AH707" i="2" s="1"/>
  <c r="AC707" i="2"/>
  <c r="AG707" i="2" s="1"/>
  <c r="AB707" i="2"/>
  <c r="AA707" i="2"/>
  <c r="Z707" i="2"/>
  <c r="Y707" i="2"/>
  <c r="S707" i="2"/>
  <c r="O707" i="2"/>
  <c r="N707" i="2"/>
  <c r="AF706" i="2"/>
  <c r="AE706" i="2"/>
  <c r="AD706" i="2"/>
  <c r="AH706" i="2" s="1"/>
  <c r="AC706" i="2"/>
  <c r="AG706" i="2" s="1"/>
  <c r="AB706" i="2"/>
  <c r="Z706" i="2"/>
  <c r="Y706" i="2"/>
  <c r="S706" i="2"/>
  <c r="O706" i="2"/>
  <c r="N706" i="2"/>
  <c r="AA706" i="2" s="1"/>
  <c r="AH705" i="2"/>
  <c r="AG705" i="2"/>
  <c r="AD705" i="2"/>
  <c r="AB705" i="2"/>
  <c r="AF705" i="2" s="1"/>
  <c r="Z705" i="2"/>
  <c r="Y705" i="2"/>
  <c r="S705" i="2"/>
  <c r="O705" i="2"/>
  <c r="AC705" i="2" s="1"/>
  <c r="N705" i="2"/>
  <c r="AA705" i="2" s="1"/>
  <c r="AE705" i="2" s="1"/>
  <c r="AG704" i="2"/>
  <c r="AD704" i="2"/>
  <c r="AH704" i="2" s="1"/>
  <c r="AC704" i="2"/>
  <c r="Z704" i="2"/>
  <c r="Y704" i="2"/>
  <c r="S704" i="2"/>
  <c r="O704" i="2"/>
  <c r="N704" i="2"/>
  <c r="AF703" i="2"/>
  <c r="AD703" i="2"/>
  <c r="AH703" i="2" s="1"/>
  <c r="AB703" i="2"/>
  <c r="Z703" i="2"/>
  <c r="Y703" i="2"/>
  <c r="S703" i="2"/>
  <c r="O703" i="2"/>
  <c r="AC703" i="2" s="1"/>
  <c r="AG703" i="2" s="1"/>
  <c r="N703" i="2"/>
  <c r="AA703" i="2" s="1"/>
  <c r="AE703" i="2" s="1"/>
  <c r="AE702" i="2"/>
  <c r="AC702" i="2"/>
  <c r="AG702" i="2" s="1"/>
  <c r="AB702" i="2"/>
  <c r="AF702" i="2" s="1"/>
  <c r="AA702" i="2"/>
  <c r="Z702" i="2"/>
  <c r="Y702" i="2"/>
  <c r="S702" i="2"/>
  <c r="O702" i="2"/>
  <c r="AD702" i="2" s="1"/>
  <c r="AH702" i="2" s="1"/>
  <c r="N702" i="2"/>
  <c r="AG701" i="2"/>
  <c r="AF701" i="2"/>
  <c r="AD701" i="2"/>
  <c r="AH701" i="2" s="1"/>
  <c r="AC701" i="2"/>
  <c r="AA701" i="2"/>
  <c r="AE701" i="2" s="1"/>
  <c r="Z701" i="2"/>
  <c r="Y701" i="2"/>
  <c r="S701" i="2"/>
  <c r="O701" i="2"/>
  <c r="N701" i="2"/>
  <c r="AB701" i="2" s="1"/>
  <c r="AG700" i="2"/>
  <c r="AF700" i="2"/>
  <c r="AE700" i="2"/>
  <c r="AD700" i="2"/>
  <c r="AH700" i="2" s="1"/>
  <c r="AC700" i="2"/>
  <c r="AA700" i="2"/>
  <c r="Z700" i="2"/>
  <c r="Y700" i="2"/>
  <c r="S700" i="2"/>
  <c r="O700" i="2"/>
  <c r="N700" i="2"/>
  <c r="AB700" i="2" s="1"/>
  <c r="AG699" i="2"/>
  <c r="AC699" i="2"/>
  <c r="AA699" i="2"/>
  <c r="AE699" i="2" s="1"/>
  <c r="Z699" i="2"/>
  <c r="Y699" i="2"/>
  <c r="S699" i="2"/>
  <c r="O699" i="2"/>
  <c r="AD699" i="2" s="1"/>
  <c r="AH699" i="2" s="1"/>
  <c r="N699" i="2"/>
  <c r="AB699" i="2" s="1"/>
  <c r="AF699" i="2" s="1"/>
  <c r="AH698" i="2"/>
  <c r="AG698" i="2"/>
  <c r="AD698" i="2"/>
  <c r="AC698" i="2"/>
  <c r="AA698" i="2"/>
  <c r="AE698" i="2" s="1"/>
  <c r="Z698" i="2"/>
  <c r="Y698" i="2"/>
  <c r="S698" i="2"/>
  <c r="O698" i="2"/>
  <c r="N698" i="2"/>
  <c r="AB698" i="2" s="1"/>
  <c r="AF698" i="2" s="1"/>
  <c r="AG697" i="2"/>
  <c r="AE697" i="2"/>
  <c r="AD697" i="2"/>
  <c r="AH697" i="2" s="1"/>
  <c r="AC697" i="2"/>
  <c r="AB697" i="2"/>
  <c r="AF697" i="2" s="1"/>
  <c r="Z697" i="2"/>
  <c r="Y697" i="2"/>
  <c r="S697" i="2"/>
  <c r="O697" i="2"/>
  <c r="N697" i="2"/>
  <c r="AA697" i="2" s="1"/>
  <c r="AH696" i="2"/>
  <c r="AG696" i="2"/>
  <c r="AE696" i="2"/>
  <c r="AC696" i="2"/>
  <c r="AB696" i="2"/>
  <c r="AF696" i="2" s="1"/>
  <c r="AA696" i="2"/>
  <c r="Z696" i="2"/>
  <c r="Y696" i="2"/>
  <c r="S696" i="2"/>
  <c r="O696" i="2"/>
  <c r="AD696" i="2" s="1"/>
  <c r="N696" i="2"/>
  <c r="AG695" i="2"/>
  <c r="AF695" i="2"/>
  <c r="AD695" i="2"/>
  <c r="AH695" i="2" s="1"/>
  <c r="AC695" i="2"/>
  <c r="AB695" i="2"/>
  <c r="AA695" i="2"/>
  <c r="AE695" i="2" s="1"/>
  <c r="Z695" i="2"/>
  <c r="Y695" i="2"/>
  <c r="S695" i="2"/>
  <c r="O695" i="2"/>
  <c r="N695" i="2"/>
  <c r="AH694" i="2"/>
  <c r="AG694" i="2"/>
  <c r="AF694" i="2"/>
  <c r="AE694" i="2"/>
  <c r="AC694" i="2"/>
  <c r="AB694" i="2"/>
  <c r="AA694" i="2"/>
  <c r="Z694" i="2"/>
  <c r="Y694" i="2"/>
  <c r="S694" i="2"/>
  <c r="O694" i="2"/>
  <c r="AD694" i="2" s="1"/>
  <c r="N694" i="2"/>
  <c r="AH693" i="2"/>
  <c r="AF693" i="2"/>
  <c r="AD693" i="2"/>
  <c r="AB693" i="2"/>
  <c r="AA693" i="2"/>
  <c r="AE693" i="2" s="1"/>
  <c r="Z693" i="2"/>
  <c r="Y693" i="2"/>
  <c r="S693" i="2"/>
  <c r="O693" i="2"/>
  <c r="AC693" i="2" s="1"/>
  <c r="AG693" i="2" s="1"/>
  <c r="N693" i="2"/>
  <c r="AG692" i="2"/>
  <c r="AD692" i="2"/>
  <c r="AH692" i="2" s="1"/>
  <c r="AC692" i="2"/>
  <c r="AA692" i="2"/>
  <c r="AE692" i="2" s="1"/>
  <c r="Z692" i="2"/>
  <c r="Y692" i="2"/>
  <c r="S692" i="2"/>
  <c r="O692" i="2"/>
  <c r="N692" i="2"/>
  <c r="AB692" i="2" s="1"/>
  <c r="AF692" i="2" s="1"/>
  <c r="AH691" i="2"/>
  <c r="AD691" i="2"/>
  <c r="AC691" i="2"/>
  <c r="AG691" i="2" s="1"/>
  <c r="AB691" i="2"/>
  <c r="AF691" i="2" s="1"/>
  <c r="AA691" i="2"/>
  <c r="AE691" i="2" s="1"/>
  <c r="Z691" i="2"/>
  <c r="Y691" i="2"/>
  <c r="S691" i="2"/>
  <c r="O691" i="2"/>
  <c r="N691" i="2"/>
  <c r="AE690" i="2"/>
  <c r="AC690" i="2"/>
  <c r="AG690" i="2" s="1"/>
  <c r="AA690" i="2"/>
  <c r="Z690" i="2"/>
  <c r="Y690" i="2"/>
  <c r="S690" i="2"/>
  <c r="O690" i="2"/>
  <c r="AD690" i="2" s="1"/>
  <c r="AH690" i="2" s="1"/>
  <c r="N690" i="2"/>
  <c r="AB690" i="2" s="1"/>
  <c r="AF690" i="2" s="1"/>
  <c r="AH689" i="2"/>
  <c r="AG689" i="2"/>
  <c r="AF689" i="2"/>
  <c r="AE689" i="2"/>
  <c r="AD689" i="2"/>
  <c r="AC689" i="2"/>
  <c r="AB689" i="2"/>
  <c r="AA689" i="2"/>
  <c r="Z689" i="2"/>
  <c r="Y689" i="2"/>
  <c r="S689" i="2"/>
  <c r="O689" i="2"/>
  <c r="N689" i="2"/>
  <c r="AE688" i="2"/>
  <c r="AD688" i="2"/>
  <c r="AH688" i="2" s="1"/>
  <c r="AC688" i="2"/>
  <c r="AG688" i="2" s="1"/>
  <c r="AB688" i="2"/>
  <c r="AF688" i="2" s="1"/>
  <c r="AA688" i="2"/>
  <c r="Z688" i="2"/>
  <c r="Y688" i="2"/>
  <c r="S688" i="2"/>
  <c r="O688" i="2"/>
  <c r="N688" i="2"/>
  <c r="AC687" i="2"/>
  <c r="AG687" i="2" s="1"/>
  <c r="Z687" i="2"/>
  <c r="Y687" i="2"/>
  <c r="S687" i="2"/>
  <c r="O687" i="2"/>
  <c r="AD687" i="2" s="1"/>
  <c r="AH687" i="2" s="1"/>
  <c r="N687" i="2"/>
  <c r="AH686" i="2"/>
  <c r="AC686" i="2"/>
  <c r="AG686" i="2" s="1"/>
  <c r="AB686" i="2"/>
  <c r="AF686" i="2" s="1"/>
  <c r="AA686" i="2"/>
  <c r="AE686" i="2" s="1"/>
  <c r="Z686" i="2"/>
  <c r="Y686" i="2"/>
  <c r="S686" i="2"/>
  <c r="O686" i="2"/>
  <c r="AD686" i="2" s="1"/>
  <c r="N686" i="2"/>
  <c r="AC685" i="2"/>
  <c r="AG685" i="2" s="1"/>
  <c r="AA685" i="2"/>
  <c r="AE685" i="2" s="1"/>
  <c r="Z685" i="2"/>
  <c r="Y685" i="2"/>
  <c r="S685" i="2"/>
  <c r="O685" i="2"/>
  <c r="AD685" i="2" s="1"/>
  <c r="AH685" i="2" s="1"/>
  <c r="N685" i="2"/>
  <c r="AB685" i="2" s="1"/>
  <c r="AF685" i="2" s="1"/>
  <c r="AF684" i="2"/>
  <c r="AC684" i="2"/>
  <c r="AG684" i="2" s="1"/>
  <c r="AA684" i="2"/>
  <c r="AE684" i="2" s="1"/>
  <c r="Z684" i="2"/>
  <c r="Y684" i="2"/>
  <c r="S684" i="2"/>
  <c r="O684" i="2"/>
  <c r="AD684" i="2" s="1"/>
  <c r="AH684" i="2" s="1"/>
  <c r="N684" i="2"/>
  <c r="AB684" i="2" s="1"/>
  <c r="AG683" i="2"/>
  <c r="AF683" i="2"/>
  <c r="AD683" i="2"/>
  <c r="AH683" i="2" s="1"/>
  <c r="AB683" i="2"/>
  <c r="AA683" i="2"/>
  <c r="AE683" i="2" s="1"/>
  <c r="Z683" i="2"/>
  <c r="Y683" i="2"/>
  <c r="S683" i="2"/>
  <c r="O683" i="2"/>
  <c r="AC683" i="2" s="1"/>
  <c r="N683" i="2"/>
  <c r="AG682" i="2"/>
  <c r="AF682" i="2"/>
  <c r="AE682" i="2"/>
  <c r="AD682" i="2"/>
  <c r="AH682" i="2" s="1"/>
  <c r="AC682" i="2"/>
  <c r="AA682" i="2"/>
  <c r="Z682" i="2"/>
  <c r="Y682" i="2"/>
  <c r="S682" i="2"/>
  <c r="O682" i="2"/>
  <c r="N682" i="2"/>
  <c r="AB682" i="2" s="1"/>
  <c r="AG681" i="2"/>
  <c r="AD681" i="2"/>
  <c r="AH681" i="2" s="1"/>
  <c r="AB681" i="2"/>
  <c r="AF681" i="2" s="1"/>
  <c r="AA681" i="2"/>
  <c r="AE681" i="2" s="1"/>
  <c r="Z681" i="2"/>
  <c r="Y681" i="2"/>
  <c r="S681" i="2"/>
  <c r="O681" i="2"/>
  <c r="AC681" i="2" s="1"/>
  <c r="N681" i="2"/>
  <c r="AH680" i="2"/>
  <c r="AG680" i="2"/>
  <c r="AC680" i="2"/>
  <c r="AB680" i="2"/>
  <c r="AF680" i="2" s="1"/>
  <c r="AA680" i="2"/>
  <c r="AE680" i="2" s="1"/>
  <c r="Z680" i="2"/>
  <c r="Y680" i="2"/>
  <c r="S680" i="2"/>
  <c r="O680" i="2"/>
  <c r="AD680" i="2" s="1"/>
  <c r="N680" i="2"/>
  <c r="AH679" i="2"/>
  <c r="AE679" i="2"/>
  <c r="AD679" i="2"/>
  <c r="AC679" i="2"/>
  <c r="AG679" i="2" s="1"/>
  <c r="AB679" i="2"/>
  <c r="AF679" i="2" s="1"/>
  <c r="AA679" i="2"/>
  <c r="Z679" i="2"/>
  <c r="Y679" i="2"/>
  <c r="S679" i="2"/>
  <c r="O679" i="2"/>
  <c r="N679" i="2"/>
  <c r="AG678" i="2"/>
  <c r="AE678" i="2"/>
  <c r="AC678" i="2"/>
  <c r="AB678" i="2"/>
  <c r="AF678" i="2" s="1"/>
  <c r="AA678" i="2"/>
  <c r="Z678" i="2"/>
  <c r="Y678" i="2"/>
  <c r="S678" i="2"/>
  <c r="O678" i="2"/>
  <c r="AD678" i="2" s="1"/>
  <c r="AH678" i="2" s="1"/>
  <c r="N678" i="2"/>
  <c r="AF677" i="2"/>
  <c r="AD677" i="2"/>
  <c r="AH677" i="2" s="1"/>
  <c r="AC677" i="2"/>
  <c r="AG677" i="2" s="1"/>
  <c r="AB677" i="2"/>
  <c r="AA677" i="2"/>
  <c r="AE677" i="2" s="1"/>
  <c r="Z677" i="2"/>
  <c r="Y677" i="2"/>
  <c r="S677" i="2"/>
  <c r="O677" i="2"/>
  <c r="N677" i="2"/>
  <c r="AH676" i="2"/>
  <c r="AG676" i="2"/>
  <c r="AC676" i="2"/>
  <c r="AB676" i="2"/>
  <c r="AF676" i="2" s="1"/>
  <c r="AA676" i="2"/>
  <c r="AE676" i="2" s="1"/>
  <c r="Z676" i="2"/>
  <c r="Y676" i="2"/>
  <c r="S676" i="2"/>
  <c r="O676" i="2"/>
  <c r="AD676" i="2" s="1"/>
  <c r="N676" i="2"/>
  <c r="AC675" i="2"/>
  <c r="AG675" i="2" s="1"/>
  <c r="AB675" i="2"/>
  <c r="AF675" i="2" s="1"/>
  <c r="AA675" i="2"/>
  <c r="AE675" i="2" s="1"/>
  <c r="Z675" i="2"/>
  <c r="Y675" i="2"/>
  <c r="S675" i="2"/>
  <c r="O675" i="2"/>
  <c r="AD675" i="2" s="1"/>
  <c r="AH675" i="2" s="1"/>
  <c r="N675" i="2"/>
  <c r="AG674" i="2"/>
  <c r="AE674" i="2"/>
  <c r="AC674" i="2"/>
  <c r="AB674" i="2"/>
  <c r="AF674" i="2" s="1"/>
  <c r="AA674" i="2"/>
  <c r="Z674" i="2"/>
  <c r="Y674" i="2"/>
  <c r="S674" i="2"/>
  <c r="O674" i="2"/>
  <c r="AD674" i="2" s="1"/>
  <c r="AH674" i="2" s="1"/>
  <c r="N674" i="2"/>
  <c r="AE673" i="2"/>
  <c r="AD673" i="2"/>
  <c r="AH673" i="2" s="1"/>
  <c r="AC673" i="2"/>
  <c r="AG673" i="2" s="1"/>
  <c r="AB673" i="2"/>
  <c r="AF673" i="2" s="1"/>
  <c r="AA673" i="2"/>
  <c r="Z673" i="2"/>
  <c r="Y673" i="2"/>
  <c r="S673" i="2"/>
  <c r="O673" i="2"/>
  <c r="N673" i="2"/>
  <c r="AH672" i="2"/>
  <c r="AF672" i="2"/>
  <c r="AD672" i="2"/>
  <c r="AB672" i="2"/>
  <c r="Z672" i="2"/>
  <c r="Y672" i="2"/>
  <c r="S672" i="2"/>
  <c r="O672" i="2"/>
  <c r="AC672" i="2" s="1"/>
  <c r="AG672" i="2" s="1"/>
  <c r="N672" i="2"/>
  <c r="AA672" i="2" s="1"/>
  <c r="AE672" i="2" s="1"/>
  <c r="AH671" i="2"/>
  <c r="AF671" i="2"/>
  <c r="AD671" i="2"/>
  <c r="AC671" i="2"/>
  <c r="AG671" i="2" s="1"/>
  <c r="AB671" i="2"/>
  <c r="AA671" i="2"/>
  <c r="AE671" i="2" s="1"/>
  <c r="Z671" i="2"/>
  <c r="Y671" i="2"/>
  <c r="S671" i="2"/>
  <c r="O671" i="2"/>
  <c r="N671" i="2"/>
  <c r="AF670" i="2"/>
  <c r="AE670" i="2"/>
  <c r="AD670" i="2"/>
  <c r="AH670" i="2" s="1"/>
  <c r="AC670" i="2"/>
  <c r="AG670" i="2" s="1"/>
  <c r="AB670" i="2"/>
  <c r="AA670" i="2"/>
  <c r="Z670" i="2"/>
  <c r="Y670" i="2"/>
  <c r="S670" i="2"/>
  <c r="O670" i="2"/>
  <c r="N670" i="2"/>
  <c r="AC669" i="2"/>
  <c r="AG669" i="2" s="1"/>
  <c r="AA669" i="2"/>
  <c r="AE669" i="2" s="1"/>
  <c r="Z669" i="2"/>
  <c r="Y669" i="2"/>
  <c r="S669" i="2"/>
  <c r="O669" i="2"/>
  <c r="AD669" i="2" s="1"/>
  <c r="AH669" i="2" s="1"/>
  <c r="N669" i="2"/>
  <c r="AB669" i="2" s="1"/>
  <c r="AF669" i="2" s="1"/>
  <c r="AH668" i="2"/>
  <c r="AG668" i="2"/>
  <c r="AD668" i="2"/>
  <c r="AC668" i="2"/>
  <c r="AA668" i="2"/>
  <c r="AE668" i="2" s="1"/>
  <c r="Z668" i="2"/>
  <c r="Y668" i="2"/>
  <c r="S668" i="2"/>
  <c r="O668" i="2"/>
  <c r="N668" i="2"/>
  <c r="AB668" i="2" s="1"/>
  <c r="AF668" i="2" s="1"/>
  <c r="AC667" i="2"/>
  <c r="AG667" i="2" s="1"/>
  <c r="AB667" i="2"/>
  <c r="AF667" i="2" s="1"/>
  <c r="AA667" i="2"/>
  <c r="AE667" i="2" s="1"/>
  <c r="Z667" i="2"/>
  <c r="Y667" i="2"/>
  <c r="S667" i="2"/>
  <c r="O667" i="2"/>
  <c r="AD667" i="2" s="1"/>
  <c r="AH667" i="2" s="1"/>
  <c r="N667" i="2"/>
  <c r="AD666" i="2"/>
  <c r="AH666" i="2" s="1"/>
  <c r="AC666" i="2"/>
  <c r="AG666" i="2" s="1"/>
  <c r="AA666" i="2"/>
  <c r="AE666" i="2" s="1"/>
  <c r="Z666" i="2"/>
  <c r="Y666" i="2"/>
  <c r="S666" i="2"/>
  <c r="O666" i="2"/>
  <c r="N666" i="2"/>
  <c r="AB666" i="2" s="1"/>
  <c r="AF666" i="2" s="1"/>
  <c r="AG665" i="2"/>
  <c r="AF665" i="2"/>
  <c r="AD665" i="2"/>
  <c r="AH665" i="2" s="1"/>
  <c r="AC665" i="2"/>
  <c r="AA665" i="2"/>
  <c r="AE665" i="2" s="1"/>
  <c r="Z665" i="2"/>
  <c r="Y665" i="2"/>
  <c r="S665" i="2"/>
  <c r="O665" i="2"/>
  <c r="N665" i="2"/>
  <c r="AB665" i="2" s="1"/>
  <c r="AH664" i="2"/>
  <c r="AG664" i="2"/>
  <c r="AF664" i="2"/>
  <c r="AE664" i="2"/>
  <c r="AD664" i="2"/>
  <c r="AC664" i="2"/>
  <c r="AB664" i="2"/>
  <c r="Z664" i="2"/>
  <c r="Y664" i="2"/>
  <c r="S664" i="2"/>
  <c r="O664" i="2"/>
  <c r="N664" i="2"/>
  <c r="AA664" i="2" s="1"/>
  <c r="AD663" i="2"/>
  <c r="AH663" i="2" s="1"/>
  <c r="AC663" i="2"/>
  <c r="AG663" i="2" s="1"/>
  <c r="AB663" i="2"/>
  <c r="AF663" i="2" s="1"/>
  <c r="AA663" i="2"/>
  <c r="AE663" i="2" s="1"/>
  <c r="Z663" i="2"/>
  <c r="Y663" i="2"/>
  <c r="S663" i="2"/>
  <c r="O663" i="2"/>
  <c r="N663" i="2"/>
  <c r="AB662" i="2"/>
  <c r="AF662" i="2" s="1"/>
  <c r="AA662" i="2"/>
  <c r="AE662" i="2" s="1"/>
  <c r="Z662" i="2"/>
  <c r="Y662" i="2"/>
  <c r="S662" i="2"/>
  <c r="O662" i="2"/>
  <c r="N662" i="2"/>
  <c r="AH661" i="2"/>
  <c r="AE661" i="2"/>
  <c r="AD661" i="2"/>
  <c r="AB661" i="2"/>
  <c r="AF661" i="2" s="1"/>
  <c r="Z661" i="2"/>
  <c r="Y661" i="2"/>
  <c r="S661" i="2"/>
  <c r="O661" i="2"/>
  <c r="AC661" i="2" s="1"/>
  <c r="AG661" i="2" s="1"/>
  <c r="N661" i="2"/>
  <c r="AA661" i="2" s="1"/>
  <c r="AG660" i="2"/>
  <c r="AE660" i="2"/>
  <c r="AD660" i="2"/>
  <c r="AH660" i="2" s="1"/>
  <c r="AC660" i="2"/>
  <c r="AB660" i="2"/>
  <c r="AF660" i="2" s="1"/>
  <c r="AA660" i="2"/>
  <c r="Z660" i="2"/>
  <c r="Y660" i="2"/>
  <c r="S660" i="2"/>
  <c r="O660" i="2"/>
  <c r="N660" i="2"/>
  <c r="AB659" i="2"/>
  <c r="AF659" i="2" s="1"/>
  <c r="AA659" i="2"/>
  <c r="AE659" i="2" s="1"/>
  <c r="Z659" i="2"/>
  <c r="Y659" i="2"/>
  <c r="S659" i="2"/>
  <c r="O659" i="2"/>
  <c r="N659" i="2"/>
  <c r="AH658" i="2"/>
  <c r="AG658" i="2"/>
  <c r="AE658" i="2"/>
  <c r="AC658" i="2"/>
  <c r="AA658" i="2"/>
  <c r="Z658" i="2"/>
  <c r="Y658" i="2"/>
  <c r="S658" i="2"/>
  <c r="O658" i="2"/>
  <c r="AD658" i="2" s="1"/>
  <c r="N658" i="2"/>
  <c r="AB658" i="2" s="1"/>
  <c r="AF658" i="2" s="1"/>
  <c r="AC657" i="2"/>
  <c r="AG657" i="2" s="1"/>
  <c r="AB657" i="2"/>
  <c r="AF657" i="2" s="1"/>
  <c r="AA657" i="2"/>
  <c r="AE657" i="2" s="1"/>
  <c r="Z657" i="2"/>
  <c r="Y657" i="2"/>
  <c r="S657" i="2"/>
  <c r="O657" i="2"/>
  <c r="AD657" i="2" s="1"/>
  <c r="AH657" i="2" s="1"/>
  <c r="N657" i="2"/>
  <c r="AE656" i="2"/>
  <c r="AC656" i="2"/>
  <c r="AG656" i="2" s="1"/>
  <c r="AA656" i="2"/>
  <c r="Z656" i="2"/>
  <c r="Y656" i="2"/>
  <c r="S656" i="2"/>
  <c r="O656" i="2"/>
  <c r="AD656" i="2" s="1"/>
  <c r="AH656" i="2" s="1"/>
  <c r="N656" i="2"/>
  <c r="AB656" i="2" s="1"/>
  <c r="AF656" i="2" s="1"/>
  <c r="AE655" i="2"/>
  <c r="AD655" i="2"/>
  <c r="AH655" i="2" s="1"/>
  <c r="AC655" i="2"/>
  <c r="AG655" i="2" s="1"/>
  <c r="AB655" i="2"/>
  <c r="AF655" i="2" s="1"/>
  <c r="AA655" i="2"/>
  <c r="Z655" i="2"/>
  <c r="Y655" i="2"/>
  <c r="S655" i="2"/>
  <c r="O655" i="2"/>
  <c r="N655" i="2"/>
  <c r="AF654" i="2"/>
  <c r="AD654" i="2"/>
  <c r="AH654" i="2" s="1"/>
  <c r="AB654" i="2"/>
  <c r="Z654" i="2"/>
  <c r="Y654" i="2"/>
  <c r="S654" i="2"/>
  <c r="O654" i="2"/>
  <c r="AC654" i="2" s="1"/>
  <c r="AG654" i="2" s="1"/>
  <c r="N654" i="2"/>
  <c r="AA654" i="2" s="1"/>
  <c r="AE654" i="2" s="1"/>
  <c r="AH653" i="2"/>
  <c r="AG653" i="2"/>
  <c r="AF653" i="2"/>
  <c r="AD653" i="2"/>
  <c r="AC653" i="2"/>
  <c r="AB653" i="2"/>
  <c r="AA653" i="2"/>
  <c r="AE653" i="2" s="1"/>
  <c r="Z653" i="2"/>
  <c r="Y653" i="2"/>
  <c r="S653" i="2"/>
  <c r="O653" i="2"/>
  <c r="N653" i="2"/>
  <c r="AE652" i="2"/>
  <c r="AD652" i="2"/>
  <c r="AH652" i="2" s="1"/>
  <c r="AC652" i="2"/>
  <c r="AG652" i="2" s="1"/>
  <c r="AB652" i="2"/>
  <c r="AF652" i="2" s="1"/>
  <c r="Z652" i="2"/>
  <c r="Y652" i="2"/>
  <c r="S652" i="2"/>
  <c r="O652" i="2"/>
  <c r="N652" i="2"/>
  <c r="AA652" i="2" s="1"/>
  <c r="AC651" i="2"/>
  <c r="AG651" i="2" s="1"/>
  <c r="AA651" i="2"/>
  <c r="AE651" i="2" s="1"/>
  <c r="Z651" i="2"/>
  <c r="Y651" i="2"/>
  <c r="S651" i="2"/>
  <c r="O651" i="2"/>
  <c r="AD651" i="2" s="1"/>
  <c r="AH651" i="2" s="1"/>
  <c r="N651" i="2"/>
  <c r="AB651" i="2" s="1"/>
  <c r="AF651" i="2" s="1"/>
  <c r="AG650" i="2"/>
  <c r="AD650" i="2"/>
  <c r="AH650" i="2" s="1"/>
  <c r="AC650" i="2"/>
  <c r="AB650" i="2"/>
  <c r="AF650" i="2" s="1"/>
  <c r="AA650" i="2"/>
  <c r="AE650" i="2" s="1"/>
  <c r="Z650" i="2"/>
  <c r="Y650" i="2"/>
  <c r="S650" i="2"/>
  <c r="O650" i="2"/>
  <c r="N650" i="2"/>
  <c r="AE649" i="2"/>
  <c r="AD649" i="2"/>
  <c r="AH649" i="2" s="1"/>
  <c r="AB649" i="2"/>
  <c r="AF649" i="2" s="1"/>
  <c r="Z649" i="2"/>
  <c r="Y649" i="2"/>
  <c r="S649" i="2"/>
  <c r="O649" i="2"/>
  <c r="AC649" i="2" s="1"/>
  <c r="AG649" i="2" s="1"/>
  <c r="N649" i="2"/>
  <c r="AA649" i="2" s="1"/>
  <c r="AC648" i="2"/>
  <c r="AG648" i="2" s="1"/>
  <c r="AB648" i="2"/>
  <c r="AF648" i="2" s="1"/>
  <c r="AA648" i="2"/>
  <c r="AE648" i="2" s="1"/>
  <c r="Z648" i="2"/>
  <c r="Y648" i="2"/>
  <c r="S648" i="2"/>
  <c r="O648" i="2"/>
  <c r="AD648" i="2" s="1"/>
  <c r="AH648" i="2" s="1"/>
  <c r="N648" i="2"/>
  <c r="AG647" i="2"/>
  <c r="AF647" i="2"/>
  <c r="AC647" i="2"/>
  <c r="AA647" i="2"/>
  <c r="AE647" i="2" s="1"/>
  <c r="Z647" i="2"/>
  <c r="Y647" i="2"/>
  <c r="S647" i="2"/>
  <c r="O647" i="2"/>
  <c r="AD647" i="2" s="1"/>
  <c r="AH647" i="2" s="1"/>
  <c r="N647" i="2"/>
  <c r="AB647" i="2" s="1"/>
  <c r="AH646" i="2"/>
  <c r="AG646" i="2"/>
  <c r="AD646" i="2"/>
  <c r="AC646" i="2"/>
  <c r="AB646" i="2"/>
  <c r="AF646" i="2" s="1"/>
  <c r="AA646" i="2"/>
  <c r="AE646" i="2" s="1"/>
  <c r="Z646" i="2"/>
  <c r="Y646" i="2"/>
  <c r="S646" i="2"/>
  <c r="O646" i="2"/>
  <c r="N646" i="2"/>
  <c r="AH645" i="2"/>
  <c r="AE645" i="2"/>
  <c r="AD645" i="2"/>
  <c r="AC645" i="2"/>
  <c r="AG645" i="2" s="1"/>
  <c r="AA645" i="2"/>
  <c r="Z645" i="2"/>
  <c r="Y645" i="2"/>
  <c r="S645" i="2"/>
  <c r="O645" i="2"/>
  <c r="N645" i="2"/>
  <c r="AB645" i="2" s="1"/>
  <c r="AF645" i="2" s="1"/>
  <c r="AD644" i="2"/>
  <c r="AH644" i="2" s="1"/>
  <c r="AC644" i="2"/>
  <c r="AG644" i="2" s="1"/>
  <c r="AA644" i="2"/>
  <c r="AE644" i="2" s="1"/>
  <c r="Z644" i="2"/>
  <c r="Y644" i="2"/>
  <c r="S644" i="2"/>
  <c r="O644" i="2"/>
  <c r="N644" i="2"/>
  <c r="AB644" i="2" s="1"/>
  <c r="AF644" i="2" s="1"/>
  <c r="AE643" i="2"/>
  <c r="AC643" i="2"/>
  <c r="AG643" i="2" s="1"/>
  <c r="AA643" i="2"/>
  <c r="Z643" i="2"/>
  <c r="Y643" i="2"/>
  <c r="S643" i="2"/>
  <c r="O643" i="2"/>
  <c r="AD643" i="2" s="1"/>
  <c r="AH643" i="2" s="1"/>
  <c r="N643" i="2"/>
  <c r="AB643" i="2" s="1"/>
  <c r="AF643" i="2" s="1"/>
  <c r="AH642" i="2"/>
  <c r="AE642" i="2"/>
  <c r="AD642" i="2"/>
  <c r="AC642" i="2"/>
  <c r="AG642" i="2" s="1"/>
  <c r="AB642" i="2"/>
  <c r="AF642" i="2" s="1"/>
  <c r="AA642" i="2"/>
  <c r="Z642" i="2"/>
  <c r="Y642" i="2"/>
  <c r="S642" i="2"/>
  <c r="O642" i="2"/>
  <c r="N642" i="2"/>
  <c r="AE641" i="2"/>
  <c r="AC641" i="2"/>
  <c r="AG641" i="2" s="1"/>
  <c r="AB641" i="2"/>
  <c r="AF641" i="2" s="1"/>
  <c r="AA641" i="2"/>
  <c r="Z641" i="2"/>
  <c r="Y641" i="2"/>
  <c r="S641" i="2"/>
  <c r="O641" i="2"/>
  <c r="AD641" i="2" s="1"/>
  <c r="AH641" i="2" s="1"/>
  <c r="N641" i="2"/>
  <c r="AH640" i="2"/>
  <c r="AG640" i="2"/>
  <c r="AF640" i="2"/>
  <c r="AC640" i="2"/>
  <c r="AA640" i="2"/>
  <c r="AE640" i="2" s="1"/>
  <c r="Z640" i="2"/>
  <c r="Y640" i="2"/>
  <c r="S640" i="2"/>
  <c r="O640" i="2"/>
  <c r="AD640" i="2" s="1"/>
  <c r="N640" i="2"/>
  <c r="AB640" i="2" s="1"/>
  <c r="AF639" i="2"/>
  <c r="AC639" i="2"/>
  <c r="AG639" i="2" s="1"/>
  <c r="AB639" i="2"/>
  <c r="AA639" i="2"/>
  <c r="AE639" i="2" s="1"/>
  <c r="Z639" i="2"/>
  <c r="Y639" i="2"/>
  <c r="S639" i="2"/>
  <c r="O639" i="2"/>
  <c r="AD639" i="2" s="1"/>
  <c r="AH639" i="2" s="1"/>
  <c r="N639" i="2"/>
  <c r="AH638" i="2"/>
  <c r="AF638" i="2"/>
  <c r="AD638" i="2"/>
  <c r="AB638" i="2"/>
  <c r="Z638" i="2"/>
  <c r="Y638" i="2"/>
  <c r="S638" i="2"/>
  <c r="O638" i="2"/>
  <c r="AC638" i="2" s="1"/>
  <c r="AG638" i="2" s="1"/>
  <c r="N638" i="2"/>
  <c r="AA638" i="2" s="1"/>
  <c r="AE638" i="2" s="1"/>
  <c r="AH637" i="2"/>
  <c r="AE637" i="2"/>
  <c r="AD637" i="2"/>
  <c r="AC637" i="2"/>
  <c r="AG637" i="2" s="1"/>
  <c r="AB637" i="2"/>
  <c r="AF637" i="2" s="1"/>
  <c r="AA637" i="2"/>
  <c r="Z637" i="2"/>
  <c r="Y637" i="2"/>
  <c r="S637" i="2"/>
  <c r="O637" i="2"/>
  <c r="N637" i="2"/>
  <c r="AE636" i="2"/>
  <c r="AC636" i="2"/>
  <c r="AG636" i="2" s="1"/>
  <c r="AA636" i="2"/>
  <c r="Z636" i="2"/>
  <c r="Y636" i="2"/>
  <c r="S636" i="2"/>
  <c r="O636" i="2"/>
  <c r="AD636" i="2" s="1"/>
  <c r="AH636" i="2" s="1"/>
  <c r="N636" i="2"/>
  <c r="AB636" i="2" s="1"/>
  <c r="AF636" i="2" s="1"/>
  <c r="AH635" i="2"/>
  <c r="AG635" i="2"/>
  <c r="AF635" i="2"/>
  <c r="AE635" i="2"/>
  <c r="AD635" i="2"/>
  <c r="AC635" i="2"/>
  <c r="AB635" i="2"/>
  <c r="AA635" i="2"/>
  <c r="Z635" i="2"/>
  <c r="Y635" i="2"/>
  <c r="S635" i="2"/>
  <c r="O635" i="2"/>
  <c r="N635" i="2"/>
  <c r="AF634" i="2"/>
  <c r="AE634" i="2"/>
  <c r="AD634" i="2"/>
  <c r="AH634" i="2" s="1"/>
  <c r="AC634" i="2"/>
  <c r="AG634" i="2" s="1"/>
  <c r="AB634" i="2"/>
  <c r="AA634" i="2"/>
  <c r="Z634" i="2"/>
  <c r="Y634" i="2"/>
  <c r="S634" i="2"/>
  <c r="O634" i="2"/>
  <c r="N634" i="2"/>
  <c r="AC633" i="2"/>
  <c r="AG633" i="2" s="1"/>
  <c r="AA633" i="2"/>
  <c r="AE633" i="2" s="1"/>
  <c r="Z633" i="2"/>
  <c r="Y633" i="2"/>
  <c r="S633" i="2"/>
  <c r="O633" i="2"/>
  <c r="AD633" i="2" s="1"/>
  <c r="AH633" i="2" s="1"/>
  <c r="N633" i="2"/>
  <c r="AB633" i="2" s="1"/>
  <c r="AF633" i="2" s="1"/>
  <c r="AD632" i="2"/>
  <c r="AH632" i="2" s="1"/>
  <c r="AC632" i="2"/>
  <c r="AG632" i="2" s="1"/>
  <c r="AA632" i="2"/>
  <c r="AE632" i="2" s="1"/>
  <c r="Z632" i="2"/>
  <c r="Y632" i="2"/>
  <c r="S632" i="2"/>
  <c r="O632" i="2"/>
  <c r="N632" i="2"/>
  <c r="AB632" i="2" s="1"/>
  <c r="AF632" i="2" s="1"/>
  <c r="AF631" i="2"/>
  <c r="AE631" i="2"/>
  <c r="AD631" i="2"/>
  <c r="AH631" i="2" s="1"/>
  <c r="AC631" i="2"/>
  <c r="AG631" i="2" s="1"/>
  <c r="AB631" i="2"/>
  <c r="AA631" i="2"/>
  <c r="Z631" i="2"/>
  <c r="Y631" i="2"/>
  <c r="S631" i="2"/>
  <c r="O631" i="2"/>
  <c r="N631" i="2"/>
  <c r="AE630" i="2"/>
  <c r="AC630" i="2"/>
  <c r="AG630" i="2" s="1"/>
  <c r="AA630" i="2"/>
  <c r="Z630" i="2"/>
  <c r="Y630" i="2"/>
  <c r="S630" i="2"/>
  <c r="O630" i="2"/>
  <c r="AD630" i="2" s="1"/>
  <c r="AH630" i="2" s="1"/>
  <c r="N630" i="2"/>
  <c r="AB630" i="2" s="1"/>
  <c r="AF630" i="2" s="1"/>
  <c r="AG629" i="2"/>
  <c r="AD629" i="2"/>
  <c r="AH629" i="2" s="1"/>
  <c r="AC629" i="2"/>
  <c r="AA629" i="2"/>
  <c r="AE629" i="2" s="1"/>
  <c r="Z629" i="2"/>
  <c r="Y629" i="2"/>
  <c r="S629" i="2"/>
  <c r="O629" i="2"/>
  <c r="N629" i="2"/>
  <c r="AB629" i="2" s="1"/>
  <c r="AF629" i="2" s="1"/>
  <c r="AG628" i="2"/>
  <c r="AD628" i="2"/>
  <c r="AH628" i="2" s="1"/>
  <c r="AC628" i="2"/>
  <c r="AB628" i="2"/>
  <c r="AF628" i="2" s="1"/>
  <c r="AA628" i="2"/>
  <c r="AE628" i="2" s="1"/>
  <c r="Z628" i="2"/>
  <c r="Y628" i="2"/>
  <c r="S628" i="2"/>
  <c r="O628" i="2"/>
  <c r="N628" i="2"/>
  <c r="AF627" i="2"/>
  <c r="AE627" i="2"/>
  <c r="AC627" i="2"/>
  <c r="AG627" i="2" s="1"/>
  <c r="AA627" i="2"/>
  <c r="Z627" i="2"/>
  <c r="Y627" i="2"/>
  <c r="S627" i="2"/>
  <c r="O627" i="2"/>
  <c r="AD627" i="2" s="1"/>
  <c r="AH627" i="2" s="1"/>
  <c r="N627" i="2"/>
  <c r="AB627" i="2" s="1"/>
  <c r="AG626" i="2"/>
  <c r="AD626" i="2"/>
  <c r="AH626" i="2" s="1"/>
  <c r="AC626" i="2"/>
  <c r="AB626" i="2"/>
  <c r="AF626" i="2" s="1"/>
  <c r="AA626" i="2"/>
  <c r="AE626" i="2" s="1"/>
  <c r="Z626" i="2"/>
  <c r="Y626" i="2"/>
  <c r="S626" i="2"/>
  <c r="O626" i="2"/>
  <c r="N626" i="2"/>
  <c r="AE625" i="2"/>
  <c r="AC625" i="2"/>
  <c r="AG625" i="2" s="1"/>
  <c r="AA625" i="2"/>
  <c r="Z625" i="2"/>
  <c r="Y625" i="2"/>
  <c r="S625" i="2"/>
  <c r="O625" i="2"/>
  <c r="AD625" i="2" s="1"/>
  <c r="AH625" i="2" s="1"/>
  <c r="N625" i="2"/>
  <c r="AB625" i="2" s="1"/>
  <c r="AF625" i="2" s="1"/>
  <c r="AF624" i="2"/>
  <c r="AE624" i="2"/>
  <c r="AD624" i="2"/>
  <c r="AH624" i="2" s="1"/>
  <c r="AC624" i="2"/>
  <c r="AG624" i="2" s="1"/>
  <c r="AB624" i="2"/>
  <c r="AA624" i="2"/>
  <c r="Z624" i="2"/>
  <c r="Y624" i="2"/>
  <c r="S624" i="2"/>
  <c r="O624" i="2"/>
  <c r="N624" i="2"/>
  <c r="AF623" i="2"/>
  <c r="AE623" i="2"/>
  <c r="AD623" i="2"/>
  <c r="AH623" i="2" s="1"/>
  <c r="AC623" i="2"/>
  <c r="AG623" i="2" s="1"/>
  <c r="AB623" i="2"/>
  <c r="AA623" i="2"/>
  <c r="Z623" i="2"/>
  <c r="Y623" i="2"/>
  <c r="S623" i="2"/>
  <c r="O623" i="2"/>
  <c r="N623" i="2"/>
  <c r="Z622" i="2"/>
  <c r="Y622" i="2"/>
  <c r="S622" i="2"/>
  <c r="O622" i="2"/>
  <c r="N622" i="2"/>
  <c r="AE621" i="2"/>
  <c r="AC621" i="2"/>
  <c r="AG621" i="2" s="1"/>
  <c r="AA621" i="2"/>
  <c r="Z621" i="2"/>
  <c r="Y621" i="2"/>
  <c r="S621" i="2"/>
  <c r="O621" i="2"/>
  <c r="AD621" i="2" s="1"/>
  <c r="AH621" i="2" s="1"/>
  <c r="N621" i="2"/>
  <c r="AB621" i="2" s="1"/>
  <c r="AF621" i="2" s="1"/>
  <c r="AF620" i="2"/>
  <c r="AD620" i="2"/>
  <c r="AH620" i="2" s="1"/>
  <c r="AB620" i="2"/>
  <c r="Z620" i="2"/>
  <c r="Y620" i="2"/>
  <c r="S620" i="2"/>
  <c r="O620" i="2"/>
  <c r="AC620" i="2" s="1"/>
  <c r="AG620" i="2" s="1"/>
  <c r="N620" i="2"/>
  <c r="AA620" i="2" s="1"/>
  <c r="AE620" i="2" s="1"/>
  <c r="AE619" i="2"/>
  <c r="AD619" i="2"/>
  <c r="AH619" i="2" s="1"/>
  <c r="AC619" i="2"/>
  <c r="AG619" i="2" s="1"/>
  <c r="AA619" i="2"/>
  <c r="Z619" i="2"/>
  <c r="Y619" i="2"/>
  <c r="S619" i="2"/>
  <c r="O619" i="2"/>
  <c r="N619" i="2"/>
  <c r="AB619" i="2" s="1"/>
  <c r="AF619" i="2" s="1"/>
  <c r="AF618" i="2"/>
  <c r="AE618" i="2"/>
  <c r="AD618" i="2"/>
  <c r="AH618" i="2" s="1"/>
  <c r="AC618" i="2"/>
  <c r="AG618" i="2" s="1"/>
  <c r="AB618" i="2"/>
  <c r="Z618" i="2"/>
  <c r="Y618" i="2"/>
  <c r="S618" i="2"/>
  <c r="O618" i="2"/>
  <c r="N618" i="2"/>
  <c r="AA618" i="2" s="1"/>
  <c r="AH617" i="2"/>
  <c r="AG617" i="2"/>
  <c r="AF617" i="2"/>
  <c r="AE617" i="2"/>
  <c r="AD617" i="2"/>
  <c r="AC617" i="2"/>
  <c r="AB617" i="2"/>
  <c r="AA617" i="2"/>
  <c r="Z617" i="2"/>
  <c r="Y617" i="2"/>
  <c r="S617" i="2"/>
  <c r="O617" i="2"/>
  <c r="N617" i="2"/>
  <c r="AG616" i="2"/>
  <c r="AF616" i="2"/>
  <c r="AE616" i="2"/>
  <c r="AD616" i="2"/>
  <c r="AH616" i="2" s="1"/>
  <c r="AC616" i="2"/>
  <c r="AB616" i="2"/>
  <c r="AA616" i="2"/>
  <c r="Z616" i="2"/>
  <c r="Y616" i="2"/>
  <c r="S616" i="2"/>
  <c r="O616" i="2"/>
  <c r="N616" i="2"/>
  <c r="AC615" i="2"/>
  <c r="AG615" i="2" s="1"/>
  <c r="AB615" i="2"/>
  <c r="AF615" i="2" s="1"/>
  <c r="AA615" i="2"/>
  <c r="AE615" i="2" s="1"/>
  <c r="Z615" i="2"/>
  <c r="Y615" i="2"/>
  <c r="S615" i="2"/>
  <c r="O615" i="2"/>
  <c r="AD615" i="2" s="1"/>
  <c r="AH615" i="2" s="1"/>
  <c r="N615" i="2"/>
  <c r="AH614" i="2"/>
  <c r="AD614" i="2"/>
  <c r="AC614" i="2"/>
  <c r="AG614" i="2" s="1"/>
  <c r="AB614" i="2"/>
  <c r="AF614" i="2" s="1"/>
  <c r="Z614" i="2"/>
  <c r="Y614" i="2"/>
  <c r="S614" i="2"/>
  <c r="O614" i="2"/>
  <c r="N614" i="2"/>
  <c r="AA614" i="2" s="1"/>
  <c r="AE614" i="2" s="1"/>
  <c r="AG613" i="2"/>
  <c r="AF613" i="2"/>
  <c r="AE613" i="2"/>
  <c r="AC613" i="2"/>
  <c r="AB613" i="2"/>
  <c r="AA613" i="2"/>
  <c r="Z613" i="2"/>
  <c r="Y613" i="2"/>
  <c r="S613" i="2"/>
  <c r="O613" i="2"/>
  <c r="AD613" i="2" s="1"/>
  <c r="AH613" i="2" s="1"/>
  <c r="N613" i="2"/>
  <c r="AD612" i="2"/>
  <c r="AH612" i="2" s="1"/>
  <c r="AB612" i="2"/>
  <c r="AF612" i="2" s="1"/>
  <c r="AA612" i="2"/>
  <c r="AE612" i="2" s="1"/>
  <c r="Z612" i="2"/>
  <c r="Y612" i="2"/>
  <c r="S612" i="2"/>
  <c r="O612" i="2"/>
  <c r="AC612" i="2" s="1"/>
  <c r="AG612" i="2" s="1"/>
  <c r="N612" i="2"/>
  <c r="AG611" i="2"/>
  <c r="AF611" i="2"/>
  <c r="AE611" i="2"/>
  <c r="AC611" i="2"/>
  <c r="AA611" i="2"/>
  <c r="Z611" i="2"/>
  <c r="Y611" i="2"/>
  <c r="S611" i="2"/>
  <c r="O611" i="2"/>
  <c r="AD611" i="2" s="1"/>
  <c r="AH611" i="2" s="1"/>
  <c r="N611" i="2"/>
  <c r="AB611" i="2" s="1"/>
  <c r="AH610" i="2"/>
  <c r="AG610" i="2"/>
  <c r="AE610" i="2"/>
  <c r="AD610" i="2"/>
  <c r="AC610" i="2"/>
  <c r="AB610" i="2"/>
  <c r="AF610" i="2" s="1"/>
  <c r="AA610" i="2"/>
  <c r="Z610" i="2"/>
  <c r="Y610" i="2"/>
  <c r="S610" i="2"/>
  <c r="O610" i="2"/>
  <c r="N610" i="2"/>
  <c r="AD609" i="2"/>
  <c r="AH609" i="2" s="1"/>
  <c r="AB609" i="2"/>
  <c r="AF609" i="2" s="1"/>
  <c r="AA609" i="2"/>
  <c r="AE609" i="2" s="1"/>
  <c r="Z609" i="2"/>
  <c r="Y609" i="2"/>
  <c r="S609" i="2"/>
  <c r="O609" i="2"/>
  <c r="AC609" i="2" s="1"/>
  <c r="AG609" i="2" s="1"/>
  <c r="N609" i="2"/>
  <c r="AG608" i="2"/>
  <c r="AD608" i="2"/>
  <c r="AH608" i="2" s="1"/>
  <c r="AC608" i="2"/>
  <c r="AA608" i="2"/>
  <c r="AE608" i="2" s="1"/>
  <c r="Z608" i="2"/>
  <c r="Y608" i="2"/>
  <c r="S608" i="2"/>
  <c r="O608" i="2"/>
  <c r="N608" i="2"/>
  <c r="AB608" i="2" s="1"/>
  <c r="AF608" i="2" s="1"/>
  <c r="AF607" i="2"/>
  <c r="AE607" i="2"/>
  <c r="AD607" i="2"/>
  <c r="AH607" i="2" s="1"/>
  <c r="AC607" i="2"/>
  <c r="AG607" i="2" s="1"/>
  <c r="AB607" i="2"/>
  <c r="Z607" i="2"/>
  <c r="Y607" i="2"/>
  <c r="S607" i="2"/>
  <c r="O607" i="2"/>
  <c r="N607" i="2"/>
  <c r="AA607" i="2" s="1"/>
  <c r="AG606" i="2"/>
  <c r="AF606" i="2"/>
  <c r="AC606" i="2"/>
  <c r="AB606" i="2"/>
  <c r="AA606" i="2"/>
  <c r="AE606" i="2" s="1"/>
  <c r="Z606" i="2"/>
  <c r="Y606" i="2"/>
  <c r="S606" i="2"/>
  <c r="O606" i="2"/>
  <c r="AD606" i="2" s="1"/>
  <c r="AH606" i="2" s="1"/>
  <c r="N606" i="2"/>
  <c r="AG605" i="2"/>
  <c r="AF605" i="2"/>
  <c r="AD605" i="2"/>
  <c r="AH605" i="2" s="1"/>
  <c r="AA605" i="2"/>
  <c r="AE605" i="2" s="1"/>
  <c r="Z605" i="2"/>
  <c r="Y605" i="2"/>
  <c r="S605" i="2"/>
  <c r="O605" i="2"/>
  <c r="AC605" i="2" s="1"/>
  <c r="N605" i="2"/>
  <c r="AB605" i="2" s="1"/>
  <c r="AH604" i="2"/>
  <c r="AG604" i="2"/>
  <c r="AF604" i="2"/>
  <c r="AD604" i="2"/>
  <c r="AB604" i="2"/>
  <c r="AA604" i="2"/>
  <c r="AE604" i="2" s="1"/>
  <c r="Z604" i="2"/>
  <c r="Y604" i="2"/>
  <c r="S604" i="2"/>
  <c r="O604" i="2"/>
  <c r="AC604" i="2" s="1"/>
  <c r="N604" i="2"/>
  <c r="AH603" i="2"/>
  <c r="AG603" i="2"/>
  <c r="AE603" i="2"/>
  <c r="AD603" i="2"/>
  <c r="AC603" i="2"/>
  <c r="AA603" i="2"/>
  <c r="Z603" i="2"/>
  <c r="Y603" i="2"/>
  <c r="S603" i="2"/>
  <c r="O603" i="2"/>
  <c r="N603" i="2"/>
  <c r="AB603" i="2" s="1"/>
  <c r="AF603" i="2" s="1"/>
  <c r="AH602" i="2"/>
  <c r="AG602" i="2"/>
  <c r="AC602" i="2"/>
  <c r="AB602" i="2"/>
  <c r="AF602" i="2" s="1"/>
  <c r="AA602" i="2"/>
  <c r="AE602" i="2" s="1"/>
  <c r="Z602" i="2"/>
  <c r="Y602" i="2"/>
  <c r="S602" i="2"/>
  <c r="O602" i="2"/>
  <c r="AD602" i="2" s="1"/>
  <c r="N602" i="2"/>
  <c r="AD601" i="2"/>
  <c r="AH601" i="2" s="1"/>
  <c r="AC601" i="2"/>
  <c r="AG601" i="2" s="1"/>
  <c r="AB601" i="2"/>
  <c r="AF601" i="2" s="1"/>
  <c r="AA601" i="2"/>
  <c r="AE601" i="2" s="1"/>
  <c r="Z601" i="2"/>
  <c r="Y601" i="2"/>
  <c r="S601" i="2"/>
  <c r="O601" i="2"/>
  <c r="N601" i="2"/>
  <c r="AG600" i="2"/>
  <c r="AF600" i="2"/>
  <c r="AD600" i="2"/>
  <c r="AH600" i="2" s="1"/>
  <c r="AC600" i="2"/>
  <c r="AB600" i="2"/>
  <c r="Z600" i="2"/>
  <c r="Y600" i="2"/>
  <c r="S600" i="2"/>
  <c r="O600" i="2"/>
  <c r="N600" i="2"/>
  <c r="AA600" i="2" s="1"/>
  <c r="AE600" i="2" s="1"/>
  <c r="AH599" i="2"/>
  <c r="AF599" i="2"/>
  <c r="AD599" i="2"/>
  <c r="AC599" i="2"/>
  <c r="AG599" i="2" s="1"/>
  <c r="AB599" i="2"/>
  <c r="AA599" i="2"/>
  <c r="AE599" i="2" s="1"/>
  <c r="Z599" i="2"/>
  <c r="Y599" i="2"/>
  <c r="S599" i="2"/>
  <c r="O599" i="2"/>
  <c r="N599" i="2"/>
  <c r="AC598" i="2"/>
  <c r="AG598" i="2" s="1"/>
  <c r="AB598" i="2"/>
  <c r="AF598" i="2" s="1"/>
  <c r="AA598" i="2"/>
  <c r="AE598" i="2" s="1"/>
  <c r="Z598" i="2"/>
  <c r="Y598" i="2"/>
  <c r="S598" i="2"/>
  <c r="O598" i="2"/>
  <c r="AD598" i="2" s="1"/>
  <c r="AH598" i="2" s="1"/>
  <c r="N598" i="2"/>
  <c r="AH597" i="2"/>
  <c r="AB597" i="2"/>
  <c r="AF597" i="2" s="1"/>
  <c r="Z597" i="2"/>
  <c r="Y597" i="2"/>
  <c r="S597" i="2"/>
  <c r="O597" i="2"/>
  <c r="AD597" i="2" s="1"/>
  <c r="N597" i="2"/>
  <c r="AA597" i="2" s="1"/>
  <c r="AE597" i="2" s="1"/>
  <c r="AD596" i="2"/>
  <c r="AH596" i="2" s="1"/>
  <c r="AC596" i="2"/>
  <c r="AG596" i="2" s="1"/>
  <c r="AB596" i="2"/>
  <c r="AF596" i="2" s="1"/>
  <c r="AA596" i="2"/>
  <c r="AE596" i="2" s="1"/>
  <c r="Z596" i="2"/>
  <c r="Y596" i="2"/>
  <c r="S596" i="2"/>
  <c r="O596" i="2"/>
  <c r="N596" i="2"/>
  <c r="AE595" i="2"/>
  <c r="AC595" i="2"/>
  <c r="AG595" i="2" s="1"/>
  <c r="AA595" i="2"/>
  <c r="Z595" i="2"/>
  <c r="Y595" i="2"/>
  <c r="S595" i="2"/>
  <c r="O595" i="2"/>
  <c r="AD595" i="2" s="1"/>
  <c r="AH595" i="2" s="1"/>
  <c r="N595" i="2"/>
  <c r="AB595" i="2" s="1"/>
  <c r="AF595" i="2" s="1"/>
  <c r="AF594" i="2"/>
  <c r="AD594" i="2"/>
  <c r="AH594" i="2" s="1"/>
  <c r="AC594" i="2"/>
  <c r="AG594" i="2" s="1"/>
  <c r="AB594" i="2"/>
  <c r="Z594" i="2"/>
  <c r="Y594" i="2"/>
  <c r="S594" i="2"/>
  <c r="O594" i="2"/>
  <c r="N594" i="2"/>
  <c r="AA594" i="2" s="1"/>
  <c r="AE594" i="2" s="1"/>
  <c r="AG593" i="2"/>
  <c r="AE593" i="2"/>
  <c r="AC593" i="2"/>
  <c r="AA593" i="2"/>
  <c r="Z593" i="2"/>
  <c r="Y593" i="2"/>
  <c r="S593" i="2"/>
  <c r="O593" i="2"/>
  <c r="AD593" i="2" s="1"/>
  <c r="AH593" i="2" s="1"/>
  <c r="N593" i="2"/>
  <c r="AB593" i="2" s="1"/>
  <c r="AF593" i="2" s="1"/>
  <c r="AG592" i="2"/>
  <c r="AD592" i="2"/>
  <c r="AH592" i="2" s="1"/>
  <c r="AC592" i="2"/>
  <c r="Z592" i="2"/>
  <c r="Y592" i="2"/>
  <c r="S592" i="2"/>
  <c r="O592" i="2"/>
  <c r="N592" i="2"/>
  <c r="AH591" i="2"/>
  <c r="AE591" i="2"/>
  <c r="AD591" i="2"/>
  <c r="AC591" i="2"/>
  <c r="AG591" i="2" s="1"/>
  <c r="AB591" i="2"/>
  <c r="AF591" i="2" s="1"/>
  <c r="AA591" i="2"/>
  <c r="Z591" i="2"/>
  <c r="Y591" i="2"/>
  <c r="S591" i="2"/>
  <c r="O591" i="2"/>
  <c r="N591" i="2"/>
  <c r="AC590" i="2"/>
  <c r="AG590" i="2" s="1"/>
  <c r="AB590" i="2"/>
  <c r="AF590" i="2" s="1"/>
  <c r="AA590" i="2"/>
  <c r="AE590" i="2" s="1"/>
  <c r="Z590" i="2"/>
  <c r="Y590" i="2"/>
  <c r="S590" i="2"/>
  <c r="O590" i="2"/>
  <c r="AD590" i="2" s="1"/>
  <c r="AH590" i="2" s="1"/>
  <c r="N590" i="2"/>
  <c r="AF589" i="2"/>
  <c r="AE589" i="2"/>
  <c r="AC589" i="2"/>
  <c r="AG589" i="2" s="1"/>
  <c r="AA589" i="2"/>
  <c r="Z589" i="2"/>
  <c r="Y589" i="2"/>
  <c r="S589" i="2"/>
  <c r="O589" i="2"/>
  <c r="AD589" i="2" s="1"/>
  <c r="AH589" i="2" s="1"/>
  <c r="N589" i="2"/>
  <c r="AB589" i="2" s="1"/>
  <c r="AH588" i="2"/>
  <c r="AF588" i="2"/>
  <c r="AE588" i="2"/>
  <c r="AD588" i="2"/>
  <c r="AC588" i="2"/>
  <c r="AG588" i="2" s="1"/>
  <c r="AB588" i="2"/>
  <c r="AA588" i="2"/>
  <c r="Z588" i="2"/>
  <c r="Y588" i="2"/>
  <c r="S588" i="2"/>
  <c r="O588" i="2"/>
  <c r="N588" i="2"/>
  <c r="AD587" i="2"/>
  <c r="AH587" i="2" s="1"/>
  <c r="AB587" i="2"/>
  <c r="AF587" i="2" s="1"/>
  <c r="AA587" i="2"/>
  <c r="AE587" i="2" s="1"/>
  <c r="Z587" i="2"/>
  <c r="Y587" i="2"/>
  <c r="S587" i="2"/>
  <c r="O587" i="2"/>
  <c r="AC587" i="2" s="1"/>
  <c r="AG587" i="2" s="1"/>
  <c r="N587" i="2"/>
  <c r="AH586" i="2"/>
  <c r="AG586" i="2"/>
  <c r="AE586" i="2"/>
  <c r="AC586" i="2"/>
  <c r="AA586" i="2"/>
  <c r="Z586" i="2"/>
  <c r="Y586" i="2"/>
  <c r="S586" i="2"/>
  <c r="O586" i="2"/>
  <c r="AD586" i="2" s="1"/>
  <c r="N586" i="2"/>
  <c r="AB586" i="2" s="1"/>
  <c r="AF586" i="2" s="1"/>
  <c r="AH585" i="2"/>
  <c r="AG585" i="2"/>
  <c r="AF585" i="2"/>
  <c r="AD585" i="2"/>
  <c r="AC585" i="2"/>
  <c r="AB585" i="2"/>
  <c r="AA585" i="2"/>
  <c r="AE585" i="2" s="1"/>
  <c r="Z585" i="2"/>
  <c r="Y585" i="2"/>
  <c r="S585" i="2"/>
  <c r="O585" i="2"/>
  <c r="N585" i="2"/>
  <c r="AD584" i="2"/>
  <c r="AH584" i="2" s="1"/>
  <c r="AC584" i="2"/>
  <c r="AG584" i="2" s="1"/>
  <c r="AB584" i="2"/>
  <c r="AF584" i="2" s="1"/>
  <c r="AA584" i="2"/>
  <c r="AE584" i="2" s="1"/>
  <c r="Z584" i="2"/>
  <c r="Y584" i="2"/>
  <c r="S584" i="2"/>
  <c r="O584" i="2"/>
  <c r="N584" i="2"/>
  <c r="AH583" i="2"/>
  <c r="AC583" i="2"/>
  <c r="AG583" i="2" s="1"/>
  <c r="AB583" i="2"/>
  <c r="AF583" i="2" s="1"/>
  <c r="AA583" i="2"/>
  <c r="AE583" i="2" s="1"/>
  <c r="Z583" i="2"/>
  <c r="Y583" i="2"/>
  <c r="S583" i="2"/>
  <c r="O583" i="2"/>
  <c r="AD583" i="2" s="1"/>
  <c r="N583" i="2"/>
  <c r="AH582" i="2"/>
  <c r="AF582" i="2"/>
  <c r="AE582" i="2"/>
  <c r="AD582" i="2"/>
  <c r="AC582" i="2"/>
  <c r="AG582" i="2" s="1"/>
  <c r="AA582" i="2"/>
  <c r="Z582" i="2"/>
  <c r="Y582" i="2"/>
  <c r="S582" i="2"/>
  <c r="O582" i="2"/>
  <c r="N582" i="2"/>
  <c r="AB582" i="2" s="1"/>
  <c r="AD581" i="2"/>
  <c r="AH581" i="2" s="1"/>
  <c r="AC581" i="2"/>
  <c r="AG581" i="2" s="1"/>
  <c r="AB581" i="2"/>
  <c r="AF581" i="2" s="1"/>
  <c r="AA581" i="2"/>
  <c r="AE581" i="2" s="1"/>
  <c r="Z581" i="2"/>
  <c r="Y581" i="2"/>
  <c r="S581" i="2"/>
  <c r="O581" i="2"/>
  <c r="N581" i="2"/>
  <c r="AH580" i="2"/>
  <c r="AG580" i="2"/>
  <c r="AC580" i="2"/>
  <c r="AB580" i="2"/>
  <c r="AF580" i="2" s="1"/>
  <c r="AA580" i="2"/>
  <c r="AE580" i="2" s="1"/>
  <c r="Z580" i="2"/>
  <c r="Y580" i="2"/>
  <c r="S580" i="2"/>
  <c r="O580" i="2"/>
  <c r="AD580" i="2" s="1"/>
  <c r="N580" i="2"/>
  <c r="AG579" i="2"/>
  <c r="AC579" i="2"/>
  <c r="AB579" i="2"/>
  <c r="AF579" i="2" s="1"/>
  <c r="AA579" i="2"/>
  <c r="AE579" i="2" s="1"/>
  <c r="Z579" i="2"/>
  <c r="Y579" i="2"/>
  <c r="S579" i="2"/>
  <c r="O579" i="2"/>
  <c r="AD579" i="2" s="1"/>
  <c r="AH579" i="2" s="1"/>
  <c r="N579" i="2"/>
  <c r="AG578" i="2"/>
  <c r="AC578" i="2"/>
  <c r="AA578" i="2"/>
  <c r="AE578" i="2" s="1"/>
  <c r="Z578" i="2"/>
  <c r="Y578" i="2"/>
  <c r="S578" i="2"/>
  <c r="O578" i="2"/>
  <c r="AD578" i="2" s="1"/>
  <c r="AH578" i="2" s="1"/>
  <c r="N578" i="2"/>
  <c r="AB578" i="2" s="1"/>
  <c r="AF578" i="2" s="1"/>
  <c r="AD577" i="2"/>
  <c r="AH577" i="2" s="1"/>
  <c r="AC577" i="2"/>
  <c r="AG577" i="2" s="1"/>
  <c r="AB577" i="2"/>
  <c r="AF577" i="2" s="1"/>
  <c r="Z577" i="2"/>
  <c r="Y577" i="2"/>
  <c r="S577" i="2"/>
  <c r="O577" i="2"/>
  <c r="N577" i="2"/>
  <c r="AA577" i="2" s="1"/>
  <c r="AE577" i="2" s="1"/>
  <c r="AD576" i="2"/>
  <c r="AH576" i="2" s="1"/>
  <c r="AC576" i="2"/>
  <c r="AG576" i="2" s="1"/>
  <c r="AB576" i="2"/>
  <c r="AF576" i="2" s="1"/>
  <c r="AA576" i="2"/>
  <c r="AE576" i="2" s="1"/>
  <c r="Z576" i="2"/>
  <c r="Y576" i="2"/>
  <c r="S576" i="2"/>
  <c r="O576" i="2"/>
  <c r="N576" i="2"/>
  <c r="AG575" i="2"/>
  <c r="AE575" i="2"/>
  <c r="AC575" i="2"/>
  <c r="AA575" i="2"/>
  <c r="Z575" i="2"/>
  <c r="Y575" i="2"/>
  <c r="S575" i="2"/>
  <c r="O575" i="2"/>
  <c r="AD575" i="2" s="1"/>
  <c r="AH575" i="2" s="1"/>
  <c r="N575" i="2"/>
  <c r="AB575" i="2" s="1"/>
  <c r="AF575" i="2" s="1"/>
  <c r="AE574" i="2"/>
  <c r="AD574" i="2"/>
  <c r="AH574" i="2" s="1"/>
  <c r="AC574" i="2"/>
  <c r="AG574" i="2" s="1"/>
  <c r="AB574" i="2"/>
  <c r="AF574" i="2" s="1"/>
  <c r="AA574" i="2"/>
  <c r="Z574" i="2"/>
  <c r="Y574" i="2"/>
  <c r="S574" i="2"/>
  <c r="O574" i="2"/>
  <c r="N574" i="2"/>
  <c r="AF573" i="2"/>
  <c r="AD573" i="2"/>
  <c r="AH573" i="2" s="1"/>
  <c r="AB573" i="2"/>
  <c r="Z573" i="2"/>
  <c r="Y573" i="2"/>
  <c r="S573" i="2"/>
  <c r="O573" i="2"/>
  <c r="AC573" i="2" s="1"/>
  <c r="AG573" i="2" s="1"/>
  <c r="N573" i="2"/>
  <c r="AA573" i="2" s="1"/>
  <c r="AE573" i="2" s="1"/>
  <c r="AG572" i="2"/>
  <c r="AD572" i="2"/>
  <c r="AH572" i="2" s="1"/>
  <c r="AC572" i="2"/>
  <c r="AA572" i="2"/>
  <c r="AE572" i="2" s="1"/>
  <c r="Z572" i="2"/>
  <c r="Y572" i="2"/>
  <c r="S572" i="2"/>
  <c r="O572" i="2"/>
  <c r="N572" i="2"/>
  <c r="AB572" i="2" s="1"/>
  <c r="AF572" i="2" s="1"/>
  <c r="AE571" i="2"/>
  <c r="AC571" i="2"/>
  <c r="AG571" i="2" s="1"/>
  <c r="AB571" i="2"/>
  <c r="AF571" i="2" s="1"/>
  <c r="AA571" i="2"/>
  <c r="Z571" i="2"/>
  <c r="Y571" i="2"/>
  <c r="S571" i="2"/>
  <c r="O571" i="2"/>
  <c r="AD571" i="2" s="1"/>
  <c r="AH571" i="2" s="1"/>
  <c r="N571" i="2"/>
  <c r="AG570" i="2"/>
  <c r="AF570" i="2"/>
  <c r="AC570" i="2"/>
  <c r="AB570" i="2"/>
  <c r="AA570" i="2"/>
  <c r="AE570" i="2" s="1"/>
  <c r="Z570" i="2"/>
  <c r="Y570" i="2"/>
  <c r="S570" i="2"/>
  <c r="O570" i="2"/>
  <c r="AD570" i="2" s="1"/>
  <c r="AH570" i="2" s="1"/>
  <c r="N570" i="2"/>
  <c r="AG569" i="2"/>
  <c r="AF569" i="2"/>
  <c r="AE569" i="2"/>
  <c r="AD569" i="2"/>
  <c r="AH569" i="2" s="1"/>
  <c r="AC569" i="2"/>
  <c r="AB569" i="2"/>
  <c r="AA569" i="2"/>
  <c r="Z569" i="2"/>
  <c r="Y569" i="2"/>
  <c r="S569" i="2"/>
  <c r="O569" i="2"/>
  <c r="N569" i="2"/>
  <c r="AG568" i="2"/>
  <c r="AD568" i="2"/>
  <c r="AH568" i="2" s="1"/>
  <c r="AC568" i="2"/>
  <c r="AB568" i="2"/>
  <c r="AF568" i="2" s="1"/>
  <c r="AA568" i="2"/>
  <c r="AE568" i="2" s="1"/>
  <c r="Z568" i="2"/>
  <c r="Y568" i="2"/>
  <c r="S568" i="2"/>
  <c r="O568" i="2"/>
  <c r="N568" i="2"/>
  <c r="AH567" i="2"/>
  <c r="AG567" i="2"/>
  <c r="AC567" i="2"/>
  <c r="AA567" i="2"/>
  <c r="AE567" i="2" s="1"/>
  <c r="Z567" i="2"/>
  <c r="Y567" i="2"/>
  <c r="S567" i="2"/>
  <c r="O567" i="2"/>
  <c r="AD567" i="2" s="1"/>
  <c r="N567" i="2"/>
  <c r="AB567" i="2" s="1"/>
  <c r="AF567" i="2" s="1"/>
  <c r="AD566" i="2"/>
  <c r="AH566" i="2" s="1"/>
  <c r="AC566" i="2"/>
  <c r="AG566" i="2" s="1"/>
  <c r="AA566" i="2"/>
  <c r="AE566" i="2" s="1"/>
  <c r="Z566" i="2"/>
  <c r="Y566" i="2"/>
  <c r="S566" i="2"/>
  <c r="O566" i="2"/>
  <c r="N566" i="2"/>
  <c r="AB566" i="2" s="1"/>
  <c r="AF566" i="2" s="1"/>
  <c r="AG565" i="2"/>
  <c r="AE565" i="2"/>
  <c r="AC565" i="2"/>
  <c r="AB565" i="2"/>
  <c r="AF565" i="2" s="1"/>
  <c r="AA565" i="2"/>
  <c r="Z565" i="2"/>
  <c r="Y565" i="2"/>
  <c r="S565" i="2"/>
  <c r="O565" i="2"/>
  <c r="AD565" i="2" s="1"/>
  <c r="AH565" i="2" s="1"/>
  <c r="N565" i="2"/>
  <c r="AE564" i="2"/>
  <c r="AC564" i="2"/>
  <c r="AG564" i="2" s="1"/>
  <c r="AA564" i="2"/>
  <c r="Z564" i="2"/>
  <c r="Y564" i="2"/>
  <c r="S564" i="2"/>
  <c r="O564" i="2"/>
  <c r="AD564" i="2" s="1"/>
  <c r="AH564" i="2" s="1"/>
  <c r="N564" i="2"/>
  <c r="AB564" i="2" s="1"/>
  <c r="AF564" i="2" s="1"/>
  <c r="AH563" i="2"/>
  <c r="AF563" i="2"/>
  <c r="AE563" i="2"/>
  <c r="AD563" i="2"/>
  <c r="AC563" i="2"/>
  <c r="AG563" i="2" s="1"/>
  <c r="AB563" i="2"/>
  <c r="AA563" i="2"/>
  <c r="Z563" i="2"/>
  <c r="Y563" i="2"/>
  <c r="S563" i="2"/>
  <c r="O563" i="2"/>
  <c r="N563" i="2"/>
  <c r="AG562" i="2"/>
  <c r="AF562" i="2"/>
  <c r="AD562" i="2"/>
  <c r="AH562" i="2" s="1"/>
  <c r="AC562" i="2"/>
  <c r="AB562" i="2"/>
  <c r="AA562" i="2"/>
  <c r="AE562" i="2" s="1"/>
  <c r="Z562" i="2"/>
  <c r="Y562" i="2"/>
  <c r="S562" i="2"/>
  <c r="O562" i="2"/>
  <c r="N562" i="2"/>
  <c r="AG561" i="2"/>
  <c r="AC561" i="2"/>
  <c r="AB561" i="2"/>
  <c r="AF561" i="2" s="1"/>
  <c r="AA561" i="2"/>
  <c r="AE561" i="2" s="1"/>
  <c r="Z561" i="2"/>
  <c r="Y561" i="2"/>
  <c r="S561" i="2"/>
  <c r="O561" i="2"/>
  <c r="AD561" i="2" s="1"/>
  <c r="AH561" i="2" s="1"/>
  <c r="N561" i="2"/>
  <c r="AH560" i="2"/>
  <c r="AG560" i="2"/>
  <c r="AE560" i="2"/>
  <c r="AC560" i="2"/>
  <c r="AA560" i="2"/>
  <c r="Z560" i="2"/>
  <c r="Y560" i="2"/>
  <c r="S560" i="2"/>
  <c r="O560" i="2"/>
  <c r="AD560" i="2" s="1"/>
  <c r="N560" i="2"/>
  <c r="AB560" i="2" s="1"/>
  <c r="AF560" i="2" s="1"/>
  <c r="AG559" i="2"/>
  <c r="AC559" i="2"/>
  <c r="AB559" i="2"/>
  <c r="AF559" i="2" s="1"/>
  <c r="AA559" i="2"/>
  <c r="AE559" i="2" s="1"/>
  <c r="Z559" i="2"/>
  <c r="Y559" i="2"/>
  <c r="S559" i="2"/>
  <c r="O559" i="2"/>
  <c r="AD559" i="2" s="1"/>
  <c r="AH559" i="2" s="1"/>
  <c r="N559" i="2"/>
  <c r="AC558" i="2"/>
  <c r="AG558" i="2" s="1"/>
  <c r="AA558" i="2"/>
  <c r="AE558" i="2" s="1"/>
  <c r="Z558" i="2"/>
  <c r="Y558" i="2"/>
  <c r="S558" i="2"/>
  <c r="O558" i="2"/>
  <c r="AD558" i="2" s="1"/>
  <c r="AH558" i="2" s="1"/>
  <c r="N558" i="2"/>
  <c r="AB558" i="2" s="1"/>
  <c r="AF558" i="2" s="1"/>
  <c r="AH557" i="2"/>
  <c r="AG557" i="2"/>
  <c r="AD557" i="2"/>
  <c r="AC557" i="2"/>
  <c r="AA557" i="2"/>
  <c r="AE557" i="2" s="1"/>
  <c r="Z557" i="2"/>
  <c r="Y557" i="2"/>
  <c r="S557" i="2"/>
  <c r="O557" i="2"/>
  <c r="N557" i="2"/>
  <c r="AB557" i="2" s="1"/>
  <c r="AF557" i="2" s="1"/>
  <c r="AD556" i="2"/>
  <c r="AH556" i="2" s="1"/>
  <c r="AC556" i="2"/>
  <c r="AG556" i="2" s="1"/>
  <c r="AA556" i="2"/>
  <c r="AE556" i="2" s="1"/>
  <c r="Z556" i="2"/>
  <c r="Y556" i="2"/>
  <c r="S556" i="2"/>
  <c r="O556" i="2"/>
  <c r="N556" i="2"/>
  <c r="AB556" i="2" s="1"/>
  <c r="AF556" i="2" s="1"/>
  <c r="Z555" i="2"/>
  <c r="Y555" i="2"/>
  <c r="S555" i="2"/>
  <c r="O555" i="2"/>
  <c r="N555" i="2"/>
  <c r="AF554" i="2"/>
  <c r="AC554" i="2"/>
  <c r="AG554" i="2" s="1"/>
  <c r="AB554" i="2"/>
  <c r="AA554" i="2"/>
  <c r="AE554" i="2" s="1"/>
  <c r="Z554" i="2"/>
  <c r="Y554" i="2"/>
  <c r="S554" i="2"/>
  <c r="O554" i="2"/>
  <c r="AD554" i="2" s="1"/>
  <c r="AH554" i="2" s="1"/>
  <c r="N554" i="2"/>
  <c r="AE553" i="2"/>
  <c r="AD553" i="2"/>
  <c r="AH553" i="2" s="1"/>
  <c r="AC553" i="2"/>
  <c r="AG553" i="2" s="1"/>
  <c r="AA553" i="2"/>
  <c r="Z553" i="2"/>
  <c r="Y553" i="2"/>
  <c r="S553" i="2"/>
  <c r="O553" i="2"/>
  <c r="N553" i="2"/>
  <c r="AB553" i="2" s="1"/>
  <c r="AF553" i="2" s="1"/>
  <c r="AH552" i="2"/>
  <c r="AF552" i="2"/>
  <c r="AE552" i="2"/>
  <c r="AD552" i="2"/>
  <c r="AC552" i="2"/>
  <c r="AG552" i="2" s="1"/>
  <c r="AB552" i="2"/>
  <c r="AA552" i="2"/>
  <c r="Z552" i="2"/>
  <c r="Y552" i="2"/>
  <c r="S552" i="2"/>
  <c r="O552" i="2"/>
  <c r="N552" i="2"/>
  <c r="AF551" i="2"/>
  <c r="AE551" i="2"/>
  <c r="AD551" i="2"/>
  <c r="AH551" i="2" s="1"/>
  <c r="AC551" i="2"/>
  <c r="AG551" i="2" s="1"/>
  <c r="AB551" i="2"/>
  <c r="AA551" i="2"/>
  <c r="Z551" i="2"/>
  <c r="Y551" i="2"/>
  <c r="S551" i="2"/>
  <c r="O551" i="2"/>
  <c r="N551" i="2"/>
  <c r="AG550" i="2"/>
  <c r="AC550" i="2"/>
  <c r="AB550" i="2"/>
  <c r="AF550" i="2" s="1"/>
  <c r="AA550" i="2"/>
  <c r="AE550" i="2" s="1"/>
  <c r="Z550" i="2"/>
  <c r="Y550" i="2"/>
  <c r="S550" i="2"/>
  <c r="O550" i="2"/>
  <c r="AD550" i="2" s="1"/>
  <c r="AH550" i="2" s="1"/>
  <c r="N550" i="2"/>
  <c r="AH549" i="2"/>
  <c r="Z549" i="2"/>
  <c r="Y549" i="2"/>
  <c r="S549" i="2"/>
  <c r="O549" i="2"/>
  <c r="AD549" i="2" s="1"/>
  <c r="N549" i="2"/>
  <c r="AH548" i="2"/>
  <c r="AG548" i="2"/>
  <c r="AE548" i="2"/>
  <c r="AD548" i="2"/>
  <c r="AC548" i="2"/>
  <c r="AB548" i="2"/>
  <c r="AF548" i="2" s="1"/>
  <c r="AA548" i="2"/>
  <c r="Z548" i="2"/>
  <c r="Y548" i="2"/>
  <c r="S548" i="2"/>
  <c r="O548" i="2"/>
  <c r="N548" i="2"/>
  <c r="AC547" i="2"/>
  <c r="AG547" i="2" s="1"/>
  <c r="AA547" i="2"/>
  <c r="AE547" i="2" s="1"/>
  <c r="Z547" i="2"/>
  <c r="Y547" i="2"/>
  <c r="S547" i="2"/>
  <c r="O547" i="2"/>
  <c r="AD547" i="2" s="1"/>
  <c r="AH547" i="2" s="1"/>
  <c r="N547" i="2"/>
  <c r="AB547" i="2" s="1"/>
  <c r="AF547" i="2" s="1"/>
  <c r="AH546" i="2"/>
  <c r="AG546" i="2"/>
  <c r="AE546" i="2"/>
  <c r="AD546" i="2"/>
  <c r="AB546" i="2"/>
  <c r="AF546" i="2" s="1"/>
  <c r="Z546" i="2"/>
  <c r="Y546" i="2"/>
  <c r="S546" i="2"/>
  <c r="O546" i="2"/>
  <c r="AC546" i="2" s="1"/>
  <c r="N546" i="2"/>
  <c r="AA546" i="2" s="1"/>
  <c r="AH545" i="2"/>
  <c r="AE545" i="2"/>
  <c r="AD545" i="2"/>
  <c r="AC545" i="2"/>
  <c r="AG545" i="2" s="1"/>
  <c r="AB545" i="2"/>
  <c r="AF545" i="2" s="1"/>
  <c r="AA545" i="2"/>
  <c r="Z545" i="2"/>
  <c r="Y545" i="2"/>
  <c r="S545" i="2"/>
  <c r="O545" i="2"/>
  <c r="N545" i="2"/>
  <c r="AC544" i="2"/>
  <c r="AG544" i="2" s="1"/>
  <c r="AB544" i="2"/>
  <c r="AF544" i="2" s="1"/>
  <c r="AA544" i="2"/>
  <c r="AE544" i="2" s="1"/>
  <c r="Z544" i="2"/>
  <c r="Y544" i="2"/>
  <c r="S544" i="2"/>
  <c r="O544" i="2"/>
  <c r="AD544" i="2" s="1"/>
  <c r="AH544" i="2" s="1"/>
  <c r="N544" i="2"/>
  <c r="AF543" i="2"/>
  <c r="AE543" i="2"/>
  <c r="AC543" i="2"/>
  <c r="AG543" i="2" s="1"/>
  <c r="AA543" i="2"/>
  <c r="Z543" i="2"/>
  <c r="Y543" i="2"/>
  <c r="S543" i="2"/>
  <c r="O543" i="2"/>
  <c r="AD543" i="2" s="1"/>
  <c r="AH543" i="2" s="1"/>
  <c r="N543" i="2"/>
  <c r="AB543" i="2" s="1"/>
  <c r="AH542" i="2"/>
  <c r="AG542" i="2"/>
  <c r="AF542" i="2"/>
  <c r="AE542" i="2"/>
  <c r="AD542" i="2"/>
  <c r="AC542" i="2"/>
  <c r="AB542" i="2"/>
  <c r="AA542" i="2"/>
  <c r="Z542" i="2"/>
  <c r="Y542" i="2"/>
  <c r="S542" i="2"/>
  <c r="O542" i="2"/>
  <c r="N542" i="2"/>
  <c r="AH541" i="2"/>
  <c r="AG541" i="2"/>
  <c r="AD541" i="2"/>
  <c r="AC541" i="2"/>
  <c r="AB541" i="2"/>
  <c r="AF541" i="2" s="1"/>
  <c r="Z541" i="2"/>
  <c r="Y541" i="2"/>
  <c r="S541" i="2"/>
  <c r="O541" i="2"/>
  <c r="N541" i="2"/>
  <c r="AA541" i="2" s="1"/>
  <c r="AE541" i="2" s="1"/>
  <c r="AH540" i="2"/>
  <c r="AE540" i="2"/>
  <c r="AC540" i="2"/>
  <c r="AG540" i="2" s="1"/>
  <c r="AA540" i="2"/>
  <c r="Z540" i="2"/>
  <c r="Y540" i="2"/>
  <c r="S540" i="2"/>
  <c r="O540" i="2"/>
  <c r="AD540" i="2" s="1"/>
  <c r="N540" i="2"/>
  <c r="AB540" i="2" s="1"/>
  <c r="AF540" i="2" s="1"/>
  <c r="AH539" i="2"/>
  <c r="AF539" i="2"/>
  <c r="AD539" i="2"/>
  <c r="AC539" i="2"/>
  <c r="AG539" i="2" s="1"/>
  <c r="AA539" i="2"/>
  <c r="AE539" i="2" s="1"/>
  <c r="Z539" i="2"/>
  <c r="Y539" i="2"/>
  <c r="S539" i="2"/>
  <c r="O539" i="2"/>
  <c r="N539" i="2"/>
  <c r="AB539" i="2" s="1"/>
  <c r="AH538" i="2"/>
  <c r="AD538" i="2"/>
  <c r="AC538" i="2"/>
  <c r="AG538" i="2" s="1"/>
  <c r="AB538" i="2"/>
  <c r="AF538" i="2" s="1"/>
  <c r="AA538" i="2"/>
  <c r="AE538" i="2" s="1"/>
  <c r="Z538" i="2"/>
  <c r="Y538" i="2"/>
  <c r="S538" i="2"/>
  <c r="O538" i="2"/>
  <c r="N538" i="2"/>
  <c r="AH537" i="2"/>
  <c r="AD537" i="2"/>
  <c r="AC537" i="2"/>
  <c r="AG537" i="2" s="1"/>
  <c r="AA537" i="2"/>
  <c r="AE537" i="2" s="1"/>
  <c r="Z537" i="2"/>
  <c r="Y537" i="2"/>
  <c r="S537" i="2"/>
  <c r="O537" i="2"/>
  <c r="N537" i="2"/>
  <c r="AB537" i="2" s="1"/>
  <c r="AF537" i="2" s="1"/>
  <c r="AD536" i="2"/>
  <c r="AH536" i="2" s="1"/>
  <c r="AC536" i="2"/>
  <c r="AG536" i="2" s="1"/>
  <c r="AB536" i="2"/>
  <c r="AF536" i="2" s="1"/>
  <c r="AA536" i="2"/>
  <c r="AE536" i="2" s="1"/>
  <c r="Z536" i="2"/>
  <c r="Y536" i="2"/>
  <c r="S536" i="2"/>
  <c r="O536" i="2"/>
  <c r="N536" i="2"/>
  <c r="AG535" i="2"/>
  <c r="AC535" i="2"/>
  <c r="AA535" i="2"/>
  <c r="AE535" i="2" s="1"/>
  <c r="Z535" i="2"/>
  <c r="Y535" i="2"/>
  <c r="S535" i="2"/>
  <c r="O535" i="2"/>
  <c r="AD535" i="2" s="1"/>
  <c r="AH535" i="2" s="1"/>
  <c r="N535" i="2"/>
  <c r="AB535" i="2" s="1"/>
  <c r="AF535" i="2" s="1"/>
  <c r="AF534" i="2"/>
  <c r="AE534" i="2"/>
  <c r="AD534" i="2"/>
  <c r="AH534" i="2" s="1"/>
  <c r="AC534" i="2"/>
  <c r="AG534" i="2" s="1"/>
  <c r="AB534" i="2"/>
  <c r="AA534" i="2"/>
  <c r="Z534" i="2"/>
  <c r="Y534" i="2"/>
  <c r="S534" i="2"/>
  <c r="O534" i="2"/>
  <c r="N534" i="2"/>
  <c r="Z533" i="2"/>
  <c r="Y533" i="2"/>
  <c r="S533" i="2"/>
  <c r="O533" i="2"/>
  <c r="AD533" i="2" s="1"/>
  <c r="AH533" i="2" s="1"/>
  <c r="N533" i="2"/>
  <c r="AH532" i="2"/>
  <c r="AG532" i="2"/>
  <c r="AF532" i="2"/>
  <c r="AE532" i="2"/>
  <c r="AD532" i="2"/>
  <c r="AC532" i="2"/>
  <c r="AB532" i="2"/>
  <c r="AA532" i="2"/>
  <c r="Z532" i="2"/>
  <c r="Y532" i="2"/>
  <c r="S532" i="2"/>
  <c r="O532" i="2"/>
  <c r="N532" i="2"/>
  <c r="AG531" i="2"/>
  <c r="AF531" i="2"/>
  <c r="AD531" i="2"/>
  <c r="AH531" i="2" s="1"/>
  <c r="AC531" i="2"/>
  <c r="AB531" i="2"/>
  <c r="AA531" i="2"/>
  <c r="AE531" i="2" s="1"/>
  <c r="Z531" i="2"/>
  <c r="Y531" i="2"/>
  <c r="S531" i="2"/>
  <c r="O531" i="2"/>
  <c r="N531" i="2"/>
  <c r="AC530" i="2"/>
  <c r="AG530" i="2" s="1"/>
  <c r="AB530" i="2"/>
  <c r="AF530" i="2" s="1"/>
  <c r="AA530" i="2"/>
  <c r="AE530" i="2" s="1"/>
  <c r="Z530" i="2"/>
  <c r="Y530" i="2"/>
  <c r="S530" i="2"/>
  <c r="O530" i="2"/>
  <c r="AD530" i="2" s="1"/>
  <c r="AH530" i="2" s="1"/>
  <c r="N530" i="2"/>
  <c r="AH529" i="2"/>
  <c r="AG529" i="2"/>
  <c r="AC529" i="2"/>
  <c r="AB529" i="2"/>
  <c r="AF529" i="2" s="1"/>
  <c r="AA529" i="2"/>
  <c r="AE529" i="2" s="1"/>
  <c r="Z529" i="2"/>
  <c r="Y529" i="2"/>
  <c r="S529" i="2"/>
  <c r="O529" i="2"/>
  <c r="AD529" i="2" s="1"/>
  <c r="N529" i="2"/>
  <c r="AG528" i="2"/>
  <c r="AF528" i="2"/>
  <c r="AE528" i="2"/>
  <c r="AC528" i="2"/>
  <c r="AB528" i="2"/>
  <c r="AA528" i="2"/>
  <c r="Z528" i="2"/>
  <c r="Y528" i="2"/>
  <c r="S528" i="2"/>
  <c r="O528" i="2"/>
  <c r="AD528" i="2" s="1"/>
  <c r="AH528" i="2" s="1"/>
  <c r="N528" i="2"/>
  <c r="AD527" i="2"/>
  <c r="AH527" i="2" s="1"/>
  <c r="AC527" i="2"/>
  <c r="AG527" i="2" s="1"/>
  <c r="AB527" i="2"/>
  <c r="AF527" i="2" s="1"/>
  <c r="AA527" i="2"/>
  <c r="AE527" i="2" s="1"/>
  <c r="Z527" i="2"/>
  <c r="Y527" i="2"/>
  <c r="S527" i="2"/>
  <c r="O527" i="2"/>
  <c r="N527" i="2"/>
  <c r="AH526" i="2"/>
  <c r="AF526" i="2"/>
  <c r="AE526" i="2"/>
  <c r="AD526" i="2"/>
  <c r="AB526" i="2"/>
  <c r="Z526" i="2"/>
  <c r="Y526" i="2"/>
  <c r="S526" i="2"/>
  <c r="O526" i="2"/>
  <c r="AC526" i="2" s="1"/>
  <c r="AG526" i="2" s="1"/>
  <c r="N526" i="2"/>
  <c r="AA526" i="2" s="1"/>
  <c r="AH525" i="2"/>
  <c r="AE525" i="2"/>
  <c r="AC525" i="2"/>
  <c r="AG525" i="2" s="1"/>
  <c r="AB525" i="2"/>
  <c r="AF525" i="2" s="1"/>
  <c r="AA525" i="2"/>
  <c r="Z525" i="2"/>
  <c r="Y525" i="2"/>
  <c r="S525" i="2"/>
  <c r="O525" i="2"/>
  <c r="AD525" i="2" s="1"/>
  <c r="N525" i="2"/>
  <c r="AC524" i="2"/>
  <c r="AG524" i="2" s="1"/>
  <c r="AB524" i="2"/>
  <c r="AF524" i="2" s="1"/>
  <c r="AA524" i="2"/>
  <c r="AE524" i="2" s="1"/>
  <c r="Z524" i="2"/>
  <c r="Y524" i="2"/>
  <c r="S524" i="2"/>
  <c r="O524" i="2"/>
  <c r="AD524" i="2" s="1"/>
  <c r="AH524" i="2" s="1"/>
  <c r="N524" i="2"/>
  <c r="AG523" i="2"/>
  <c r="AF523" i="2"/>
  <c r="AC523" i="2"/>
  <c r="AA523" i="2"/>
  <c r="AE523" i="2" s="1"/>
  <c r="Z523" i="2"/>
  <c r="Y523" i="2"/>
  <c r="S523" i="2"/>
  <c r="O523" i="2"/>
  <c r="AD523" i="2" s="1"/>
  <c r="AH523" i="2" s="1"/>
  <c r="N523" i="2"/>
  <c r="AB523" i="2" s="1"/>
  <c r="AH522" i="2"/>
  <c r="AF522" i="2"/>
  <c r="AE522" i="2"/>
  <c r="AD522" i="2"/>
  <c r="AC522" i="2"/>
  <c r="AG522" i="2" s="1"/>
  <c r="AB522" i="2"/>
  <c r="AA522" i="2"/>
  <c r="Z522" i="2"/>
  <c r="Y522" i="2"/>
  <c r="S522" i="2"/>
  <c r="O522" i="2"/>
  <c r="N522" i="2"/>
  <c r="AD521" i="2"/>
  <c r="AH521" i="2" s="1"/>
  <c r="AC521" i="2"/>
  <c r="AG521" i="2" s="1"/>
  <c r="AA521" i="2"/>
  <c r="AE521" i="2" s="1"/>
  <c r="Z521" i="2"/>
  <c r="Y521" i="2"/>
  <c r="S521" i="2"/>
  <c r="O521" i="2"/>
  <c r="N521" i="2"/>
  <c r="AB521" i="2" s="1"/>
  <c r="AF521" i="2" s="1"/>
  <c r="AH520" i="2"/>
  <c r="AG520" i="2"/>
  <c r="AC520" i="2"/>
  <c r="AA520" i="2"/>
  <c r="AE520" i="2" s="1"/>
  <c r="Z520" i="2"/>
  <c r="Y520" i="2"/>
  <c r="S520" i="2"/>
  <c r="O520" i="2"/>
  <c r="AD520" i="2" s="1"/>
  <c r="N520" i="2"/>
  <c r="AB520" i="2" s="1"/>
  <c r="AF520" i="2" s="1"/>
  <c r="AH519" i="2"/>
  <c r="AG519" i="2"/>
  <c r="AF519" i="2"/>
  <c r="AD519" i="2"/>
  <c r="AC519" i="2"/>
  <c r="AB519" i="2"/>
  <c r="AA519" i="2"/>
  <c r="AE519" i="2" s="1"/>
  <c r="Z519" i="2"/>
  <c r="Y519" i="2"/>
  <c r="S519" i="2"/>
  <c r="O519" i="2"/>
  <c r="N519" i="2"/>
  <c r="AB518" i="2"/>
  <c r="AF518" i="2" s="1"/>
  <c r="AA518" i="2"/>
  <c r="AE518" i="2" s="1"/>
  <c r="Z518" i="2"/>
  <c r="Y518" i="2"/>
  <c r="S518" i="2"/>
  <c r="O518" i="2"/>
  <c r="N518" i="2"/>
  <c r="AF517" i="2"/>
  <c r="AE517" i="2"/>
  <c r="AD517" i="2"/>
  <c r="AH517" i="2" s="1"/>
  <c r="AC517" i="2"/>
  <c r="AG517" i="2" s="1"/>
  <c r="AA517" i="2"/>
  <c r="Z517" i="2"/>
  <c r="Y517" i="2"/>
  <c r="S517" i="2"/>
  <c r="O517" i="2"/>
  <c r="N517" i="2"/>
  <c r="AB517" i="2" s="1"/>
  <c r="AG516" i="2"/>
  <c r="AF516" i="2"/>
  <c r="AE516" i="2"/>
  <c r="AD516" i="2"/>
  <c r="AH516" i="2" s="1"/>
  <c r="AC516" i="2"/>
  <c r="AA516" i="2"/>
  <c r="Z516" i="2"/>
  <c r="Y516" i="2"/>
  <c r="S516" i="2"/>
  <c r="O516" i="2"/>
  <c r="N516" i="2"/>
  <c r="AB516" i="2" s="1"/>
  <c r="AH515" i="2"/>
  <c r="AG515" i="2"/>
  <c r="AD515" i="2"/>
  <c r="AC515" i="2"/>
  <c r="AA515" i="2"/>
  <c r="AE515" i="2" s="1"/>
  <c r="Z515" i="2"/>
  <c r="Y515" i="2"/>
  <c r="S515" i="2"/>
  <c r="O515" i="2"/>
  <c r="N515" i="2"/>
  <c r="AB515" i="2" s="1"/>
  <c r="AF515" i="2" s="1"/>
  <c r="AH514" i="2"/>
  <c r="AG514" i="2"/>
  <c r="AF514" i="2"/>
  <c r="AD514" i="2"/>
  <c r="AC514" i="2"/>
  <c r="AA514" i="2"/>
  <c r="AE514" i="2" s="1"/>
  <c r="Z514" i="2"/>
  <c r="Y514" i="2"/>
  <c r="S514" i="2"/>
  <c r="O514" i="2"/>
  <c r="N514" i="2"/>
  <c r="AB514" i="2" s="1"/>
  <c r="AD513" i="2"/>
  <c r="AH513" i="2" s="1"/>
  <c r="AC513" i="2"/>
  <c r="AG513" i="2" s="1"/>
  <c r="AB513" i="2"/>
  <c r="AF513" i="2" s="1"/>
  <c r="AA513" i="2"/>
  <c r="AE513" i="2" s="1"/>
  <c r="Z513" i="2"/>
  <c r="Y513" i="2"/>
  <c r="S513" i="2"/>
  <c r="O513" i="2"/>
  <c r="N513" i="2"/>
  <c r="AG512" i="2"/>
  <c r="AE512" i="2"/>
  <c r="AC512" i="2"/>
  <c r="AA512" i="2"/>
  <c r="Z512" i="2"/>
  <c r="Y512" i="2"/>
  <c r="S512" i="2"/>
  <c r="O512" i="2"/>
  <c r="AD512" i="2" s="1"/>
  <c r="AH512" i="2" s="1"/>
  <c r="N512" i="2"/>
  <c r="AB512" i="2" s="1"/>
  <c r="AF512" i="2" s="1"/>
  <c r="AG511" i="2"/>
  <c r="AF511" i="2"/>
  <c r="AE511" i="2"/>
  <c r="AD511" i="2"/>
  <c r="AH511" i="2" s="1"/>
  <c r="AB511" i="2"/>
  <c r="AA511" i="2"/>
  <c r="Z511" i="2"/>
  <c r="Y511" i="2"/>
  <c r="S511" i="2"/>
  <c r="O511" i="2"/>
  <c r="AC511" i="2" s="1"/>
  <c r="N511" i="2"/>
  <c r="AG510" i="2"/>
  <c r="AD510" i="2"/>
  <c r="AH510" i="2" s="1"/>
  <c r="AC510" i="2"/>
  <c r="AB510" i="2"/>
  <c r="AF510" i="2" s="1"/>
  <c r="AA510" i="2"/>
  <c r="AE510" i="2" s="1"/>
  <c r="Z510" i="2"/>
  <c r="Y510" i="2"/>
  <c r="S510" i="2"/>
  <c r="O510" i="2"/>
  <c r="N510" i="2"/>
  <c r="AH509" i="2"/>
  <c r="AG509" i="2"/>
  <c r="AC509" i="2"/>
  <c r="AB509" i="2"/>
  <c r="AF509" i="2" s="1"/>
  <c r="AA509" i="2"/>
  <c r="AE509" i="2" s="1"/>
  <c r="Z509" i="2"/>
  <c r="Y509" i="2"/>
  <c r="S509" i="2"/>
  <c r="O509" i="2"/>
  <c r="AD509" i="2" s="1"/>
  <c r="N509" i="2"/>
  <c r="AH508" i="2"/>
  <c r="AG508" i="2"/>
  <c r="AD508" i="2"/>
  <c r="AB508" i="2"/>
  <c r="AF508" i="2" s="1"/>
  <c r="Z508" i="2"/>
  <c r="Y508" i="2"/>
  <c r="S508" i="2"/>
  <c r="O508" i="2"/>
  <c r="AC508" i="2" s="1"/>
  <c r="N508" i="2"/>
  <c r="AA508" i="2" s="1"/>
  <c r="AE508" i="2" s="1"/>
  <c r="AH507" i="2"/>
  <c r="AE507" i="2"/>
  <c r="AD507" i="2"/>
  <c r="AB507" i="2"/>
  <c r="AF507" i="2" s="1"/>
  <c r="AA507" i="2"/>
  <c r="Z507" i="2"/>
  <c r="Y507" i="2"/>
  <c r="S507" i="2"/>
  <c r="O507" i="2"/>
  <c r="AC507" i="2" s="1"/>
  <c r="AG507" i="2" s="1"/>
  <c r="N507" i="2"/>
  <c r="AD506" i="2"/>
  <c r="AH506" i="2" s="1"/>
  <c r="AC506" i="2"/>
  <c r="AG506" i="2" s="1"/>
  <c r="AB506" i="2"/>
  <c r="AF506" i="2" s="1"/>
  <c r="Z506" i="2"/>
  <c r="Y506" i="2"/>
  <c r="S506" i="2"/>
  <c r="O506" i="2"/>
  <c r="N506" i="2"/>
  <c r="AA506" i="2" s="1"/>
  <c r="AE506" i="2" s="1"/>
  <c r="AE505" i="2"/>
  <c r="AC505" i="2"/>
  <c r="AG505" i="2" s="1"/>
  <c r="AA505" i="2"/>
  <c r="Z505" i="2"/>
  <c r="Y505" i="2"/>
  <c r="S505" i="2"/>
  <c r="O505" i="2"/>
  <c r="AD505" i="2" s="1"/>
  <c r="AH505" i="2" s="1"/>
  <c r="N505" i="2"/>
  <c r="AB505" i="2" s="1"/>
  <c r="AF505" i="2" s="1"/>
  <c r="AH504" i="2"/>
  <c r="AF504" i="2"/>
  <c r="AD504" i="2"/>
  <c r="AC504" i="2"/>
  <c r="AG504" i="2" s="1"/>
  <c r="AB504" i="2"/>
  <c r="AA504" i="2"/>
  <c r="AE504" i="2" s="1"/>
  <c r="Z504" i="2"/>
  <c r="Y504" i="2"/>
  <c r="S504" i="2"/>
  <c r="O504" i="2"/>
  <c r="N504" i="2"/>
  <c r="AD503" i="2"/>
  <c r="AH503" i="2" s="1"/>
  <c r="AC503" i="2"/>
  <c r="AG503" i="2" s="1"/>
  <c r="AB503" i="2"/>
  <c r="AF503" i="2" s="1"/>
  <c r="AA503" i="2"/>
  <c r="AE503" i="2" s="1"/>
  <c r="Z503" i="2"/>
  <c r="Y503" i="2"/>
  <c r="S503" i="2"/>
  <c r="O503" i="2"/>
  <c r="N503" i="2"/>
  <c r="AG502" i="2"/>
  <c r="AC502" i="2"/>
  <c r="AA502" i="2"/>
  <c r="AE502" i="2" s="1"/>
  <c r="Z502" i="2"/>
  <c r="Y502" i="2"/>
  <c r="S502" i="2"/>
  <c r="O502" i="2"/>
  <c r="AD502" i="2" s="1"/>
  <c r="AH502" i="2" s="1"/>
  <c r="N502" i="2"/>
  <c r="AB502" i="2" s="1"/>
  <c r="AF502" i="2" s="1"/>
  <c r="AG501" i="2"/>
  <c r="AF501" i="2"/>
  <c r="AD501" i="2"/>
  <c r="AH501" i="2" s="1"/>
  <c r="AC501" i="2"/>
  <c r="AB501" i="2"/>
  <c r="AA501" i="2"/>
  <c r="AE501" i="2" s="1"/>
  <c r="Z501" i="2"/>
  <c r="Y501" i="2"/>
  <c r="S501" i="2"/>
  <c r="O501" i="2"/>
  <c r="N501" i="2"/>
  <c r="AD500" i="2"/>
  <c r="AH500" i="2" s="1"/>
  <c r="AB500" i="2"/>
  <c r="AF500" i="2" s="1"/>
  <c r="AA500" i="2"/>
  <c r="AE500" i="2" s="1"/>
  <c r="Z500" i="2"/>
  <c r="Y500" i="2"/>
  <c r="S500" i="2"/>
  <c r="O500" i="2"/>
  <c r="AC500" i="2" s="1"/>
  <c r="AG500" i="2" s="1"/>
  <c r="N500" i="2"/>
  <c r="AE499" i="2"/>
  <c r="AD499" i="2"/>
  <c r="AH499" i="2" s="1"/>
  <c r="AB499" i="2"/>
  <c r="AF499" i="2" s="1"/>
  <c r="Z499" i="2"/>
  <c r="Y499" i="2"/>
  <c r="S499" i="2"/>
  <c r="O499" i="2"/>
  <c r="AC499" i="2" s="1"/>
  <c r="AG499" i="2" s="1"/>
  <c r="N499" i="2"/>
  <c r="AA499" i="2" s="1"/>
  <c r="AG498" i="2"/>
  <c r="AF498" i="2"/>
  <c r="AD498" i="2"/>
  <c r="AH498" i="2" s="1"/>
  <c r="AC498" i="2"/>
  <c r="AA498" i="2"/>
  <c r="AE498" i="2" s="1"/>
  <c r="Z498" i="2"/>
  <c r="Y498" i="2"/>
  <c r="S498" i="2"/>
  <c r="O498" i="2"/>
  <c r="N498" i="2"/>
  <c r="AB498" i="2" s="1"/>
  <c r="AH497" i="2"/>
  <c r="AG497" i="2"/>
  <c r="AD497" i="2"/>
  <c r="AC497" i="2"/>
  <c r="AA497" i="2"/>
  <c r="AE497" i="2" s="1"/>
  <c r="Z497" i="2"/>
  <c r="Y497" i="2"/>
  <c r="S497" i="2"/>
  <c r="O497" i="2"/>
  <c r="N497" i="2"/>
  <c r="AB497" i="2" s="1"/>
  <c r="AF497" i="2" s="1"/>
  <c r="AH496" i="2"/>
  <c r="AG496" i="2"/>
  <c r="AF496" i="2"/>
  <c r="AD496" i="2"/>
  <c r="AC496" i="2"/>
  <c r="AB496" i="2"/>
  <c r="Z496" i="2"/>
  <c r="Y496" i="2"/>
  <c r="S496" i="2"/>
  <c r="O496" i="2"/>
  <c r="N496" i="2"/>
  <c r="AA496" i="2" s="1"/>
  <c r="AE496" i="2" s="1"/>
  <c r="AH495" i="2"/>
  <c r="AD495" i="2"/>
  <c r="AC495" i="2"/>
  <c r="AG495" i="2" s="1"/>
  <c r="AB495" i="2"/>
  <c r="AF495" i="2" s="1"/>
  <c r="Z495" i="2"/>
  <c r="Y495" i="2"/>
  <c r="N32" i="1" s="1"/>
  <c r="S495" i="2"/>
  <c r="O495" i="2"/>
  <c r="N495" i="2"/>
  <c r="AA495" i="2" s="1"/>
  <c r="AE495" i="2" s="1"/>
  <c r="AD494" i="2"/>
  <c r="AH494" i="2" s="1"/>
  <c r="AC494" i="2"/>
  <c r="AG494" i="2" s="1"/>
  <c r="AB494" i="2"/>
  <c r="AF494" i="2" s="1"/>
  <c r="Z494" i="2"/>
  <c r="Y494" i="2"/>
  <c r="S494" i="2"/>
  <c r="O494" i="2"/>
  <c r="N494" i="2"/>
  <c r="AA494" i="2" s="1"/>
  <c r="AE494" i="2" s="1"/>
  <c r="AG493" i="2"/>
  <c r="AE493" i="2"/>
  <c r="AC493" i="2"/>
  <c r="AB493" i="2"/>
  <c r="AF493" i="2" s="1"/>
  <c r="AA493" i="2"/>
  <c r="Z493" i="2"/>
  <c r="Y493" i="2"/>
  <c r="S493" i="2"/>
  <c r="O493" i="2"/>
  <c r="AD493" i="2" s="1"/>
  <c r="AH493" i="2" s="1"/>
  <c r="N493" i="2"/>
  <c r="AG492" i="2"/>
  <c r="AE492" i="2"/>
  <c r="AD492" i="2"/>
  <c r="AH492" i="2" s="1"/>
  <c r="AC492" i="2"/>
  <c r="AB492" i="2"/>
  <c r="AF492" i="2" s="1"/>
  <c r="AA492" i="2"/>
  <c r="Z492" i="2"/>
  <c r="Y492" i="2"/>
  <c r="S492" i="2"/>
  <c r="O492" i="2"/>
  <c r="N492" i="2"/>
  <c r="AG491" i="2"/>
  <c r="AC491" i="2"/>
  <c r="AB491" i="2"/>
  <c r="AF491" i="2" s="1"/>
  <c r="AA491" i="2"/>
  <c r="AE491" i="2" s="1"/>
  <c r="Z491" i="2"/>
  <c r="Y491" i="2"/>
  <c r="S491" i="2"/>
  <c r="O491" i="2"/>
  <c r="AD491" i="2" s="1"/>
  <c r="AH491" i="2" s="1"/>
  <c r="N491" i="2"/>
  <c r="AG490" i="2"/>
  <c r="AC490" i="2"/>
  <c r="AA490" i="2"/>
  <c r="AE490" i="2" s="1"/>
  <c r="Z490" i="2"/>
  <c r="Y490" i="2"/>
  <c r="S490" i="2"/>
  <c r="O490" i="2"/>
  <c r="AD490" i="2" s="1"/>
  <c r="AH490" i="2" s="1"/>
  <c r="N490" i="2"/>
  <c r="AB490" i="2" s="1"/>
  <c r="AF490" i="2" s="1"/>
  <c r="AE489" i="2"/>
  <c r="AD489" i="2"/>
  <c r="AH489" i="2" s="1"/>
  <c r="AC489" i="2"/>
  <c r="AG489" i="2" s="1"/>
  <c r="AB489" i="2"/>
  <c r="AF489" i="2" s="1"/>
  <c r="AA489" i="2"/>
  <c r="Z489" i="2"/>
  <c r="Y489" i="2"/>
  <c r="S489" i="2"/>
  <c r="O489" i="2"/>
  <c r="N489" i="2"/>
  <c r="AD488" i="2"/>
  <c r="AH488" i="2" s="1"/>
  <c r="AC488" i="2"/>
  <c r="AG488" i="2" s="1"/>
  <c r="AB488" i="2"/>
  <c r="AF488" i="2" s="1"/>
  <c r="AA488" i="2"/>
  <c r="AE488" i="2" s="1"/>
  <c r="Z488" i="2"/>
  <c r="Y488" i="2"/>
  <c r="S488" i="2"/>
  <c r="O488" i="2"/>
  <c r="N488" i="2"/>
  <c r="AH487" i="2"/>
  <c r="AF487" i="2"/>
  <c r="AD487" i="2"/>
  <c r="AC487" i="2"/>
  <c r="AG487" i="2" s="1"/>
  <c r="AB487" i="2"/>
  <c r="Z487" i="2"/>
  <c r="Y487" i="2"/>
  <c r="S487" i="2"/>
  <c r="O487" i="2"/>
  <c r="N487" i="2"/>
  <c r="AA487" i="2" s="1"/>
  <c r="AE487" i="2" s="1"/>
  <c r="AG486" i="2"/>
  <c r="AF486" i="2"/>
  <c r="AD486" i="2"/>
  <c r="AH486" i="2" s="1"/>
  <c r="AC486" i="2"/>
  <c r="AB486" i="2"/>
  <c r="AA486" i="2"/>
  <c r="AE486" i="2" s="1"/>
  <c r="Z486" i="2"/>
  <c r="Y486" i="2"/>
  <c r="S486" i="2"/>
  <c r="O486" i="2"/>
  <c r="N486" i="2"/>
  <c r="AD485" i="2"/>
  <c r="AH485" i="2" s="1"/>
  <c r="AC485" i="2"/>
  <c r="AG485" i="2" s="1"/>
  <c r="AB485" i="2"/>
  <c r="AF485" i="2" s="1"/>
  <c r="AA485" i="2"/>
  <c r="AE485" i="2" s="1"/>
  <c r="Z485" i="2"/>
  <c r="Y485" i="2"/>
  <c r="S485" i="2"/>
  <c r="O485" i="2"/>
  <c r="N485" i="2"/>
  <c r="AH484" i="2"/>
  <c r="AC484" i="2"/>
  <c r="AG484" i="2" s="1"/>
  <c r="AB484" i="2"/>
  <c r="AF484" i="2" s="1"/>
  <c r="AA484" i="2"/>
  <c r="AE484" i="2" s="1"/>
  <c r="Z484" i="2"/>
  <c r="Y484" i="2"/>
  <c r="S484" i="2"/>
  <c r="O484" i="2"/>
  <c r="AD484" i="2" s="1"/>
  <c r="N484" i="2"/>
  <c r="AD483" i="2"/>
  <c r="AH483" i="2" s="1"/>
  <c r="AC483" i="2"/>
  <c r="AG483" i="2" s="1"/>
  <c r="AB483" i="2"/>
  <c r="AF483" i="2" s="1"/>
  <c r="AA483" i="2"/>
  <c r="AE483" i="2" s="1"/>
  <c r="Z483" i="2"/>
  <c r="Y483" i="2"/>
  <c r="S483" i="2"/>
  <c r="O483" i="2"/>
  <c r="N483" i="2"/>
  <c r="AE482" i="2"/>
  <c r="AC482" i="2"/>
  <c r="AG482" i="2" s="1"/>
  <c r="AA482" i="2"/>
  <c r="Z482" i="2"/>
  <c r="Y482" i="2"/>
  <c r="S482" i="2"/>
  <c r="O482" i="2"/>
  <c r="AD482" i="2" s="1"/>
  <c r="AH482" i="2" s="1"/>
  <c r="N482" i="2"/>
  <c r="AB482" i="2" s="1"/>
  <c r="AF482" i="2" s="1"/>
  <c r="AE481" i="2"/>
  <c r="AC481" i="2"/>
  <c r="AG481" i="2" s="1"/>
  <c r="AB481" i="2"/>
  <c r="AF481" i="2" s="1"/>
  <c r="AA481" i="2"/>
  <c r="Z481" i="2"/>
  <c r="Y481" i="2"/>
  <c r="S481" i="2"/>
  <c r="O481" i="2"/>
  <c r="AD481" i="2" s="1"/>
  <c r="AH481" i="2" s="1"/>
  <c r="N481" i="2"/>
  <c r="AG480" i="2"/>
  <c r="AD480" i="2"/>
  <c r="AH480" i="2" s="1"/>
  <c r="AC480" i="2"/>
  <c r="AA480" i="2"/>
  <c r="AE480" i="2" s="1"/>
  <c r="Z480" i="2"/>
  <c r="Y480" i="2"/>
  <c r="S480" i="2"/>
  <c r="O480" i="2"/>
  <c r="N480" i="2"/>
  <c r="AB480" i="2" s="1"/>
  <c r="AF480" i="2" s="1"/>
  <c r="AH479" i="2"/>
  <c r="AG479" i="2"/>
  <c r="AD479" i="2"/>
  <c r="AC479" i="2"/>
  <c r="AB479" i="2"/>
  <c r="AF479" i="2" s="1"/>
  <c r="AA479" i="2"/>
  <c r="AE479" i="2" s="1"/>
  <c r="Z479" i="2"/>
  <c r="Y479" i="2"/>
  <c r="S479" i="2"/>
  <c r="O479" i="2"/>
  <c r="N479" i="2"/>
  <c r="AG478" i="2"/>
  <c r="AF478" i="2"/>
  <c r="AE478" i="2"/>
  <c r="AD478" i="2"/>
  <c r="AH478" i="2" s="1"/>
  <c r="AC478" i="2"/>
  <c r="AA478" i="2"/>
  <c r="Z478" i="2"/>
  <c r="Y478" i="2"/>
  <c r="S478" i="2"/>
  <c r="O478" i="2"/>
  <c r="N478" i="2"/>
  <c r="AB478" i="2" s="1"/>
  <c r="AC477" i="2"/>
  <c r="AG477" i="2" s="1"/>
  <c r="AA477" i="2"/>
  <c r="AE477" i="2" s="1"/>
  <c r="Z477" i="2"/>
  <c r="Y477" i="2"/>
  <c r="S477" i="2"/>
  <c r="O477" i="2"/>
  <c r="AD477" i="2" s="1"/>
  <c r="AH477" i="2" s="1"/>
  <c r="N477" i="2"/>
  <c r="AB477" i="2" s="1"/>
  <c r="AF477" i="2" s="1"/>
  <c r="AE476" i="2"/>
  <c r="AD476" i="2"/>
  <c r="AH476" i="2" s="1"/>
  <c r="AC476" i="2"/>
  <c r="AG476" i="2" s="1"/>
  <c r="AA476" i="2"/>
  <c r="Z476" i="2"/>
  <c r="Y476" i="2"/>
  <c r="S476" i="2"/>
  <c r="O476" i="2"/>
  <c r="N476" i="2"/>
  <c r="AB476" i="2" s="1"/>
  <c r="AF476" i="2" s="1"/>
  <c r="AF475" i="2"/>
  <c r="AE475" i="2"/>
  <c r="AD475" i="2"/>
  <c r="AH475" i="2" s="1"/>
  <c r="AC475" i="2"/>
  <c r="AG475" i="2" s="1"/>
  <c r="AB475" i="2"/>
  <c r="AA475" i="2"/>
  <c r="Z475" i="2"/>
  <c r="Y475" i="2"/>
  <c r="S475" i="2"/>
  <c r="O475" i="2"/>
  <c r="N475" i="2"/>
  <c r="AG474" i="2"/>
  <c r="AF474" i="2"/>
  <c r="AE474" i="2"/>
  <c r="AC474" i="2"/>
  <c r="AB474" i="2"/>
  <c r="AA474" i="2"/>
  <c r="Z474" i="2"/>
  <c r="Y474" i="2"/>
  <c r="S474" i="2"/>
  <c r="O474" i="2"/>
  <c r="AD474" i="2" s="1"/>
  <c r="AH474" i="2" s="1"/>
  <c r="N474" i="2"/>
  <c r="AG473" i="2"/>
  <c r="AE473" i="2"/>
  <c r="AC473" i="2"/>
  <c r="AA473" i="2"/>
  <c r="Z473" i="2"/>
  <c r="Y473" i="2"/>
  <c r="S473" i="2"/>
  <c r="O473" i="2"/>
  <c r="AD473" i="2" s="1"/>
  <c r="AH473" i="2" s="1"/>
  <c r="N473" i="2"/>
  <c r="AB473" i="2" s="1"/>
  <c r="AF473" i="2" s="1"/>
  <c r="AH472" i="2"/>
  <c r="AF472" i="2"/>
  <c r="AD472" i="2"/>
  <c r="AB472" i="2"/>
  <c r="Z472" i="2"/>
  <c r="Y472" i="2"/>
  <c r="S472" i="2"/>
  <c r="O472" i="2"/>
  <c r="AC472" i="2" s="1"/>
  <c r="AG472" i="2" s="1"/>
  <c r="N472" i="2"/>
  <c r="AA472" i="2" s="1"/>
  <c r="AE472" i="2" s="1"/>
  <c r="AG471" i="2"/>
  <c r="AE471" i="2"/>
  <c r="AD471" i="2"/>
  <c r="AH471" i="2" s="1"/>
  <c r="AC471" i="2"/>
  <c r="AB471" i="2"/>
  <c r="AF471" i="2" s="1"/>
  <c r="AA471" i="2"/>
  <c r="Z471" i="2"/>
  <c r="Y471" i="2"/>
  <c r="S471" i="2"/>
  <c r="O471" i="2"/>
  <c r="N471" i="2"/>
  <c r="AH470" i="2"/>
  <c r="AE470" i="2"/>
  <c r="AD470" i="2"/>
  <c r="AC470" i="2"/>
  <c r="AG470" i="2" s="1"/>
  <c r="AB470" i="2"/>
  <c r="AF470" i="2" s="1"/>
  <c r="AA470" i="2"/>
  <c r="Z470" i="2"/>
  <c r="Y470" i="2"/>
  <c r="S470" i="2"/>
  <c r="O470" i="2"/>
  <c r="N470" i="2"/>
  <c r="AH469" i="2"/>
  <c r="AE469" i="2"/>
  <c r="AC469" i="2"/>
  <c r="AG469" i="2" s="1"/>
  <c r="AA469" i="2"/>
  <c r="Z469" i="2"/>
  <c r="Y469" i="2"/>
  <c r="S469" i="2"/>
  <c r="O469" i="2"/>
  <c r="AD469" i="2" s="1"/>
  <c r="N469" i="2"/>
  <c r="AB469" i="2" s="1"/>
  <c r="AF469" i="2" s="1"/>
  <c r="AF468" i="2"/>
  <c r="AE468" i="2"/>
  <c r="AD468" i="2"/>
  <c r="AH468" i="2" s="1"/>
  <c r="AC468" i="2"/>
  <c r="AG468" i="2" s="1"/>
  <c r="AB468" i="2"/>
  <c r="AA468" i="2"/>
  <c r="Z468" i="2"/>
  <c r="Y468" i="2"/>
  <c r="S468" i="2"/>
  <c r="O468" i="2"/>
  <c r="N468" i="2"/>
  <c r="AF467" i="2"/>
  <c r="AE467" i="2"/>
  <c r="AD467" i="2"/>
  <c r="AH467" i="2" s="1"/>
  <c r="AC467" i="2"/>
  <c r="AG467" i="2" s="1"/>
  <c r="AB467" i="2"/>
  <c r="AA467" i="2"/>
  <c r="Z467" i="2"/>
  <c r="Y467" i="2"/>
  <c r="S467" i="2"/>
  <c r="O467" i="2"/>
  <c r="N467" i="2"/>
  <c r="AG466" i="2"/>
  <c r="AF466" i="2"/>
  <c r="AC466" i="2"/>
  <c r="AA466" i="2"/>
  <c r="AE466" i="2" s="1"/>
  <c r="Z466" i="2"/>
  <c r="Y466" i="2"/>
  <c r="S466" i="2"/>
  <c r="O466" i="2"/>
  <c r="AD466" i="2" s="1"/>
  <c r="AH466" i="2" s="1"/>
  <c r="N466" i="2"/>
  <c r="AB466" i="2" s="1"/>
  <c r="AH465" i="2"/>
  <c r="AG465" i="2"/>
  <c r="AF465" i="2"/>
  <c r="AD465" i="2"/>
  <c r="AC465" i="2"/>
  <c r="AB465" i="2"/>
  <c r="AA465" i="2"/>
  <c r="AE465" i="2" s="1"/>
  <c r="Z465" i="2"/>
  <c r="Y465" i="2"/>
  <c r="S465" i="2"/>
  <c r="O465" i="2"/>
  <c r="N465" i="2"/>
  <c r="AD464" i="2"/>
  <c r="AH464" i="2" s="1"/>
  <c r="AC464" i="2"/>
  <c r="AG464" i="2" s="1"/>
  <c r="AB464" i="2"/>
  <c r="AF464" i="2" s="1"/>
  <c r="AA464" i="2"/>
  <c r="AE464" i="2" s="1"/>
  <c r="Z464" i="2"/>
  <c r="Y464" i="2"/>
  <c r="S464" i="2"/>
  <c r="O464" i="2"/>
  <c r="N464" i="2"/>
  <c r="AF463" i="2"/>
  <c r="AE463" i="2"/>
  <c r="AD463" i="2"/>
  <c r="AH463" i="2" s="1"/>
  <c r="AB463" i="2"/>
  <c r="Z463" i="2"/>
  <c r="Y463" i="2"/>
  <c r="S463" i="2"/>
  <c r="O463" i="2"/>
  <c r="AC463" i="2" s="1"/>
  <c r="AG463" i="2" s="1"/>
  <c r="N463" i="2"/>
  <c r="AA463" i="2" s="1"/>
  <c r="AG462" i="2"/>
  <c r="AF462" i="2"/>
  <c r="AD462" i="2"/>
  <c r="AH462" i="2" s="1"/>
  <c r="AC462" i="2"/>
  <c r="AA462" i="2"/>
  <c r="AE462" i="2" s="1"/>
  <c r="Z462" i="2"/>
  <c r="Y462" i="2"/>
  <c r="S462" i="2"/>
  <c r="O462" i="2"/>
  <c r="N462" i="2"/>
  <c r="AB462" i="2" s="1"/>
  <c r="AG461" i="2"/>
  <c r="AE461" i="2"/>
  <c r="AD461" i="2"/>
  <c r="AH461" i="2" s="1"/>
  <c r="AC461" i="2"/>
  <c r="AA461" i="2"/>
  <c r="Z461" i="2"/>
  <c r="Y461" i="2"/>
  <c r="S461" i="2"/>
  <c r="O461" i="2"/>
  <c r="N461" i="2"/>
  <c r="AB461" i="2" s="1"/>
  <c r="AF461" i="2" s="1"/>
  <c r="AH460" i="2"/>
  <c r="AG460" i="2"/>
  <c r="AF460" i="2"/>
  <c r="AC460" i="2"/>
  <c r="AA460" i="2"/>
  <c r="AE460" i="2" s="1"/>
  <c r="Z460" i="2"/>
  <c r="Y460" i="2"/>
  <c r="S460" i="2"/>
  <c r="O460" i="2"/>
  <c r="AD460" i="2" s="1"/>
  <c r="N460" i="2"/>
  <c r="AB460" i="2" s="1"/>
  <c r="AD459" i="2"/>
  <c r="AH459" i="2" s="1"/>
  <c r="AC459" i="2"/>
  <c r="AG459" i="2" s="1"/>
  <c r="AB459" i="2"/>
  <c r="AF459" i="2" s="1"/>
  <c r="AA459" i="2"/>
  <c r="AE459" i="2" s="1"/>
  <c r="Z459" i="2"/>
  <c r="Y459" i="2"/>
  <c r="S459" i="2"/>
  <c r="O459" i="2"/>
  <c r="N459" i="2"/>
  <c r="AF458" i="2"/>
  <c r="AD458" i="2"/>
  <c r="AH458" i="2" s="1"/>
  <c r="AB458" i="2"/>
  <c r="Z458" i="2"/>
  <c r="Y458" i="2"/>
  <c r="S458" i="2"/>
  <c r="O458" i="2"/>
  <c r="AC458" i="2" s="1"/>
  <c r="AG458" i="2" s="1"/>
  <c r="N458" i="2"/>
  <c r="AA458" i="2" s="1"/>
  <c r="AE458" i="2" s="1"/>
  <c r="AH457" i="2"/>
  <c r="AF457" i="2"/>
  <c r="AE457" i="2"/>
  <c r="AD457" i="2"/>
  <c r="AB457" i="2"/>
  <c r="AA457" i="2"/>
  <c r="Z457" i="2"/>
  <c r="Y457" i="2"/>
  <c r="S457" i="2"/>
  <c r="O457" i="2"/>
  <c r="AC457" i="2" s="1"/>
  <c r="AG457" i="2" s="1"/>
  <c r="N457" i="2"/>
  <c r="AG456" i="2"/>
  <c r="AE456" i="2"/>
  <c r="AD456" i="2"/>
  <c r="AH456" i="2" s="1"/>
  <c r="AC456" i="2"/>
  <c r="AB456" i="2"/>
  <c r="AF456" i="2" s="1"/>
  <c r="AA456" i="2"/>
  <c r="Z456" i="2"/>
  <c r="Y456" i="2"/>
  <c r="S456" i="2"/>
  <c r="O456" i="2"/>
  <c r="N456" i="2"/>
  <c r="AH455" i="2"/>
  <c r="AF455" i="2"/>
  <c r="AD455" i="2"/>
  <c r="AB455" i="2"/>
  <c r="AA455" i="2"/>
  <c r="AE455" i="2" s="1"/>
  <c r="Z455" i="2"/>
  <c r="Y455" i="2"/>
  <c r="S455" i="2"/>
  <c r="O455" i="2"/>
  <c r="AC455" i="2" s="1"/>
  <c r="AG455" i="2" s="1"/>
  <c r="N455" i="2"/>
  <c r="AB454" i="2"/>
  <c r="AF454" i="2" s="1"/>
  <c r="AA454" i="2"/>
  <c r="AE454" i="2" s="1"/>
  <c r="Z454" i="2"/>
  <c r="Y454" i="2"/>
  <c r="S454" i="2"/>
  <c r="O454" i="2"/>
  <c r="N454" i="2"/>
  <c r="AH453" i="2"/>
  <c r="AG453" i="2"/>
  <c r="AE453" i="2"/>
  <c r="AC453" i="2"/>
  <c r="AA453" i="2"/>
  <c r="Z453" i="2"/>
  <c r="Y453" i="2"/>
  <c r="S453" i="2"/>
  <c r="O453" i="2"/>
  <c r="AD453" i="2" s="1"/>
  <c r="N453" i="2"/>
  <c r="AB453" i="2" s="1"/>
  <c r="AF453" i="2" s="1"/>
  <c r="AH452" i="2"/>
  <c r="AD452" i="2"/>
  <c r="AC452" i="2"/>
  <c r="AG452" i="2" s="1"/>
  <c r="AB452" i="2"/>
  <c r="AF452" i="2" s="1"/>
  <c r="AA452" i="2"/>
  <c r="AE452" i="2" s="1"/>
  <c r="Z452" i="2"/>
  <c r="Y452" i="2"/>
  <c r="S452" i="2"/>
  <c r="O452" i="2"/>
  <c r="N452" i="2"/>
  <c r="AC451" i="2"/>
  <c r="AG451" i="2" s="1"/>
  <c r="Z451" i="2"/>
  <c r="Y451" i="2"/>
  <c r="S451" i="2"/>
  <c r="O451" i="2"/>
  <c r="AD451" i="2" s="1"/>
  <c r="AH451" i="2" s="1"/>
  <c r="N451" i="2"/>
  <c r="AF450" i="2"/>
  <c r="AD450" i="2"/>
  <c r="AH450" i="2" s="1"/>
  <c r="AC450" i="2"/>
  <c r="AG450" i="2" s="1"/>
  <c r="AB450" i="2"/>
  <c r="AA450" i="2"/>
  <c r="AE450" i="2" s="1"/>
  <c r="Z450" i="2"/>
  <c r="Y450" i="2"/>
  <c r="S450" i="2"/>
  <c r="O450" i="2"/>
  <c r="N450" i="2"/>
  <c r="AH449" i="2"/>
  <c r="AG449" i="2"/>
  <c r="AE449" i="2"/>
  <c r="AD449" i="2"/>
  <c r="AC449" i="2"/>
  <c r="AA449" i="2"/>
  <c r="Z449" i="2"/>
  <c r="Y449" i="2"/>
  <c r="S449" i="2"/>
  <c r="O449" i="2"/>
  <c r="N449" i="2"/>
  <c r="AB449" i="2" s="1"/>
  <c r="AF449" i="2" s="1"/>
  <c r="AH448" i="2"/>
  <c r="AD448" i="2"/>
  <c r="AB448" i="2"/>
  <c r="AF448" i="2" s="1"/>
  <c r="AA448" i="2"/>
  <c r="AE448" i="2" s="1"/>
  <c r="Z448" i="2"/>
  <c r="Y448" i="2"/>
  <c r="S448" i="2"/>
  <c r="O448" i="2"/>
  <c r="AC448" i="2" s="1"/>
  <c r="AG448" i="2" s="1"/>
  <c r="N448" i="2"/>
  <c r="AH447" i="2"/>
  <c r="AF447" i="2"/>
  <c r="AE447" i="2"/>
  <c r="AD447" i="2"/>
  <c r="AC447" i="2"/>
  <c r="AG447" i="2" s="1"/>
  <c r="AB447" i="2"/>
  <c r="Z447" i="2"/>
  <c r="Y447" i="2"/>
  <c r="S447" i="2"/>
  <c r="O447" i="2"/>
  <c r="N447" i="2"/>
  <c r="AA447" i="2" s="1"/>
  <c r="AE446" i="2"/>
  <c r="AD446" i="2"/>
  <c r="AH446" i="2" s="1"/>
  <c r="AC446" i="2"/>
  <c r="AG446" i="2" s="1"/>
  <c r="AB446" i="2"/>
  <c r="AF446" i="2" s="1"/>
  <c r="AA446" i="2"/>
  <c r="Z446" i="2"/>
  <c r="Y446" i="2"/>
  <c r="S446" i="2"/>
  <c r="O446" i="2"/>
  <c r="N446" i="2"/>
  <c r="AD445" i="2"/>
  <c r="AH445" i="2" s="1"/>
  <c r="Z445" i="2"/>
  <c r="Y445" i="2"/>
  <c r="S445" i="2"/>
  <c r="O445" i="2"/>
  <c r="AC445" i="2" s="1"/>
  <c r="AG445" i="2" s="1"/>
  <c r="N445" i="2"/>
  <c r="AH444" i="2"/>
  <c r="AG444" i="2"/>
  <c r="AF444" i="2"/>
  <c r="AC444" i="2"/>
  <c r="AA444" i="2"/>
  <c r="AE444" i="2" s="1"/>
  <c r="Z444" i="2"/>
  <c r="Y444" i="2"/>
  <c r="S444" i="2"/>
  <c r="O444" i="2"/>
  <c r="AD444" i="2" s="1"/>
  <c r="N444" i="2"/>
  <c r="AB444" i="2" s="1"/>
  <c r="AD443" i="2"/>
  <c r="AH443" i="2" s="1"/>
  <c r="AC443" i="2"/>
  <c r="AG443" i="2" s="1"/>
  <c r="AB443" i="2"/>
  <c r="AF443" i="2" s="1"/>
  <c r="AA443" i="2"/>
  <c r="AE443" i="2" s="1"/>
  <c r="Z443" i="2"/>
  <c r="Y443" i="2"/>
  <c r="S443" i="2"/>
  <c r="O443" i="2"/>
  <c r="N443" i="2"/>
  <c r="AF442" i="2"/>
  <c r="AE442" i="2"/>
  <c r="AC442" i="2"/>
  <c r="AG442" i="2" s="1"/>
  <c r="AA442" i="2"/>
  <c r="Z442" i="2"/>
  <c r="Y442" i="2"/>
  <c r="S442" i="2"/>
  <c r="O442" i="2"/>
  <c r="AD442" i="2" s="1"/>
  <c r="AH442" i="2" s="1"/>
  <c r="N442" i="2"/>
  <c r="AB442" i="2" s="1"/>
  <c r="AD441" i="2"/>
  <c r="AH441" i="2" s="1"/>
  <c r="AC441" i="2"/>
  <c r="AG441" i="2" s="1"/>
  <c r="AA441" i="2"/>
  <c r="AE441" i="2" s="1"/>
  <c r="Z441" i="2"/>
  <c r="Y441" i="2"/>
  <c r="S441" i="2"/>
  <c r="O441" i="2"/>
  <c r="N441" i="2"/>
  <c r="AB441" i="2" s="1"/>
  <c r="AF441" i="2" s="1"/>
  <c r="AG440" i="2"/>
  <c r="AE440" i="2"/>
  <c r="AD440" i="2"/>
  <c r="AH440" i="2" s="1"/>
  <c r="AB440" i="2"/>
  <c r="AF440" i="2" s="1"/>
  <c r="Z440" i="2"/>
  <c r="Y440" i="2"/>
  <c r="S440" i="2"/>
  <c r="O440" i="2"/>
  <c r="AC440" i="2" s="1"/>
  <c r="N440" i="2"/>
  <c r="AA440" i="2" s="1"/>
  <c r="AD439" i="2"/>
  <c r="AH439" i="2" s="1"/>
  <c r="AC439" i="2"/>
  <c r="AG439" i="2" s="1"/>
  <c r="AB439" i="2"/>
  <c r="AF439" i="2" s="1"/>
  <c r="AA439" i="2"/>
  <c r="AE439" i="2" s="1"/>
  <c r="Z439" i="2"/>
  <c r="Y439" i="2"/>
  <c r="S439" i="2"/>
  <c r="O439" i="2"/>
  <c r="N439" i="2"/>
  <c r="AG438" i="2"/>
  <c r="AF438" i="2"/>
  <c r="AE438" i="2"/>
  <c r="AD438" i="2"/>
  <c r="AH438" i="2" s="1"/>
  <c r="AB438" i="2"/>
  <c r="Z438" i="2"/>
  <c r="Y438" i="2"/>
  <c r="S438" i="2"/>
  <c r="O438" i="2"/>
  <c r="AC438" i="2" s="1"/>
  <c r="N438" i="2"/>
  <c r="AA438" i="2" s="1"/>
  <c r="AH437" i="2"/>
  <c r="AG437" i="2"/>
  <c r="AF437" i="2"/>
  <c r="AC437" i="2"/>
  <c r="AB437" i="2"/>
  <c r="AA437" i="2"/>
  <c r="AE437" i="2" s="1"/>
  <c r="Z437" i="2"/>
  <c r="Y437" i="2"/>
  <c r="S437" i="2"/>
  <c r="O437" i="2"/>
  <c r="AD437" i="2" s="1"/>
  <c r="N437" i="2"/>
  <c r="AG436" i="2"/>
  <c r="AF436" i="2"/>
  <c r="AC436" i="2"/>
  <c r="AB436" i="2"/>
  <c r="AA436" i="2"/>
  <c r="AE436" i="2" s="1"/>
  <c r="Z436" i="2"/>
  <c r="Y436" i="2"/>
  <c r="S436" i="2"/>
  <c r="O436" i="2"/>
  <c r="AD436" i="2" s="1"/>
  <c r="AH436" i="2" s="1"/>
  <c r="N436" i="2"/>
  <c r="AG435" i="2"/>
  <c r="AC435" i="2"/>
  <c r="AB435" i="2"/>
  <c r="AF435" i="2" s="1"/>
  <c r="AA435" i="2"/>
  <c r="AE435" i="2" s="1"/>
  <c r="Z435" i="2"/>
  <c r="Y435" i="2"/>
  <c r="S435" i="2"/>
  <c r="O435" i="2"/>
  <c r="AD435" i="2" s="1"/>
  <c r="AH435" i="2" s="1"/>
  <c r="N435" i="2"/>
  <c r="AE434" i="2"/>
  <c r="AD434" i="2"/>
  <c r="AH434" i="2" s="1"/>
  <c r="AC434" i="2"/>
  <c r="AG434" i="2" s="1"/>
  <c r="AB434" i="2"/>
  <c r="AF434" i="2" s="1"/>
  <c r="AA434" i="2"/>
  <c r="Z434" i="2"/>
  <c r="Y434" i="2"/>
  <c r="S434" i="2"/>
  <c r="O434" i="2"/>
  <c r="N434" i="2"/>
  <c r="Z433" i="2"/>
  <c r="Y433" i="2"/>
  <c r="S433" i="2"/>
  <c r="O433" i="2"/>
  <c r="AD433" i="2" s="1"/>
  <c r="AH433" i="2" s="1"/>
  <c r="N433" i="2"/>
  <c r="AH432" i="2"/>
  <c r="AG432" i="2"/>
  <c r="AF432" i="2"/>
  <c r="AD432" i="2"/>
  <c r="AC432" i="2"/>
  <c r="AB432" i="2"/>
  <c r="AA432" i="2"/>
  <c r="AE432" i="2" s="1"/>
  <c r="Z432" i="2"/>
  <c r="Y432" i="2"/>
  <c r="S432" i="2"/>
  <c r="O432" i="2"/>
  <c r="N432" i="2"/>
  <c r="AE431" i="2"/>
  <c r="AD431" i="2"/>
  <c r="AH431" i="2" s="1"/>
  <c r="AC431" i="2"/>
  <c r="AG431" i="2" s="1"/>
  <c r="AA431" i="2"/>
  <c r="Z431" i="2"/>
  <c r="Y431" i="2"/>
  <c r="S431" i="2"/>
  <c r="O431" i="2"/>
  <c r="N431" i="2"/>
  <c r="AB431" i="2" s="1"/>
  <c r="AF431" i="2" s="1"/>
  <c r="AH430" i="2"/>
  <c r="AC430" i="2"/>
  <c r="AG430" i="2" s="1"/>
  <c r="AB430" i="2"/>
  <c r="AF430" i="2" s="1"/>
  <c r="AA430" i="2"/>
  <c r="AE430" i="2" s="1"/>
  <c r="Z430" i="2"/>
  <c r="Y430" i="2"/>
  <c r="S430" i="2"/>
  <c r="O430" i="2"/>
  <c r="AD430" i="2" s="1"/>
  <c r="N430" i="2"/>
  <c r="AG429" i="2"/>
  <c r="AC429" i="2"/>
  <c r="AA429" i="2"/>
  <c r="AE429" i="2" s="1"/>
  <c r="Z429" i="2"/>
  <c r="Y429" i="2"/>
  <c r="S429" i="2"/>
  <c r="O429" i="2"/>
  <c r="AD429" i="2" s="1"/>
  <c r="AH429" i="2" s="1"/>
  <c r="N429" i="2"/>
  <c r="AB429" i="2" s="1"/>
  <c r="AF429" i="2" s="1"/>
  <c r="AH428" i="2"/>
  <c r="AG428" i="2"/>
  <c r="AE428" i="2"/>
  <c r="AD428" i="2"/>
  <c r="AC428" i="2"/>
  <c r="AB428" i="2"/>
  <c r="AF428" i="2" s="1"/>
  <c r="AA428" i="2"/>
  <c r="Z428" i="2"/>
  <c r="Y428" i="2"/>
  <c r="S428" i="2"/>
  <c r="O428" i="2"/>
  <c r="N428" i="2"/>
  <c r="AD427" i="2"/>
  <c r="AH427" i="2" s="1"/>
  <c r="AC427" i="2"/>
  <c r="AG427" i="2" s="1"/>
  <c r="AB427" i="2"/>
  <c r="AF427" i="2" s="1"/>
  <c r="AA427" i="2"/>
  <c r="AE427" i="2" s="1"/>
  <c r="Z427" i="2"/>
  <c r="Y427" i="2"/>
  <c r="S427" i="2"/>
  <c r="O427" i="2"/>
  <c r="N427" i="2"/>
  <c r="AA426" i="2"/>
  <c r="AE426" i="2" s="1"/>
  <c r="Z426" i="2"/>
  <c r="Y426" i="2"/>
  <c r="S426" i="2"/>
  <c r="O426" i="2"/>
  <c r="N426" i="2"/>
  <c r="AB426" i="2" s="1"/>
  <c r="AF426" i="2" s="1"/>
  <c r="AF425" i="2"/>
  <c r="AE425" i="2"/>
  <c r="AD425" i="2"/>
  <c r="AH425" i="2" s="1"/>
  <c r="AC425" i="2"/>
  <c r="AG425" i="2" s="1"/>
  <c r="AA425" i="2"/>
  <c r="Z425" i="2"/>
  <c r="Y425" i="2"/>
  <c r="S425" i="2"/>
  <c r="O425" i="2"/>
  <c r="N425" i="2"/>
  <c r="AB425" i="2" s="1"/>
  <c r="AH424" i="2"/>
  <c r="AD424" i="2"/>
  <c r="AC424" i="2"/>
  <c r="AG424" i="2" s="1"/>
  <c r="AA424" i="2"/>
  <c r="AE424" i="2" s="1"/>
  <c r="Z424" i="2"/>
  <c r="Y424" i="2"/>
  <c r="S424" i="2"/>
  <c r="O424" i="2"/>
  <c r="N424" i="2"/>
  <c r="AB424" i="2" s="1"/>
  <c r="AF424" i="2" s="1"/>
  <c r="Z423" i="2"/>
  <c r="Y423" i="2"/>
  <c r="S423" i="2"/>
  <c r="O423" i="2"/>
  <c r="N423" i="2"/>
  <c r="AG422" i="2"/>
  <c r="AE422" i="2"/>
  <c r="AD422" i="2"/>
  <c r="AH422" i="2" s="1"/>
  <c r="AC422" i="2"/>
  <c r="AB422" i="2"/>
  <c r="AF422" i="2" s="1"/>
  <c r="AA422" i="2"/>
  <c r="Z422" i="2"/>
  <c r="Y422" i="2"/>
  <c r="S422" i="2"/>
  <c r="O422" i="2"/>
  <c r="N422" i="2"/>
  <c r="AH421" i="2"/>
  <c r="AG421" i="2"/>
  <c r="AF421" i="2"/>
  <c r="AD421" i="2"/>
  <c r="AB421" i="2"/>
  <c r="AA421" i="2"/>
  <c r="AE421" i="2" s="1"/>
  <c r="Z421" i="2"/>
  <c r="Y421" i="2"/>
  <c r="S421" i="2"/>
  <c r="O421" i="2"/>
  <c r="AC421" i="2" s="1"/>
  <c r="N421" i="2"/>
  <c r="AD420" i="2"/>
  <c r="AH420" i="2" s="1"/>
  <c r="AC420" i="2"/>
  <c r="AG420" i="2" s="1"/>
  <c r="AB420" i="2"/>
  <c r="AF420" i="2" s="1"/>
  <c r="AA420" i="2"/>
  <c r="AE420" i="2" s="1"/>
  <c r="Z420" i="2"/>
  <c r="Y420" i="2"/>
  <c r="S420" i="2"/>
  <c r="O420" i="2"/>
  <c r="N420" i="2"/>
  <c r="AH419" i="2"/>
  <c r="AG419" i="2"/>
  <c r="AC419" i="2"/>
  <c r="AB419" i="2"/>
  <c r="AF419" i="2" s="1"/>
  <c r="AA419" i="2"/>
  <c r="AE419" i="2" s="1"/>
  <c r="Z419" i="2"/>
  <c r="Y419" i="2"/>
  <c r="S419" i="2"/>
  <c r="O419" i="2"/>
  <c r="AD419" i="2" s="1"/>
  <c r="N419" i="2"/>
  <c r="AF418" i="2"/>
  <c r="AD418" i="2"/>
  <c r="AH418" i="2" s="1"/>
  <c r="AC418" i="2"/>
  <c r="AG418" i="2" s="1"/>
  <c r="AB418" i="2"/>
  <c r="AA418" i="2"/>
  <c r="AE418" i="2" s="1"/>
  <c r="Z418" i="2"/>
  <c r="Y418" i="2"/>
  <c r="S418" i="2"/>
  <c r="O418" i="2"/>
  <c r="N418" i="2"/>
  <c r="AE417" i="2"/>
  <c r="AD417" i="2"/>
  <c r="AH417" i="2" s="1"/>
  <c r="AC417" i="2"/>
  <c r="AG417" i="2" s="1"/>
  <c r="AB417" i="2"/>
  <c r="AF417" i="2" s="1"/>
  <c r="AA417" i="2"/>
  <c r="Z417" i="2"/>
  <c r="Y417" i="2"/>
  <c r="S417" i="2"/>
  <c r="O417" i="2"/>
  <c r="N417" i="2"/>
  <c r="AD416" i="2"/>
  <c r="AH416" i="2" s="1"/>
  <c r="AB416" i="2"/>
  <c r="AF416" i="2" s="1"/>
  <c r="Z416" i="2"/>
  <c r="Y416" i="2"/>
  <c r="S416" i="2"/>
  <c r="O416" i="2"/>
  <c r="AC416" i="2" s="1"/>
  <c r="AG416" i="2" s="1"/>
  <c r="N416" i="2"/>
  <c r="AA416" i="2" s="1"/>
  <c r="AE416" i="2" s="1"/>
  <c r="AG415" i="2"/>
  <c r="AF415" i="2"/>
  <c r="AE415" i="2"/>
  <c r="AC415" i="2"/>
  <c r="AA415" i="2"/>
  <c r="Z415" i="2"/>
  <c r="Y415" i="2"/>
  <c r="S415" i="2"/>
  <c r="O415" i="2"/>
  <c r="AD415" i="2" s="1"/>
  <c r="AH415" i="2" s="1"/>
  <c r="N415" i="2"/>
  <c r="AB415" i="2" s="1"/>
  <c r="AD414" i="2"/>
  <c r="AH414" i="2" s="1"/>
  <c r="AC414" i="2"/>
  <c r="AG414" i="2" s="1"/>
  <c r="AB414" i="2"/>
  <c r="AF414" i="2" s="1"/>
  <c r="AA414" i="2"/>
  <c r="AE414" i="2" s="1"/>
  <c r="Z414" i="2"/>
  <c r="Y414" i="2"/>
  <c r="S414" i="2"/>
  <c r="O414" i="2"/>
  <c r="N414" i="2"/>
  <c r="AG413" i="2"/>
  <c r="AF413" i="2"/>
  <c r="AC413" i="2"/>
  <c r="AA413" i="2"/>
  <c r="AE413" i="2" s="1"/>
  <c r="Z413" i="2"/>
  <c r="Y413" i="2"/>
  <c r="S413" i="2"/>
  <c r="O413" i="2"/>
  <c r="AD413" i="2" s="1"/>
  <c r="AH413" i="2" s="1"/>
  <c r="N413" i="2"/>
  <c r="AB413" i="2" s="1"/>
  <c r="AH412" i="2"/>
  <c r="AG412" i="2"/>
  <c r="AC412" i="2"/>
  <c r="AB412" i="2"/>
  <c r="AF412" i="2" s="1"/>
  <c r="AA412" i="2"/>
  <c r="AE412" i="2" s="1"/>
  <c r="Z412" i="2"/>
  <c r="Y412" i="2"/>
  <c r="S412" i="2"/>
  <c r="O412" i="2"/>
  <c r="AD412" i="2" s="1"/>
  <c r="N412" i="2"/>
  <c r="AC411" i="2"/>
  <c r="AG411" i="2" s="1"/>
  <c r="AA411" i="2"/>
  <c r="AE411" i="2" s="1"/>
  <c r="Z411" i="2"/>
  <c r="Y411" i="2"/>
  <c r="S411" i="2"/>
  <c r="O411" i="2"/>
  <c r="AD411" i="2" s="1"/>
  <c r="AH411" i="2" s="1"/>
  <c r="N411" i="2"/>
  <c r="AB411" i="2" s="1"/>
  <c r="AF411" i="2" s="1"/>
  <c r="AG410" i="2"/>
  <c r="AC410" i="2"/>
  <c r="AB410" i="2"/>
  <c r="AF410" i="2" s="1"/>
  <c r="AA410" i="2"/>
  <c r="AE410" i="2" s="1"/>
  <c r="Z410" i="2"/>
  <c r="Y410" i="2"/>
  <c r="S410" i="2"/>
  <c r="O410" i="2"/>
  <c r="AD410" i="2" s="1"/>
  <c r="AH410" i="2" s="1"/>
  <c r="N410" i="2"/>
  <c r="AE409" i="2"/>
  <c r="AD409" i="2"/>
  <c r="AH409" i="2" s="1"/>
  <c r="AC409" i="2"/>
  <c r="AG409" i="2" s="1"/>
  <c r="AB409" i="2"/>
  <c r="AF409" i="2" s="1"/>
  <c r="AA409" i="2"/>
  <c r="Z409" i="2"/>
  <c r="Y409" i="2"/>
  <c r="S409" i="2"/>
  <c r="O409" i="2"/>
  <c r="N409" i="2"/>
  <c r="AG408" i="2"/>
  <c r="AC408" i="2"/>
  <c r="AA408" i="2"/>
  <c r="AE408" i="2" s="1"/>
  <c r="Z408" i="2"/>
  <c r="Y408" i="2"/>
  <c r="S408" i="2"/>
  <c r="O408" i="2"/>
  <c r="AD408" i="2" s="1"/>
  <c r="AH408" i="2" s="1"/>
  <c r="N408" i="2"/>
  <c r="AB408" i="2" s="1"/>
  <c r="AF408" i="2" s="1"/>
  <c r="AH407" i="2"/>
  <c r="AG407" i="2"/>
  <c r="AF407" i="2"/>
  <c r="AD407" i="2"/>
  <c r="AC407" i="2"/>
  <c r="AB407" i="2"/>
  <c r="AA407" i="2"/>
  <c r="AE407" i="2" s="1"/>
  <c r="Z407" i="2"/>
  <c r="Y407" i="2"/>
  <c r="S407" i="2"/>
  <c r="O407" i="2"/>
  <c r="N407" i="2"/>
  <c r="AG406" i="2"/>
  <c r="AE406" i="2"/>
  <c r="AD406" i="2"/>
  <c r="AH406" i="2" s="1"/>
  <c r="AC406" i="2"/>
  <c r="AA406" i="2"/>
  <c r="Z406" i="2"/>
  <c r="Y406" i="2"/>
  <c r="S406" i="2"/>
  <c r="O406" i="2"/>
  <c r="N406" i="2"/>
  <c r="AB406" i="2" s="1"/>
  <c r="AF406" i="2" s="1"/>
  <c r="AH405" i="2"/>
  <c r="AD405" i="2"/>
  <c r="AC405" i="2"/>
  <c r="AG405" i="2" s="1"/>
  <c r="AB405" i="2"/>
  <c r="AF405" i="2" s="1"/>
  <c r="AA405" i="2"/>
  <c r="AE405" i="2" s="1"/>
  <c r="Z405" i="2"/>
  <c r="Y405" i="2"/>
  <c r="S405" i="2"/>
  <c r="O405" i="2"/>
  <c r="N405" i="2"/>
  <c r="AH404" i="2"/>
  <c r="AE404" i="2"/>
  <c r="AC404" i="2"/>
  <c r="AG404" i="2" s="1"/>
  <c r="AA404" i="2"/>
  <c r="Z404" i="2"/>
  <c r="Y404" i="2"/>
  <c r="S404" i="2"/>
  <c r="O404" i="2"/>
  <c r="AD404" i="2" s="1"/>
  <c r="N404" i="2"/>
  <c r="AB404" i="2" s="1"/>
  <c r="AF404" i="2" s="1"/>
  <c r="AE403" i="2"/>
  <c r="AC403" i="2"/>
  <c r="AG403" i="2" s="1"/>
  <c r="AB403" i="2"/>
  <c r="AF403" i="2" s="1"/>
  <c r="AA403" i="2"/>
  <c r="Z403" i="2"/>
  <c r="Y403" i="2"/>
  <c r="S403" i="2"/>
  <c r="O403" i="2"/>
  <c r="AD403" i="2" s="1"/>
  <c r="AH403" i="2" s="1"/>
  <c r="N403" i="2"/>
  <c r="AD402" i="2"/>
  <c r="AH402" i="2" s="1"/>
  <c r="AB402" i="2"/>
  <c r="AF402" i="2" s="1"/>
  <c r="Z402" i="2"/>
  <c r="Y402" i="2"/>
  <c r="S402" i="2"/>
  <c r="O402" i="2"/>
  <c r="AC402" i="2" s="1"/>
  <c r="AG402" i="2" s="1"/>
  <c r="N402" i="2"/>
  <c r="AA402" i="2" s="1"/>
  <c r="AE402" i="2" s="1"/>
  <c r="AH401" i="2"/>
  <c r="AE401" i="2"/>
  <c r="AD401" i="2"/>
  <c r="AB401" i="2"/>
  <c r="AF401" i="2" s="1"/>
  <c r="AA401" i="2"/>
  <c r="Z401" i="2"/>
  <c r="Y401" i="2"/>
  <c r="S401" i="2"/>
  <c r="O401" i="2"/>
  <c r="AC401" i="2" s="1"/>
  <c r="AG401" i="2" s="1"/>
  <c r="N401" i="2"/>
  <c r="AE400" i="2"/>
  <c r="AC400" i="2"/>
  <c r="AG400" i="2" s="1"/>
  <c r="AA400" i="2"/>
  <c r="Z400" i="2"/>
  <c r="Y400" i="2"/>
  <c r="S400" i="2"/>
  <c r="O400" i="2"/>
  <c r="AD400" i="2" s="1"/>
  <c r="AH400" i="2" s="1"/>
  <c r="N400" i="2"/>
  <c r="AB400" i="2" s="1"/>
  <c r="AF400" i="2" s="1"/>
  <c r="AG399" i="2"/>
  <c r="AE399" i="2"/>
  <c r="AC399" i="2"/>
  <c r="AB399" i="2"/>
  <c r="AF399" i="2" s="1"/>
  <c r="AA399" i="2"/>
  <c r="Z399" i="2"/>
  <c r="Y399" i="2"/>
  <c r="S399" i="2"/>
  <c r="O399" i="2"/>
  <c r="AD399" i="2" s="1"/>
  <c r="AH399" i="2" s="1"/>
  <c r="N399" i="2"/>
  <c r="AC398" i="2"/>
  <c r="AG398" i="2" s="1"/>
  <c r="AB398" i="2"/>
  <c r="AF398" i="2" s="1"/>
  <c r="AA398" i="2"/>
  <c r="AE398" i="2" s="1"/>
  <c r="Z398" i="2"/>
  <c r="Y398" i="2"/>
  <c r="S398" i="2"/>
  <c r="O398" i="2"/>
  <c r="AD398" i="2" s="1"/>
  <c r="AH398" i="2" s="1"/>
  <c r="N398" i="2"/>
  <c r="AG397" i="2"/>
  <c r="AE397" i="2"/>
  <c r="AC397" i="2"/>
  <c r="AA397" i="2"/>
  <c r="Z397" i="2"/>
  <c r="Y397" i="2"/>
  <c r="S397" i="2"/>
  <c r="O397" i="2"/>
  <c r="AD397" i="2" s="1"/>
  <c r="AH397" i="2" s="1"/>
  <c r="N397" i="2"/>
  <c r="AB397" i="2" s="1"/>
  <c r="AF397" i="2" s="1"/>
  <c r="AE396" i="2"/>
  <c r="AD396" i="2"/>
  <c r="AH396" i="2" s="1"/>
  <c r="AC396" i="2"/>
  <c r="AG396" i="2" s="1"/>
  <c r="AB396" i="2"/>
  <c r="AF396" i="2" s="1"/>
  <c r="AA396" i="2"/>
  <c r="Z396" i="2"/>
  <c r="Y396" i="2"/>
  <c r="S396" i="2"/>
  <c r="O396" i="2"/>
  <c r="N396" i="2"/>
  <c r="AC395" i="2"/>
  <c r="AG395" i="2" s="1"/>
  <c r="AB395" i="2"/>
  <c r="AF395" i="2" s="1"/>
  <c r="AA395" i="2"/>
  <c r="AE395" i="2" s="1"/>
  <c r="Z395" i="2"/>
  <c r="Y395" i="2"/>
  <c r="S395" i="2"/>
  <c r="O395" i="2"/>
  <c r="AD395" i="2" s="1"/>
  <c r="AH395" i="2" s="1"/>
  <c r="N395" i="2"/>
  <c r="AC394" i="2"/>
  <c r="AG394" i="2" s="1"/>
  <c r="AA394" i="2"/>
  <c r="AE394" i="2" s="1"/>
  <c r="Z394" i="2"/>
  <c r="Y394" i="2"/>
  <c r="S394" i="2"/>
  <c r="O394" i="2"/>
  <c r="AD394" i="2" s="1"/>
  <c r="AH394" i="2" s="1"/>
  <c r="N394" i="2"/>
  <c r="AB394" i="2" s="1"/>
  <c r="AF394" i="2" s="1"/>
  <c r="AH393" i="2"/>
  <c r="AG393" i="2"/>
  <c r="AE393" i="2"/>
  <c r="AD393" i="2"/>
  <c r="AC393" i="2"/>
  <c r="AB393" i="2"/>
  <c r="AF393" i="2" s="1"/>
  <c r="AA393" i="2"/>
  <c r="Z393" i="2"/>
  <c r="Y393" i="2"/>
  <c r="S393" i="2"/>
  <c r="O393" i="2"/>
  <c r="N393" i="2"/>
  <c r="AF392" i="2"/>
  <c r="AE392" i="2"/>
  <c r="AB392" i="2"/>
  <c r="AA392" i="2"/>
  <c r="Z392" i="2"/>
  <c r="Y392" i="2"/>
  <c r="S392" i="2"/>
  <c r="O392" i="2"/>
  <c r="N392" i="2"/>
  <c r="AD391" i="2"/>
  <c r="AH391" i="2" s="1"/>
  <c r="AC391" i="2"/>
  <c r="AG391" i="2" s="1"/>
  <c r="AA391" i="2"/>
  <c r="AE391" i="2" s="1"/>
  <c r="Z391" i="2"/>
  <c r="Y391" i="2"/>
  <c r="S391" i="2"/>
  <c r="O391" i="2"/>
  <c r="N391" i="2"/>
  <c r="AB391" i="2" s="1"/>
  <c r="AF391" i="2" s="1"/>
  <c r="AH390" i="2"/>
  <c r="AG390" i="2"/>
  <c r="AF390" i="2"/>
  <c r="AE390" i="2"/>
  <c r="AD390" i="2"/>
  <c r="AB390" i="2"/>
  <c r="AA390" i="2"/>
  <c r="Z390" i="2"/>
  <c r="Y390" i="2"/>
  <c r="S390" i="2"/>
  <c r="O390" i="2"/>
  <c r="AC390" i="2" s="1"/>
  <c r="N390" i="2"/>
  <c r="AF389" i="2"/>
  <c r="AD389" i="2"/>
  <c r="AH389" i="2" s="1"/>
  <c r="AC389" i="2"/>
  <c r="AG389" i="2" s="1"/>
  <c r="AB389" i="2"/>
  <c r="AA389" i="2"/>
  <c r="AE389" i="2" s="1"/>
  <c r="Z389" i="2"/>
  <c r="Y389" i="2"/>
  <c r="S389" i="2"/>
  <c r="O389" i="2"/>
  <c r="N389" i="2"/>
  <c r="AC388" i="2"/>
  <c r="AG388" i="2" s="1"/>
  <c r="AA388" i="2"/>
  <c r="AE388" i="2" s="1"/>
  <c r="Z388" i="2"/>
  <c r="Y388" i="2"/>
  <c r="S388" i="2"/>
  <c r="O388" i="2"/>
  <c r="AD388" i="2" s="1"/>
  <c r="AH388" i="2" s="1"/>
  <c r="N388" i="2"/>
  <c r="AB388" i="2" s="1"/>
  <c r="AF388" i="2" s="1"/>
  <c r="AD387" i="2"/>
  <c r="AH387" i="2" s="1"/>
  <c r="AC387" i="2"/>
  <c r="AG387" i="2" s="1"/>
  <c r="AA387" i="2"/>
  <c r="AE387" i="2" s="1"/>
  <c r="Z387" i="2"/>
  <c r="Y387" i="2"/>
  <c r="S387" i="2"/>
  <c r="O387" i="2"/>
  <c r="N387" i="2"/>
  <c r="AB387" i="2" s="1"/>
  <c r="AF387" i="2" s="1"/>
  <c r="AE386" i="2"/>
  <c r="AD386" i="2"/>
  <c r="AH386" i="2" s="1"/>
  <c r="AC386" i="2"/>
  <c r="AG386" i="2" s="1"/>
  <c r="AB386" i="2"/>
  <c r="AF386" i="2" s="1"/>
  <c r="AA386" i="2"/>
  <c r="Z386" i="2"/>
  <c r="Y386" i="2"/>
  <c r="S386" i="2"/>
  <c r="O386" i="2"/>
  <c r="N386" i="2"/>
  <c r="AG385" i="2"/>
  <c r="AD385" i="2"/>
  <c r="AH385" i="2" s="1"/>
  <c r="AC385" i="2"/>
  <c r="AB385" i="2"/>
  <c r="AF385" i="2" s="1"/>
  <c r="AA385" i="2"/>
  <c r="AE385" i="2" s="1"/>
  <c r="Z385" i="2"/>
  <c r="Y385" i="2"/>
  <c r="S385" i="2"/>
  <c r="O385" i="2"/>
  <c r="N385" i="2"/>
  <c r="AG384" i="2"/>
  <c r="AF384" i="2"/>
  <c r="AE384" i="2"/>
  <c r="AC384" i="2"/>
  <c r="AB384" i="2"/>
  <c r="AA384" i="2"/>
  <c r="Z384" i="2"/>
  <c r="Y384" i="2"/>
  <c r="S384" i="2"/>
  <c r="O384" i="2"/>
  <c r="AD384" i="2" s="1"/>
  <c r="AH384" i="2" s="1"/>
  <c r="N384" i="2"/>
  <c r="AG383" i="2"/>
  <c r="AC383" i="2"/>
  <c r="AA383" i="2"/>
  <c r="AE383" i="2" s="1"/>
  <c r="Z383" i="2"/>
  <c r="Y383" i="2"/>
  <c r="S383" i="2"/>
  <c r="O383" i="2"/>
  <c r="AD383" i="2" s="1"/>
  <c r="AH383" i="2" s="1"/>
  <c r="N383" i="2"/>
  <c r="AB383" i="2" s="1"/>
  <c r="AF383" i="2" s="1"/>
  <c r="AH382" i="2"/>
  <c r="AD382" i="2"/>
  <c r="AC382" i="2"/>
  <c r="AG382" i="2" s="1"/>
  <c r="AB382" i="2"/>
  <c r="AF382" i="2" s="1"/>
  <c r="AA382" i="2"/>
  <c r="AE382" i="2" s="1"/>
  <c r="Z382" i="2"/>
  <c r="Y382" i="2"/>
  <c r="S382" i="2"/>
  <c r="O382" i="2"/>
  <c r="N382" i="2"/>
  <c r="AE381" i="2"/>
  <c r="AD381" i="2"/>
  <c r="AH381" i="2" s="1"/>
  <c r="AC381" i="2"/>
  <c r="AG381" i="2" s="1"/>
  <c r="AA381" i="2"/>
  <c r="Z381" i="2"/>
  <c r="Y381" i="2"/>
  <c r="S381" i="2"/>
  <c r="O381" i="2"/>
  <c r="N381" i="2"/>
  <c r="AB381" i="2" s="1"/>
  <c r="AF381" i="2" s="1"/>
  <c r="AE380" i="2"/>
  <c r="AC380" i="2"/>
  <c r="AG380" i="2" s="1"/>
  <c r="AA380" i="2"/>
  <c r="Z380" i="2"/>
  <c r="Y380" i="2"/>
  <c r="S380" i="2"/>
  <c r="O380" i="2"/>
  <c r="AD380" i="2" s="1"/>
  <c r="AH380" i="2" s="1"/>
  <c r="N380" i="2"/>
  <c r="AB380" i="2" s="1"/>
  <c r="AF380" i="2" s="1"/>
  <c r="AF379" i="2"/>
  <c r="AE379" i="2"/>
  <c r="AD379" i="2"/>
  <c r="AH379" i="2" s="1"/>
  <c r="AC379" i="2"/>
  <c r="AG379" i="2" s="1"/>
  <c r="AA379" i="2"/>
  <c r="Z379" i="2"/>
  <c r="Y379" i="2"/>
  <c r="S379" i="2"/>
  <c r="O379" i="2"/>
  <c r="N379" i="2"/>
  <c r="AB379" i="2" s="1"/>
  <c r="AF378" i="2"/>
  <c r="AE378" i="2"/>
  <c r="AD378" i="2"/>
  <c r="AH378" i="2" s="1"/>
  <c r="AC378" i="2"/>
  <c r="AG378" i="2" s="1"/>
  <c r="AB378" i="2"/>
  <c r="AA378" i="2"/>
  <c r="Z378" i="2"/>
  <c r="Y378" i="2"/>
  <c r="S378" i="2"/>
  <c r="O378" i="2"/>
  <c r="N378" i="2"/>
  <c r="AH377" i="2"/>
  <c r="AG377" i="2"/>
  <c r="AF377" i="2"/>
  <c r="AE377" i="2"/>
  <c r="AD377" i="2"/>
  <c r="AC377" i="2"/>
  <c r="AB377" i="2"/>
  <c r="AA377" i="2"/>
  <c r="Z377" i="2"/>
  <c r="Y377" i="2"/>
  <c r="S377" i="2"/>
  <c r="O377" i="2"/>
  <c r="N377" i="2"/>
  <c r="AH376" i="2"/>
  <c r="AC376" i="2"/>
  <c r="AG376" i="2" s="1"/>
  <c r="AA376" i="2"/>
  <c r="AE376" i="2" s="1"/>
  <c r="Z376" i="2"/>
  <c r="Y376" i="2"/>
  <c r="S376" i="2"/>
  <c r="O376" i="2"/>
  <c r="AD376" i="2" s="1"/>
  <c r="N376" i="2"/>
  <c r="AB376" i="2" s="1"/>
  <c r="AF376" i="2" s="1"/>
  <c r="AG375" i="2"/>
  <c r="AD375" i="2"/>
  <c r="AH375" i="2" s="1"/>
  <c r="AC375" i="2"/>
  <c r="AA375" i="2"/>
  <c r="AE375" i="2" s="1"/>
  <c r="Z375" i="2"/>
  <c r="Y375" i="2"/>
  <c r="S375" i="2"/>
  <c r="O375" i="2"/>
  <c r="N375" i="2"/>
  <c r="AB375" i="2" s="1"/>
  <c r="AF375" i="2" s="1"/>
  <c r="AH374" i="2"/>
  <c r="AE374" i="2"/>
  <c r="AD374" i="2"/>
  <c r="AC374" i="2"/>
  <c r="AG374" i="2" s="1"/>
  <c r="AA374" i="2"/>
  <c r="Z374" i="2"/>
  <c r="Y374" i="2"/>
  <c r="S374" i="2"/>
  <c r="O374" i="2"/>
  <c r="N374" i="2"/>
  <c r="AB374" i="2" s="1"/>
  <c r="AF374" i="2" s="1"/>
  <c r="AF373" i="2"/>
  <c r="AE373" i="2"/>
  <c r="AD373" i="2"/>
  <c r="AH373" i="2" s="1"/>
  <c r="AC373" i="2"/>
  <c r="AG373" i="2" s="1"/>
  <c r="AB373" i="2"/>
  <c r="AA373" i="2"/>
  <c r="Z373" i="2"/>
  <c r="Y373" i="2"/>
  <c r="S373" i="2"/>
  <c r="O373" i="2"/>
  <c r="N373" i="2"/>
  <c r="AG372" i="2"/>
  <c r="AC372" i="2"/>
  <c r="AA372" i="2"/>
  <c r="AE372" i="2" s="1"/>
  <c r="Z372" i="2"/>
  <c r="Y372" i="2"/>
  <c r="S372" i="2"/>
  <c r="O372" i="2"/>
  <c r="AD372" i="2" s="1"/>
  <c r="AH372" i="2" s="1"/>
  <c r="N372" i="2"/>
  <c r="AB372" i="2" s="1"/>
  <c r="AF372" i="2" s="1"/>
  <c r="AH371" i="2"/>
  <c r="AG371" i="2"/>
  <c r="AF371" i="2"/>
  <c r="AD371" i="2"/>
  <c r="AC371" i="2"/>
  <c r="AB371" i="2"/>
  <c r="Z371" i="2"/>
  <c r="Y371" i="2"/>
  <c r="S371" i="2"/>
  <c r="O371" i="2"/>
  <c r="N371" i="2"/>
  <c r="AA371" i="2" s="1"/>
  <c r="AE371" i="2" s="1"/>
  <c r="AH370" i="2"/>
  <c r="AG370" i="2"/>
  <c r="AE370" i="2"/>
  <c r="AD370" i="2"/>
  <c r="AC370" i="2"/>
  <c r="AB370" i="2"/>
  <c r="AF370" i="2" s="1"/>
  <c r="AA370" i="2"/>
  <c r="Z370" i="2"/>
  <c r="Y370" i="2"/>
  <c r="S370" i="2"/>
  <c r="O370" i="2"/>
  <c r="N370" i="2"/>
  <c r="AH369" i="2"/>
  <c r="AG369" i="2"/>
  <c r="AC369" i="2"/>
  <c r="AA369" i="2"/>
  <c r="AE369" i="2" s="1"/>
  <c r="Z369" i="2"/>
  <c r="Y369" i="2"/>
  <c r="S369" i="2"/>
  <c r="O369" i="2"/>
  <c r="AD369" i="2" s="1"/>
  <c r="N369" i="2"/>
  <c r="AB369" i="2" s="1"/>
  <c r="AF369" i="2" s="1"/>
  <c r="AG368" i="2"/>
  <c r="AE368" i="2"/>
  <c r="AD368" i="2"/>
  <c r="AH368" i="2" s="1"/>
  <c r="AC368" i="2"/>
  <c r="AA368" i="2"/>
  <c r="Z368" i="2"/>
  <c r="Y368" i="2"/>
  <c r="S368" i="2"/>
  <c r="O368" i="2"/>
  <c r="N368" i="2"/>
  <c r="AB368" i="2" s="1"/>
  <c r="AF368" i="2" s="1"/>
  <c r="AH367" i="2"/>
  <c r="AG367" i="2"/>
  <c r="AF367" i="2"/>
  <c r="AE367" i="2"/>
  <c r="AD367" i="2"/>
  <c r="AC367" i="2"/>
  <c r="AB367" i="2"/>
  <c r="AA367" i="2"/>
  <c r="Z367" i="2"/>
  <c r="Y367" i="2"/>
  <c r="S367" i="2"/>
  <c r="O367" i="2"/>
  <c r="N367" i="2"/>
  <c r="AD366" i="2"/>
  <c r="AH366" i="2" s="1"/>
  <c r="AB366" i="2"/>
  <c r="AF366" i="2" s="1"/>
  <c r="Z366" i="2"/>
  <c r="Y366" i="2"/>
  <c r="S366" i="2"/>
  <c r="O366" i="2"/>
  <c r="AC366" i="2" s="1"/>
  <c r="AG366" i="2" s="1"/>
  <c r="N366" i="2"/>
  <c r="AA366" i="2" s="1"/>
  <c r="AE366" i="2" s="1"/>
  <c r="AH365" i="2"/>
  <c r="AG365" i="2"/>
  <c r="AC365" i="2"/>
  <c r="AB365" i="2"/>
  <c r="AF365" i="2" s="1"/>
  <c r="AA365" i="2"/>
  <c r="AE365" i="2" s="1"/>
  <c r="Z365" i="2"/>
  <c r="Y365" i="2"/>
  <c r="S365" i="2"/>
  <c r="O365" i="2"/>
  <c r="AD365" i="2" s="1"/>
  <c r="N365" i="2"/>
  <c r="AD364" i="2"/>
  <c r="AH364" i="2" s="1"/>
  <c r="AC364" i="2"/>
  <c r="AG364" i="2" s="1"/>
  <c r="AB364" i="2"/>
  <c r="AF364" i="2" s="1"/>
  <c r="AA364" i="2"/>
  <c r="AE364" i="2" s="1"/>
  <c r="Z364" i="2"/>
  <c r="Y364" i="2"/>
  <c r="S364" i="2"/>
  <c r="O364" i="2"/>
  <c r="N364" i="2"/>
  <c r="AD363" i="2"/>
  <c r="AH363" i="2" s="1"/>
  <c r="AB363" i="2"/>
  <c r="AF363" i="2" s="1"/>
  <c r="Z363" i="2"/>
  <c r="Y363" i="2"/>
  <c r="S363" i="2"/>
  <c r="O363" i="2"/>
  <c r="AC363" i="2" s="1"/>
  <c r="AG363" i="2" s="1"/>
  <c r="N363" i="2"/>
  <c r="AA363" i="2" s="1"/>
  <c r="AE363" i="2" s="1"/>
  <c r="AH362" i="2"/>
  <c r="AE362" i="2"/>
  <c r="AD362" i="2"/>
  <c r="AB362" i="2"/>
  <c r="AF362" i="2" s="1"/>
  <c r="Z362" i="2"/>
  <c r="Y362" i="2"/>
  <c r="S362" i="2"/>
  <c r="O362" i="2"/>
  <c r="AC362" i="2" s="1"/>
  <c r="AG362" i="2" s="1"/>
  <c r="N362" i="2"/>
  <c r="AA362" i="2" s="1"/>
  <c r="AF361" i="2"/>
  <c r="AE361" i="2"/>
  <c r="AD361" i="2"/>
  <c r="AH361" i="2" s="1"/>
  <c r="AC361" i="2"/>
  <c r="AG361" i="2" s="1"/>
  <c r="AA361" i="2"/>
  <c r="Z361" i="2"/>
  <c r="Y361" i="2"/>
  <c r="S361" i="2"/>
  <c r="O361" i="2"/>
  <c r="N361" i="2"/>
  <c r="AB361" i="2" s="1"/>
  <c r="AF360" i="2"/>
  <c r="AE360" i="2"/>
  <c r="AD360" i="2"/>
  <c r="AH360" i="2" s="1"/>
  <c r="AC360" i="2"/>
  <c r="AG360" i="2" s="1"/>
  <c r="AB360" i="2"/>
  <c r="AA360" i="2"/>
  <c r="Z360" i="2"/>
  <c r="Y360" i="2"/>
  <c r="S360" i="2"/>
  <c r="O360" i="2"/>
  <c r="N360" i="2"/>
  <c r="AG359" i="2"/>
  <c r="AF359" i="2"/>
  <c r="AE359" i="2"/>
  <c r="AD359" i="2"/>
  <c r="AH359" i="2" s="1"/>
  <c r="AC359" i="2"/>
  <c r="AA359" i="2"/>
  <c r="Z359" i="2"/>
  <c r="Y359" i="2"/>
  <c r="S359" i="2"/>
  <c r="O359" i="2"/>
  <c r="N359" i="2"/>
  <c r="AB359" i="2" s="1"/>
  <c r="AC358" i="2"/>
  <c r="AG358" i="2" s="1"/>
  <c r="AB358" i="2"/>
  <c r="AF358" i="2" s="1"/>
  <c r="AA358" i="2"/>
  <c r="AE358" i="2" s="1"/>
  <c r="Z358" i="2"/>
  <c r="Y358" i="2"/>
  <c r="S358" i="2"/>
  <c r="O358" i="2"/>
  <c r="AD358" i="2" s="1"/>
  <c r="AH358" i="2" s="1"/>
  <c r="N358" i="2"/>
  <c r="AC357" i="2"/>
  <c r="AG357" i="2" s="1"/>
  <c r="AA357" i="2"/>
  <c r="AE357" i="2" s="1"/>
  <c r="Z357" i="2"/>
  <c r="Y357" i="2"/>
  <c r="S357" i="2"/>
  <c r="O357" i="2"/>
  <c r="AD357" i="2" s="1"/>
  <c r="AH357" i="2" s="1"/>
  <c r="N357" i="2"/>
  <c r="AB357" i="2" s="1"/>
  <c r="AF357" i="2" s="1"/>
  <c r="AH356" i="2"/>
  <c r="AG356" i="2"/>
  <c r="AE356" i="2"/>
  <c r="AD356" i="2"/>
  <c r="AB356" i="2"/>
  <c r="AF356" i="2" s="1"/>
  <c r="AA356" i="2"/>
  <c r="Z356" i="2"/>
  <c r="Y356" i="2"/>
  <c r="S356" i="2"/>
  <c r="O356" i="2"/>
  <c r="AC356" i="2" s="1"/>
  <c r="N356" i="2"/>
  <c r="AD355" i="2"/>
  <c r="AH355" i="2" s="1"/>
  <c r="AC355" i="2"/>
  <c r="AG355" i="2" s="1"/>
  <c r="AB355" i="2"/>
  <c r="AF355" i="2" s="1"/>
  <c r="AA355" i="2"/>
  <c r="AE355" i="2" s="1"/>
  <c r="Z355" i="2"/>
  <c r="Y355" i="2"/>
  <c r="S355" i="2"/>
  <c r="O355" i="2"/>
  <c r="N355" i="2"/>
  <c r="AH354" i="2"/>
  <c r="AG354" i="2"/>
  <c r="AF354" i="2"/>
  <c r="AD354" i="2"/>
  <c r="AB354" i="2"/>
  <c r="Z354" i="2"/>
  <c r="Y354" i="2"/>
  <c r="S354" i="2"/>
  <c r="O354" i="2"/>
  <c r="AC354" i="2" s="1"/>
  <c r="N354" i="2"/>
  <c r="AA354" i="2" s="1"/>
  <c r="AE354" i="2" s="1"/>
  <c r="AH353" i="2"/>
  <c r="AG353" i="2"/>
  <c r="AF353" i="2"/>
  <c r="AE353" i="2"/>
  <c r="AD353" i="2"/>
  <c r="AC353" i="2"/>
  <c r="AB353" i="2"/>
  <c r="AA353" i="2"/>
  <c r="Z353" i="2"/>
  <c r="Y353" i="2"/>
  <c r="S353" i="2"/>
  <c r="O353" i="2"/>
  <c r="N353" i="2"/>
  <c r="AD352" i="2"/>
  <c r="AH352" i="2" s="1"/>
  <c r="AC352" i="2"/>
  <c r="AG352" i="2" s="1"/>
  <c r="AB352" i="2"/>
  <c r="AF352" i="2" s="1"/>
  <c r="AA352" i="2"/>
  <c r="AE352" i="2" s="1"/>
  <c r="Z352" i="2"/>
  <c r="Y352" i="2"/>
  <c r="S352" i="2"/>
  <c r="O352" i="2"/>
  <c r="N352" i="2"/>
  <c r="AG351" i="2"/>
  <c r="AD351" i="2"/>
  <c r="AH351" i="2" s="1"/>
  <c r="AC351" i="2"/>
  <c r="AA351" i="2"/>
  <c r="AE351" i="2" s="1"/>
  <c r="Z351" i="2"/>
  <c r="Y351" i="2"/>
  <c r="S351" i="2"/>
  <c r="O351" i="2"/>
  <c r="N351" i="2"/>
  <c r="AB351" i="2" s="1"/>
  <c r="AF351" i="2" s="1"/>
  <c r="AH350" i="2"/>
  <c r="AC350" i="2"/>
  <c r="AG350" i="2" s="1"/>
  <c r="AB350" i="2"/>
  <c r="AF350" i="2" s="1"/>
  <c r="AA350" i="2"/>
  <c r="AE350" i="2" s="1"/>
  <c r="Z350" i="2"/>
  <c r="Y350" i="2"/>
  <c r="S350" i="2"/>
  <c r="O350" i="2"/>
  <c r="AD350" i="2" s="1"/>
  <c r="N350" i="2"/>
  <c r="AG349" i="2"/>
  <c r="AC349" i="2"/>
  <c r="AA349" i="2"/>
  <c r="AE349" i="2" s="1"/>
  <c r="Z349" i="2"/>
  <c r="Y349" i="2"/>
  <c r="S349" i="2"/>
  <c r="O349" i="2"/>
  <c r="AD349" i="2" s="1"/>
  <c r="AH349" i="2" s="1"/>
  <c r="N349" i="2"/>
  <c r="AB349" i="2" s="1"/>
  <c r="AF349" i="2" s="1"/>
  <c r="AE348" i="2"/>
  <c r="AD348" i="2"/>
  <c r="AH348" i="2" s="1"/>
  <c r="AC348" i="2"/>
  <c r="AG348" i="2" s="1"/>
  <c r="AA348" i="2"/>
  <c r="Z348" i="2"/>
  <c r="Y348" i="2"/>
  <c r="S348" i="2"/>
  <c r="O348" i="2"/>
  <c r="N348" i="2"/>
  <c r="AB348" i="2" s="1"/>
  <c r="AF348" i="2" s="1"/>
  <c r="AH347" i="2"/>
  <c r="AD347" i="2"/>
  <c r="AB347" i="2"/>
  <c r="AF347" i="2" s="1"/>
  <c r="Z347" i="2"/>
  <c r="Y347" i="2"/>
  <c r="S347" i="2"/>
  <c r="O347" i="2"/>
  <c r="AC347" i="2" s="1"/>
  <c r="AG347" i="2" s="1"/>
  <c r="N347" i="2"/>
  <c r="AA347" i="2" s="1"/>
  <c r="AE347" i="2" s="1"/>
  <c r="AF346" i="2"/>
  <c r="AE346" i="2"/>
  <c r="AC346" i="2"/>
  <c r="AG346" i="2" s="1"/>
  <c r="AB346" i="2"/>
  <c r="AA346" i="2"/>
  <c r="Z346" i="2"/>
  <c r="Y346" i="2"/>
  <c r="S346" i="2"/>
  <c r="O346" i="2"/>
  <c r="AD346" i="2" s="1"/>
  <c r="AH346" i="2" s="1"/>
  <c r="N346" i="2"/>
  <c r="AF345" i="2"/>
  <c r="AC345" i="2"/>
  <c r="AG345" i="2" s="1"/>
  <c r="AB345" i="2"/>
  <c r="AA345" i="2"/>
  <c r="AE345" i="2" s="1"/>
  <c r="Z345" i="2"/>
  <c r="Y345" i="2"/>
  <c r="S345" i="2"/>
  <c r="O345" i="2"/>
  <c r="AD345" i="2" s="1"/>
  <c r="AH345" i="2" s="1"/>
  <c r="N345" i="2"/>
  <c r="AD344" i="2"/>
  <c r="AH344" i="2" s="1"/>
  <c r="AC344" i="2"/>
  <c r="AG344" i="2" s="1"/>
  <c r="AB344" i="2"/>
  <c r="AF344" i="2" s="1"/>
  <c r="AA344" i="2"/>
  <c r="AE344" i="2" s="1"/>
  <c r="Z344" i="2"/>
  <c r="Y344" i="2"/>
  <c r="S344" i="2"/>
  <c r="O344" i="2"/>
  <c r="N344" i="2"/>
  <c r="AG343" i="2"/>
  <c r="AF343" i="2"/>
  <c r="AD343" i="2"/>
  <c r="AH343" i="2" s="1"/>
  <c r="AB343" i="2"/>
  <c r="Z343" i="2"/>
  <c r="Y343" i="2"/>
  <c r="S343" i="2"/>
  <c r="O343" i="2"/>
  <c r="AC343" i="2" s="1"/>
  <c r="N343" i="2"/>
  <c r="AA343" i="2" s="1"/>
  <c r="AE343" i="2" s="1"/>
  <c r="AG342" i="2"/>
  <c r="AE342" i="2"/>
  <c r="AD342" i="2"/>
  <c r="AH342" i="2" s="1"/>
  <c r="AC342" i="2"/>
  <c r="AB342" i="2"/>
  <c r="AF342" i="2" s="1"/>
  <c r="AA342" i="2"/>
  <c r="Z342" i="2"/>
  <c r="Y342" i="2"/>
  <c r="S342" i="2"/>
  <c r="O342" i="2"/>
  <c r="N342" i="2"/>
  <c r="AH341" i="2"/>
  <c r="AG341" i="2"/>
  <c r="AF341" i="2"/>
  <c r="AE341" i="2"/>
  <c r="AD341" i="2"/>
  <c r="AC341" i="2"/>
  <c r="AB341" i="2"/>
  <c r="AA341" i="2"/>
  <c r="Z341" i="2"/>
  <c r="Y341" i="2"/>
  <c r="S341" i="2"/>
  <c r="O341" i="2"/>
  <c r="N341" i="2"/>
  <c r="AG340" i="2"/>
  <c r="AC340" i="2"/>
  <c r="AB340" i="2"/>
  <c r="AF340" i="2" s="1"/>
  <c r="AA340" i="2"/>
  <c r="AE340" i="2" s="1"/>
  <c r="Z340" i="2"/>
  <c r="Y340" i="2"/>
  <c r="S340" i="2"/>
  <c r="O340" i="2"/>
  <c r="AD340" i="2" s="1"/>
  <c r="AH340" i="2" s="1"/>
  <c r="N340" i="2"/>
  <c r="AD339" i="2"/>
  <c r="AH339" i="2" s="1"/>
  <c r="AC339" i="2"/>
  <c r="AG339" i="2" s="1"/>
  <c r="AA339" i="2"/>
  <c r="AE339" i="2" s="1"/>
  <c r="Z339" i="2"/>
  <c r="Y339" i="2"/>
  <c r="S339" i="2"/>
  <c r="O339" i="2"/>
  <c r="N339" i="2"/>
  <c r="AB339" i="2" s="1"/>
  <c r="AF339" i="2" s="1"/>
  <c r="AF338" i="2"/>
  <c r="AE338" i="2"/>
  <c r="AD338" i="2"/>
  <c r="AH338" i="2" s="1"/>
  <c r="AC338" i="2"/>
  <c r="AG338" i="2" s="1"/>
  <c r="AA338" i="2"/>
  <c r="Z338" i="2"/>
  <c r="Y338" i="2"/>
  <c r="S338" i="2"/>
  <c r="O338" i="2"/>
  <c r="N338" i="2"/>
  <c r="AB338" i="2" s="1"/>
  <c r="AC337" i="2"/>
  <c r="AG337" i="2" s="1"/>
  <c r="AA337" i="2"/>
  <c r="AE337" i="2" s="1"/>
  <c r="Z337" i="2"/>
  <c r="Y337" i="2"/>
  <c r="S337" i="2"/>
  <c r="O337" i="2"/>
  <c r="AD337" i="2" s="1"/>
  <c r="AH337" i="2" s="1"/>
  <c r="N337" i="2"/>
  <c r="AB337" i="2" s="1"/>
  <c r="AF337" i="2" s="1"/>
  <c r="AH336" i="2"/>
  <c r="AE336" i="2"/>
  <c r="AD336" i="2"/>
  <c r="AC336" i="2"/>
  <c r="AG336" i="2" s="1"/>
  <c r="AA336" i="2"/>
  <c r="Z336" i="2"/>
  <c r="Y336" i="2"/>
  <c r="S336" i="2"/>
  <c r="O336" i="2"/>
  <c r="N336" i="2"/>
  <c r="AB336" i="2" s="1"/>
  <c r="AF336" i="2" s="1"/>
  <c r="AH335" i="2"/>
  <c r="AE335" i="2"/>
  <c r="AD335" i="2"/>
  <c r="AC335" i="2"/>
  <c r="AG335" i="2" s="1"/>
  <c r="AB335" i="2"/>
  <c r="AF335" i="2" s="1"/>
  <c r="AA335" i="2"/>
  <c r="Z335" i="2"/>
  <c r="Y335" i="2"/>
  <c r="S335" i="2"/>
  <c r="O335" i="2"/>
  <c r="N335" i="2"/>
  <c r="AC334" i="2"/>
  <c r="AG334" i="2" s="1"/>
  <c r="AB334" i="2"/>
  <c r="AF334" i="2" s="1"/>
  <c r="AA334" i="2"/>
  <c r="AE334" i="2" s="1"/>
  <c r="Z334" i="2"/>
  <c r="Y334" i="2"/>
  <c r="S334" i="2"/>
  <c r="O334" i="2"/>
  <c r="AD334" i="2" s="1"/>
  <c r="AH334" i="2" s="1"/>
  <c r="N334" i="2"/>
  <c r="AF333" i="2"/>
  <c r="AD333" i="2"/>
  <c r="AH333" i="2" s="1"/>
  <c r="AC333" i="2"/>
  <c r="AG333" i="2" s="1"/>
  <c r="AA333" i="2"/>
  <c r="AE333" i="2" s="1"/>
  <c r="Z333" i="2"/>
  <c r="Y333" i="2"/>
  <c r="S333" i="2"/>
  <c r="O333" i="2"/>
  <c r="N333" i="2"/>
  <c r="AB333" i="2" s="1"/>
  <c r="AF332" i="2"/>
  <c r="AE332" i="2"/>
  <c r="AD332" i="2"/>
  <c r="AH332" i="2" s="1"/>
  <c r="AC332" i="2"/>
  <c r="AG332" i="2" s="1"/>
  <c r="AB332" i="2"/>
  <c r="AA332" i="2"/>
  <c r="Z332" i="2"/>
  <c r="Y332" i="2"/>
  <c r="S332" i="2"/>
  <c r="O332" i="2"/>
  <c r="N332" i="2"/>
  <c r="AC331" i="2"/>
  <c r="AG331" i="2" s="1"/>
  <c r="AB331" i="2"/>
  <c r="AF331" i="2" s="1"/>
  <c r="AA331" i="2"/>
  <c r="AE331" i="2" s="1"/>
  <c r="Z331" i="2"/>
  <c r="Y331" i="2"/>
  <c r="S331" i="2"/>
  <c r="O331" i="2"/>
  <c r="AD331" i="2" s="1"/>
  <c r="AH331" i="2" s="1"/>
  <c r="N331" i="2"/>
  <c r="AG330" i="2"/>
  <c r="AE330" i="2"/>
  <c r="AC330" i="2"/>
  <c r="AA330" i="2"/>
  <c r="Z330" i="2"/>
  <c r="Y330" i="2"/>
  <c r="S330" i="2"/>
  <c r="O330" i="2"/>
  <c r="AD330" i="2" s="1"/>
  <c r="AH330" i="2" s="1"/>
  <c r="N330" i="2"/>
  <c r="AB330" i="2" s="1"/>
  <c r="AF330" i="2" s="1"/>
  <c r="AH329" i="2"/>
  <c r="AG329" i="2"/>
  <c r="AF329" i="2"/>
  <c r="AE329" i="2"/>
  <c r="AD329" i="2"/>
  <c r="AC329" i="2"/>
  <c r="AB329" i="2"/>
  <c r="AA329" i="2"/>
  <c r="Z329" i="2"/>
  <c r="Y329" i="2"/>
  <c r="S329" i="2"/>
  <c r="O329" i="2"/>
  <c r="N329" i="2"/>
  <c r="AC328" i="2"/>
  <c r="AG328" i="2" s="1"/>
  <c r="AB328" i="2"/>
  <c r="AF328" i="2" s="1"/>
  <c r="AA328" i="2"/>
  <c r="AE328" i="2" s="1"/>
  <c r="Z328" i="2"/>
  <c r="Y328" i="2"/>
  <c r="S328" i="2"/>
  <c r="O328" i="2"/>
  <c r="AD328" i="2" s="1"/>
  <c r="AH328" i="2" s="1"/>
  <c r="N328" i="2"/>
  <c r="AD327" i="2"/>
  <c r="AH327" i="2" s="1"/>
  <c r="AB327" i="2"/>
  <c r="AF327" i="2" s="1"/>
  <c r="AA327" i="2"/>
  <c r="AE327" i="2" s="1"/>
  <c r="Z327" i="2"/>
  <c r="Y327" i="2"/>
  <c r="S327" i="2"/>
  <c r="O327" i="2"/>
  <c r="AC327" i="2" s="1"/>
  <c r="AG327" i="2" s="1"/>
  <c r="N327" i="2"/>
  <c r="AE326" i="2"/>
  <c r="AD326" i="2"/>
  <c r="AH326" i="2" s="1"/>
  <c r="AC326" i="2"/>
  <c r="AG326" i="2" s="1"/>
  <c r="AB326" i="2"/>
  <c r="AF326" i="2" s="1"/>
  <c r="Z326" i="2"/>
  <c r="Y326" i="2"/>
  <c r="S326" i="2"/>
  <c r="O326" i="2"/>
  <c r="N326" i="2"/>
  <c r="AA326" i="2" s="1"/>
  <c r="AE325" i="2"/>
  <c r="AC325" i="2"/>
  <c r="AG325" i="2" s="1"/>
  <c r="AB325" i="2"/>
  <c r="AF325" i="2" s="1"/>
  <c r="AA325" i="2"/>
  <c r="Z325" i="2"/>
  <c r="Y325" i="2"/>
  <c r="S325" i="2"/>
  <c r="O325" i="2"/>
  <c r="AD325" i="2" s="1"/>
  <c r="AH325" i="2" s="1"/>
  <c r="N325" i="2"/>
  <c r="AF324" i="2"/>
  <c r="AE324" i="2"/>
  <c r="AD324" i="2"/>
  <c r="AH324" i="2" s="1"/>
  <c r="AB324" i="2"/>
  <c r="AA324" i="2"/>
  <c r="Z324" i="2"/>
  <c r="Y324" i="2"/>
  <c r="S324" i="2"/>
  <c r="O324" i="2"/>
  <c r="AC324" i="2" s="1"/>
  <c r="AG324" i="2" s="1"/>
  <c r="N324" i="2"/>
  <c r="AG323" i="2"/>
  <c r="AE323" i="2"/>
  <c r="AC323" i="2"/>
  <c r="AB323" i="2"/>
  <c r="AF323" i="2" s="1"/>
  <c r="AA323" i="2"/>
  <c r="Z323" i="2"/>
  <c r="Y323" i="2"/>
  <c r="S323" i="2"/>
  <c r="O323" i="2"/>
  <c r="AD323" i="2" s="1"/>
  <c r="AH323" i="2" s="1"/>
  <c r="N323" i="2"/>
  <c r="AH322" i="2"/>
  <c r="AC322" i="2"/>
  <c r="AG322" i="2" s="1"/>
  <c r="AB322" i="2"/>
  <c r="AF322" i="2" s="1"/>
  <c r="AA322" i="2"/>
  <c r="AE322" i="2" s="1"/>
  <c r="Z322" i="2"/>
  <c r="Y322" i="2"/>
  <c r="S322" i="2"/>
  <c r="O322" i="2"/>
  <c r="AD322" i="2" s="1"/>
  <c r="N322" i="2"/>
  <c r="AD321" i="2"/>
  <c r="AH321" i="2" s="1"/>
  <c r="AB321" i="2"/>
  <c r="AF321" i="2" s="1"/>
  <c r="Z321" i="2"/>
  <c r="Y321" i="2"/>
  <c r="S321" i="2"/>
  <c r="O321" i="2"/>
  <c r="AC321" i="2" s="1"/>
  <c r="AG321" i="2" s="1"/>
  <c r="N321" i="2"/>
  <c r="AA321" i="2" s="1"/>
  <c r="AE321" i="2" s="1"/>
  <c r="AH320" i="2"/>
  <c r="AD320" i="2"/>
  <c r="AC320" i="2"/>
  <c r="AG320" i="2" s="1"/>
  <c r="AB320" i="2"/>
  <c r="AF320" i="2" s="1"/>
  <c r="AA320" i="2"/>
  <c r="AE320" i="2" s="1"/>
  <c r="Z320" i="2"/>
  <c r="Y320" i="2"/>
  <c r="S320" i="2"/>
  <c r="O320" i="2"/>
  <c r="N320" i="2"/>
  <c r="AB319" i="2"/>
  <c r="AF319" i="2" s="1"/>
  <c r="AA319" i="2"/>
  <c r="AE319" i="2" s="1"/>
  <c r="Z319" i="2"/>
  <c r="Y319" i="2"/>
  <c r="S319" i="2"/>
  <c r="O319" i="2"/>
  <c r="N319" i="2"/>
  <c r="AG318" i="2"/>
  <c r="AE318" i="2"/>
  <c r="AD318" i="2"/>
  <c r="AH318" i="2" s="1"/>
  <c r="AC318" i="2"/>
  <c r="AA318" i="2"/>
  <c r="Z318" i="2"/>
  <c r="Y318" i="2"/>
  <c r="S318" i="2"/>
  <c r="O318" i="2"/>
  <c r="N318" i="2"/>
  <c r="AB318" i="2" s="1"/>
  <c r="AF318" i="2" s="1"/>
  <c r="AD317" i="2"/>
  <c r="AH317" i="2" s="1"/>
  <c r="AC317" i="2"/>
  <c r="AG317" i="2" s="1"/>
  <c r="AB317" i="2"/>
  <c r="AF317" i="2" s="1"/>
  <c r="AA317" i="2"/>
  <c r="AE317" i="2" s="1"/>
  <c r="Z317" i="2"/>
  <c r="Y317" i="2"/>
  <c r="S317" i="2"/>
  <c r="O317" i="2"/>
  <c r="N317" i="2"/>
  <c r="AG316" i="2"/>
  <c r="AE316" i="2"/>
  <c r="AC316" i="2"/>
  <c r="AA316" i="2"/>
  <c r="Z316" i="2"/>
  <c r="Y316" i="2"/>
  <c r="S316" i="2"/>
  <c r="O316" i="2"/>
  <c r="AD316" i="2" s="1"/>
  <c r="AH316" i="2" s="1"/>
  <c r="N316" i="2"/>
  <c r="AB316" i="2" s="1"/>
  <c r="AF316" i="2" s="1"/>
  <c r="AD315" i="2"/>
  <c r="AH315" i="2" s="1"/>
  <c r="AC315" i="2"/>
  <c r="AG315" i="2" s="1"/>
  <c r="AB315" i="2"/>
  <c r="AF315" i="2" s="1"/>
  <c r="AA315" i="2"/>
  <c r="AE315" i="2" s="1"/>
  <c r="Z315" i="2"/>
  <c r="Y315" i="2"/>
  <c r="S315" i="2"/>
  <c r="O315" i="2"/>
  <c r="N315" i="2"/>
  <c r="AD314" i="2"/>
  <c r="AH314" i="2" s="1"/>
  <c r="AB314" i="2"/>
  <c r="AF314" i="2" s="1"/>
  <c r="Z314" i="2"/>
  <c r="Y314" i="2"/>
  <c r="S314" i="2"/>
  <c r="O314" i="2"/>
  <c r="AC314" i="2" s="1"/>
  <c r="AG314" i="2" s="1"/>
  <c r="N314" i="2"/>
  <c r="AA314" i="2" s="1"/>
  <c r="AE314" i="2" s="1"/>
  <c r="AG313" i="2"/>
  <c r="AC313" i="2"/>
  <c r="AB313" i="2"/>
  <c r="AF313" i="2" s="1"/>
  <c r="AA313" i="2"/>
  <c r="AE313" i="2" s="1"/>
  <c r="Z313" i="2"/>
  <c r="Y313" i="2"/>
  <c r="S313" i="2"/>
  <c r="O313" i="2"/>
  <c r="AD313" i="2" s="1"/>
  <c r="AH313" i="2" s="1"/>
  <c r="N313" i="2"/>
  <c r="AE312" i="2"/>
  <c r="AD312" i="2"/>
  <c r="AH312" i="2" s="1"/>
  <c r="AC312" i="2"/>
  <c r="AG312" i="2" s="1"/>
  <c r="AB312" i="2"/>
  <c r="AF312" i="2" s="1"/>
  <c r="AA312" i="2"/>
  <c r="Z312" i="2"/>
  <c r="Y312" i="2"/>
  <c r="S312" i="2"/>
  <c r="O312" i="2"/>
  <c r="N312" i="2"/>
  <c r="AG311" i="2"/>
  <c r="AF311" i="2"/>
  <c r="AE311" i="2"/>
  <c r="AC311" i="2"/>
  <c r="AB311" i="2"/>
  <c r="AA311" i="2"/>
  <c r="Z311" i="2"/>
  <c r="Y311" i="2"/>
  <c r="S311" i="2"/>
  <c r="O311" i="2"/>
  <c r="AD311" i="2" s="1"/>
  <c r="AH311" i="2" s="1"/>
  <c r="N311" i="2"/>
  <c r="AH310" i="2"/>
  <c r="AD310" i="2"/>
  <c r="AB310" i="2"/>
  <c r="AF310" i="2" s="1"/>
  <c r="Z310" i="2"/>
  <c r="Y310" i="2"/>
  <c r="S310" i="2"/>
  <c r="O310" i="2"/>
  <c r="AC310" i="2" s="1"/>
  <c r="AG310" i="2" s="1"/>
  <c r="N310" i="2"/>
  <c r="AA310" i="2" s="1"/>
  <c r="AE310" i="2" s="1"/>
  <c r="AE309" i="2"/>
  <c r="AC309" i="2"/>
  <c r="AG309" i="2" s="1"/>
  <c r="AA309" i="2"/>
  <c r="Z309" i="2"/>
  <c r="Y309" i="2"/>
  <c r="S309" i="2"/>
  <c r="O309" i="2"/>
  <c r="AD309" i="2" s="1"/>
  <c r="AH309" i="2" s="1"/>
  <c r="N309" i="2"/>
  <c r="AB309" i="2" s="1"/>
  <c r="AF309" i="2" s="1"/>
  <c r="AH308" i="2"/>
  <c r="AG308" i="2"/>
  <c r="AE308" i="2"/>
  <c r="AD308" i="2"/>
  <c r="AC308" i="2"/>
  <c r="AB308" i="2"/>
  <c r="AF308" i="2" s="1"/>
  <c r="AA308" i="2"/>
  <c r="Z308" i="2"/>
  <c r="Y308" i="2"/>
  <c r="S308" i="2"/>
  <c r="O308" i="2"/>
  <c r="N308" i="2"/>
  <c r="AE307" i="2"/>
  <c r="AC307" i="2"/>
  <c r="AG307" i="2" s="1"/>
  <c r="AB307" i="2"/>
  <c r="AF307" i="2" s="1"/>
  <c r="AA307" i="2"/>
  <c r="Z307" i="2"/>
  <c r="Y307" i="2"/>
  <c r="S307" i="2"/>
  <c r="O307" i="2"/>
  <c r="AD307" i="2" s="1"/>
  <c r="AH307" i="2" s="1"/>
  <c r="N307" i="2"/>
  <c r="AG306" i="2"/>
  <c r="AF306" i="2"/>
  <c r="AE306" i="2"/>
  <c r="AC306" i="2"/>
  <c r="AB306" i="2"/>
  <c r="AA306" i="2"/>
  <c r="Z306" i="2"/>
  <c r="Y306" i="2"/>
  <c r="S306" i="2"/>
  <c r="O306" i="2"/>
  <c r="AD306" i="2" s="1"/>
  <c r="AH306" i="2" s="1"/>
  <c r="N306" i="2"/>
  <c r="AH305" i="2"/>
  <c r="AG305" i="2"/>
  <c r="AF305" i="2"/>
  <c r="AE305" i="2"/>
  <c r="AD305" i="2"/>
  <c r="AC305" i="2"/>
  <c r="AA305" i="2"/>
  <c r="Z305" i="2"/>
  <c r="Y305" i="2"/>
  <c r="S305" i="2"/>
  <c r="O305" i="2"/>
  <c r="N305" i="2"/>
  <c r="AB305" i="2" s="1"/>
  <c r="AH304" i="2"/>
  <c r="AD304" i="2"/>
  <c r="AC304" i="2"/>
  <c r="AG304" i="2" s="1"/>
  <c r="AB304" i="2"/>
  <c r="AF304" i="2" s="1"/>
  <c r="AA304" i="2"/>
  <c r="AE304" i="2" s="1"/>
  <c r="Z304" i="2"/>
  <c r="Y304" i="2"/>
  <c r="S304" i="2"/>
  <c r="O304" i="2"/>
  <c r="N304" i="2"/>
  <c r="AG303" i="2"/>
  <c r="AD303" i="2"/>
  <c r="AH303" i="2" s="1"/>
  <c r="AC303" i="2"/>
  <c r="AA303" i="2"/>
  <c r="AE303" i="2" s="1"/>
  <c r="Z303" i="2"/>
  <c r="Y303" i="2"/>
  <c r="S303" i="2"/>
  <c r="O303" i="2"/>
  <c r="N303" i="2"/>
  <c r="AB303" i="2" s="1"/>
  <c r="AF303" i="2" s="1"/>
  <c r="AG302" i="2"/>
  <c r="AF302" i="2"/>
  <c r="AE302" i="2"/>
  <c r="AD302" i="2"/>
  <c r="AH302" i="2" s="1"/>
  <c r="AC302" i="2"/>
  <c r="AB302" i="2"/>
  <c r="AA302" i="2"/>
  <c r="Z302" i="2"/>
  <c r="Y302" i="2"/>
  <c r="S302" i="2"/>
  <c r="O302" i="2"/>
  <c r="N302" i="2"/>
  <c r="AD301" i="2"/>
  <c r="AH301" i="2" s="1"/>
  <c r="AC301" i="2"/>
  <c r="AG301" i="2" s="1"/>
  <c r="AB301" i="2"/>
  <c r="AF301" i="2" s="1"/>
  <c r="AA301" i="2"/>
  <c r="AE301" i="2" s="1"/>
  <c r="Z301" i="2"/>
  <c r="Y301" i="2"/>
  <c r="S301" i="2"/>
  <c r="O301" i="2"/>
  <c r="N301" i="2"/>
  <c r="AD300" i="2"/>
  <c r="AH300" i="2" s="1"/>
  <c r="AC300" i="2"/>
  <c r="AG300" i="2" s="1"/>
  <c r="AA300" i="2"/>
  <c r="AE300" i="2" s="1"/>
  <c r="Z300" i="2"/>
  <c r="Y300" i="2"/>
  <c r="S300" i="2"/>
  <c r="O300" i="2"/>
  <c r="N300" i="2"/>
  <c r="AB300" i="2" s="1"/>
  <c r="AF300" i="2" s="1"/>
  <c r="AF299" i="2"/>
  <c r="AE299" i="2"/>
  <c r="AD299" i="2"/>
  <c r="AH299" i="2" s="1"/>
  <c r="AC299" i="2"/>
  <c r="AG299" i="2" s="1"/>
  <c r="AA299" i="2"/>
  <c r="Z299" i="2"/>
  <c r="Y299" i="2"/>
  <c r="S299" i="2"/>
  <c r="O299" i="2"/>
  <c r="N299" i="2"/>
  <c r="AB299" i="2" s="1"/>
  <c r="AH298" i="2"/>
  <c r="AD298" i="2"/>
  <c r="AC298" i="2"/>
  <c r="AG298" i="2" s="1"/>
  <c r="AB298" i="2"/>
  <c r="AF298" i="2" s="1"/>
  <c r="AA298" i="2"/>
  <c r="AE298" i="2" s="1"/>
  <c r="Z298" i="2"/>
  <c r="Y298" i="2"/>
  <c r="S298" i="2"/>
  <c r="O298" i="2"/>
  <c r="N298" i="2"/>
  <c r="AG297" i="2"/>
  <c r="AF297" i="2"/>
  <c r="AD297" i="2"/>
  <c r="AH297" i="2" s="1"/>
  <c r="AB297" i="2"/>
  <c r="Z297" i="2"/>
  <c r="Y297" i="2"/>
  <c r="S297" i="2"/>
  <c r="O297" i="2"/>
  <c r="AC297" i="2" s="1"/>
  <c r="N297" i="2"/>
  <c r="AA297" i="2" s="1"/>
  <c r="AE297" i="2" s="1"/>
  <c r="AH296" i="2"/>
  <c r="AG296" i="2"/>
  <c r="AE296" i="2"/>
  <c r="AC296" i="2"/>
  <c r="AA296" i="2"/>
  <c r="Z296" i="2"/>
  <c r="Y296" i="2"/>
  <c r="S296" i="2"/>
  <c r="O296" i="2"/>
  <c r="AD296" i="2" s="1"/>
  <c r="N296" i="2"/>
  <c r="AB296" i="2" s="1"/>
  <c r="AF296" i="2" s="1"/>
  <c r="AE295" i="2"/>
  <c r="AD295" i="2"/>
  <c r="AH295" i="2" s="1"/>
  <c r="AC295" i="2"/>
  <c r="AG295" i="2" s="1"/>
  <c r="AB295" i="2"/>
  <c r="AF295" i="2" s="1"/>
  <c r="AA295" i="2"/>
  <c r="Z295" i="2"/>
  <c r="Y295" i="2"/>
  <c r="S295" i="2"/>
  <c r="O295" i="2"/>
  <c r="N295" i="2"/>
  <c r="AE294" i="2"/>
  <c r="AC294" i="2"/>
  <c r="AG294" i="2" s="1"/>
  <c r="AA294" i="2"/>
  <c r="Z294" i="2"/>
  <c r="Y294" i="2"/>
  <c r="S294" i="2"/>
  <c r="O294" i="2"/>
  <c r="AD294" i="2" s="1"/>
  <c r="AH294" i="2" s="1"/>
  <c r="N294" i="2"/>
  <c r="AB294" i="2" s="1"/>
  <c r="AF294" i="2" s="1"/>
  <c r="AG293" i="2"/>
  <c r="AD293" i="2"/>
  <c r="AH293" i="2" s="1"/>
  <c r="AC293" i="2"/>
  <c r="AA293" i="2"/>
  <c r="AE293" i="2" s="1"/>
  <c r="Z293" i="2"/>
  <c r="Y293" i="2"/>
  <c r="S293" i="2"/>
  <c r="O293" i="2"/>
  <c r="N293" i="2"/>
  <c r="AB293" i="2" s="1"/>
  <c r="AF293" i="2" s="1"/>
  <c r="AE292" i="2"/>
  <c r="AD292" i="2"/>
  <c r="AH292" i="2" s="1"/>
  <c r="AC292" i="2"/>
  <c r="AG292" i="2" s="1"/>
  <c r="AB292" i="2"/>
  <c r="AF292" i="2" s="1"/>
  <c r="AA292" i="2"/>
  <c r="Z292" i="2"/>
  <c r="Y292" i="2"/>
  <c r="S292" i="2"/>
  <c r="O292" i="2"/>
  <c r="N292" i="2"/>
  <c r="AG291" i="2"/>
  <c r="AF291" i="2"/>
  <c r="AD291" i="2"/>
  <c r="AH291" i="2" s="1"/>
  <c r="AC291" i="2"/>
  <c r="AB291" i="2"/>
  <c r="AA291" i="2"/>
  <c r="AE291" i="2" s="1"/>
  <c r="Z291" i="2"/>
  <c r="Y291" i="2"/>
  <c r="S291" i="2"/>
  <c r="O291" i="2"/>
  <c r="N291" i="2"/>
  <c r="AG290" i="2"/>
  <c r="AE290" i="2"/>
  <c r="AD290" i="2"/>
  <c r="AH290" i="2" s="1"/>
  <c r="AB290" i="2"/>
  <c r="AF290" i="2" s="1"/>
  <c r="AA290" i="2"/>
  <c r="Z290" i="2"/>
  <c r="Y290" i="2"/>
  <c r="S290" i="2"/>
  <c r="O290" i="2"/>
  <c r="AC290" i="2" s="1"/>
  <c r="N290" i="2"/>
  <c r="AG289" i="2"/>
  <c r="AF289" i="2"/>
  <c r="AE289" i="2"/>
  <c r="AD289" i="2"/>
  <c r="AH289" i="2" s="1"/>
  <c r="AC289" i="2"/>
  <c r="AA289" i="2"/>
  <c r="Z289" i="2"/>
  <c r="Y289" i="2"/>
  <c r="S289" i="2"/>
  <c r="O289" i="2"/>
  <c r="N289" i="2"/>
  <c r="AB289" i="2" s="1"/>
  <c r="AH288" i="2"/>
  <c r="AG288" i="2"/>
  <c r="AF288" i="2"/>
  <c r="AD288" i="2"/>
  <c r="AC288" i="2"/>
  <c r="AB288" i="2"/>
  <c r="AA288" i="2"/>
  <c r="AE288" i="2" s="1"/>
  <c r="Z288" i="2"/>
  <c r="Y288" i="2"/>
  <c r="S288" i="2"/>
  <c r="O288" i="2"/>
  <c r="N288" i="2"/>
  <c r="AH287" i="2"/>
  <c r="AF287" i="2"/>
  <c r="AD287" i="2"/>
  <c r="AC287" i="2"/>
  <c r="AG287" i="2" s="1"/>
  <c r="AB287" i="2"/>
  <c r="AA287" i="2"/>
  <c r="AE287" i="2" s="1"/>
  <c r="Z287" i="2"/>
  <c r="Y287" i="2"/>
  <c r="S287" i="2"/>
  <c r="O287" i="2"/>
  <c r="N287" i="2"/>
  <c r="AH286" i="2"/>
  <c r="AG286" i="2"/>
  <c r="AC286" i="2"/>
  <c r="AB286" i="2"/>
  <c r="AF286" i="2" s="1"/>
  <c r="AA286" i="2"/>
  <c r="AE286" i="2" s="1"/>
  <c r="Z286" i="2"/>
  <c r="Y286" i="2"/>
  <c r="S286" i="2"/>
  <c r="O286" i="2"/>
  <c r="AD286" i="2" s="1"/>
  <c r="N286" i="2"/>
  <c r="AH285" i="2"/>
  <c r="AG285" i="2"/>
  <c r="AF285" i="2"/>
  <c r="AD285" i="2"/>
  <c r="AB285" i="2"/>
  <c r="Z285" i="2"/>
  <c r="Y285" i="2"/>
  <c r="S285" i="2"/>
  <c r="O285" i="2"/>
  <c r="AC285" i="2" s="1"/>
  <c r="N285" i="2"/>
  <c r="AA285" i="2" s="1"/>
  <c r="AE285" i="2" s="1"/>
  <c r="AH284" i="2"/>
  <c r="AD284" i="2"/>
  <c r="AC284" i="2"/>
  <c r="AG284" i="2" s="1"/>
  <c r="AB284" i="2"/>
  <c r="AF284" i="2" s="1"/>
  <c r="AA284" i="2"/>
  <c r="AE284" i="2" s="1"/>
  <c r="Z284" i="2"/>
  <c r="Y284" i="2"/>
  <c r="S284" i="2"/>
  <c r="O284" i="2"/>
  <c r="N284" i="2"/>
  <c r="AD283" i="2"/>
  <c r="AH283" i="2" s="1"/>
  <c r="AC283" i="2"/>
  <c r="AG283" i="2" s="1"/>
  <c r="AB283" i="2"/>
  <c r="AF283" i="2" s="1"/>
  <c r="AA283" i="2"/>
  <c r="AE283" i="2" s="1"/>
  <c r="Z283" i="2"/>
  <c r="Y283" i="2"/>
  <c r="S283" i="2"/>
  <c r="O283" i="2"/>
  <c r="N283" i="2"/>
  <c r="AF282" i="2"/>
  <c r="AD282" i="2"/>
  <c r="AH282" i="2" s="1"/>
  <c r="AB282" i="2"/>
  <c r="Z282" i="2"/>
  <c r="Y282" i="2"/>
  <c r="S282" i="2"/>
  <c r="O282" i="2"/>
  <c r="AC282" i="2" s="1"/>
  <c r="AG282" i="2" s="1"/>
  <c r="N282" i="2"/>
  <c r="AA282" i="2" s="1"/>
  <c r="AE282" i="2" s="1"/>
  <c r="AH281" i="2"/>
  <c r="AG281" i="2"/>
  <c r="AF281" i="2"/>
  <c r="AD281" i="2"/>
  <c r="AC281" i="2"/>
  <c r="AB281" i="2"/>
  <c r="AA281" i="2"/>
  <c r="AE281" i="2" s="1"/>
  <c r="Z281" i="2"/>
  <c r="Y281" i="2"/>
  <c r="S281" i="2"/>
  <c r="O281" i="2"/>
  <c r="N281" i="2"/>
  <c r="AG280" i="2"/>
  <c r="AF280" i="2"/>
  <c r="AD280" i="2"/>
  <c r="AH280" i="2" s="1"/>
  <c r="AC280" i="2"/>
  <c r="AB280" i="2"/>
  <c r="AA280" i="2"/>
  <c r="AE280" i="2" s="1"/>
  <c r="Z280" i="2"/>
  <c r="Y280" i="2"/>
  <c r="S280" i="2"/>
  <c r="O280" i="2"/>
  <c r="N280" i="2"/>
  <c r="AH279" i="2"/>
  <c r="AG279" i="2"/>
  <c r="AC279" i="2"/>
  <c r="AA279" i="2"/>
  <c r="AE279" i="2" s="1"/>
  <c r="Z279" i="2"/>
  <c r="Y279" i="2"/>
  <c r="S279" i="2"/>
  <c r="O279" i="2"/>
  <c r="AD279" i="2" s="1"/>
  <c r="N279" i="2"/>
  <c r="AB279" i="2" s="1"/>
  <c r="AF279" i="2" s="1"/>
  <c r="AH278" i="2"/>
  <c r="AG278" i="2"/>
  <c r="AF278" i="2"/>
  <c r="AD278" i="2"/>
  <c r="AC278" i="2"/>
  <c r="AB278" i="2"/>
  <c r="AA278" i="2"/>
  <c r="AE278" i="2" s="1"/>
  <c r="Z278" i="2"/>
  <c r="Y278" i="2"/>
  <c r="S278" i="2"/>
  <c r="O278" i="2"/>
  <c r="N278" i="2"/>
  <c r="AG277" i="2"/>
  <c r="AF277" i="2"/>
  <c r="AE277" i="2"/>
  <c r="AC277" i="2"/>
  <c r="AB277" i="2"/>
  <c r="AA277" i="2"/>
  <c r="Z277" i="2"/>
  <c r="Y277" i="2"/>
  <c r="S277" i="2"/>
  <c r="O277" i="2"/>
  <c r="AD277" i="2" s="1"/>
  <c r="AH277" i="2" s="1"/>
  <c r="N277" i="2"/>
  <c r="AD276" i="2"/>
  <c r="AH276" i="2" s="1"/>
  <c r="AB276" i="2"/>
  <c r="AF276" i="2" s="1"/>
  <c r="Z276" i="2"/>
  <c r="Y276" i="2"/>
  <c r="S276" i="2"/>
  <c r="O276" i="2"/>
  <c r="AC276" i="2" s="1"/>
  <c r="AG276" i="2" s="1"/>
  <c r="N276" i="2"/>
  <c r="AA276" i="2" s="1"/>
  <c r="AE276" i="2" s="1"/>
  <c r="AH275" i="2"/>
  <c r="AG275" i="2"/>
  <c r="AE275" i="2"/>
  <c r="AD275" i="2"/>
  <c r="AC275" i="2"/>
  <c r="AB275" i="2"/>
  <c r="AF275" i="2" s="1"/>
  <c r="AA275" i="2"/>
  <c r="Z275" i="2"/>
  <c r="Y275" i="2"/>
  <c r="S275" i="2"/>
  <c r="O275" i="2"/>
  <c r="N275" i="2"/>
  <c r="AF274" i="2"/>
  <c r="AE274" i="2"/>
  <c r="AD274" i="2"/>
  <c r="AH274" i="2" s="1"/>
  <c r="AC274" i="2"/>
  <c r="AG274" i="2" s="1"/>
  <c r="AB274" i="2"/>
  <c r="AA274" i="2"/>
  <c r="Z274" i="2"/>
  <c r="Y274" i="2"/>
  <c r="S274" i="2"/>
  <c r="O274" i="2"/>
  <c r="N274" i="2"/>
  <c r="AC273" i="2"/>
  <c r="AG273" i="2" s="1"/>
  <c r="AA273" i="2"/>
  <c r="AE273" i="2" s="1"/>
  <c r="Z273" i="2"/>
  <c r="Y273" i="2"/>
  <c r="S273" i="2"/>
  <c r="O273" i="2"/>
  <c r="AD273" i="2" s="1"/>
  <c r="AH273" i="2" s="1"/>
  <c r="N273" i="2"/>
  <c r="AB273" i="2" s="1"/>
  <c r="AF273" i="2" s="1"/>
  <c r="AG272" i="2"/>
  <c r="AD272" i="2"/>
  <c r="AH272" i="2" s="1"/>
  <c r="AC272" i="2"/>
  <c r="AA272" i="2"/>
  <c r="AE272" i="2" s="1"/>
  <c r="Z272" i="2"/>
  <c r="Y272" i="2"/>
  <c r="S272" i="2"/>
  <c r="O272" i="2"/>
  <c r="N272" i="2"/>
  <c r="AB272" i="2" s="1"/>
  <c r="AF272" i="2" s="1"/>
  <c r="AE271" i="2"/>
  <c r="AD271" i="2"/>
  <c r="AH271" i="2" s="1"/>
  <c r="AC271" i="2"/>
  <c r="AG271" i="2" s="1"/>
  <c r="AB271" i="2"/>
  <c r="AF271" i="2" s="1"/>
  <c r="AA271" i="2"/>
  <c r="Z271" i="2"/>
  <c r="Y271" i="2"/>
  <c r="S271" i="2"/>
  <c r="O271" i="2"/>
  <c r="N271" i="2"/>
  <c r="AC270" i="2"/>
  <c r="AG270" i="2" s="1"/>
  <c r="AB270" i="2"/>
  <c r="AF270" i="2" s="1"/>
  <c r="AA270" i="2"/>
  <c r="AE270" i="2" s="1"/>
  <c r="Z270" i="2"/>
  <c r="Y270" i="2"/>
  <c r="S270" i="2"/>
  <c r="O270" i="2"/>
  <c r="AD270" i="2" s="1"/>
  <c r="AH270" i="2" s="1"/>
  <c r="N270" i="2"/>
  <c r="AD269" i="2"/>
  <c r="AH269" i="2" s="1"/>
  <c r="AC269" i="2"/>
  <c r="AG269" i="2" s="1"/>
  <c r="AB269" i="2"/>
  <c r="AF269" i="2" s="1"/>
  <c r="Z269" i="2"/>
  <c r="Y269" i="2"/>
  <c r="S269" i="2"/>
  <c r="O269" i="2"/>
  <c r="N269" i="2"/>
  <c r="AA269" i="2" s="1"/>
  <c r="AE269" i="2" s="1"/>
  <c r="AH268" i="2"/>
  <c r="AE268" i="2"/>
  <c r="AC268" i="2"/>
  <c r="AG268" i="2" s="1"/>
  <c r="AA268" i="2"/>
  <c r="Z268" i="2"/>
  <c r="Y268" i="2"/>
  <c r="S268" i="2"/>
  <c r="O268" i="2"/>
  <c r="AD268" i="2" s="1"/>
  <c r="N268" i="2"/>
  <c r="AB268" i="2" s="1"/>
  <c r="AF268" i="2" s="1"/>
  <c r="AC267" i="2"/>
  <c r="AG267" i="2" s="1"/>
  <c r="AB267" i="2"/>
  <c r="AF267" i="2" s="1"/>
  <c r="AA267" i="2"/>
  <c r="AE267" i="2" s="1"/>
  <c r="Z267" i="2"/>
  <c r="Y267" i="2"/>
  <c r="S267" i="2"/>
  <c r="O267" i="2"/>
  <c r="AD267" i="2" s="1"/>
  <c r="AH267" i="2" s="1"/>
  <c r="N267" i="2"/>
  <c r="AD266" i="2"/>
  <c r="AH266" i="2" s="1"/>
  <c r="AC266" i="2"/>
  <c r="AG266" i="2" s="1"/>
  <c r="AB266" i="2"/>
  <c r="AF266" i="2" s="1"/>
  <c r="Z266" i="2"/>
  <c r="Y266" i="2"/>
  <c r="S266" i="2"/>
  <c r="O266" i="2"/>
  <c r="N266" i="2"/>
  <c r="AA266" i="2" s="1"/>
  <c r="AE266" i="2" s="1"/>
  <c r="AF265" i="2"/>
  <c r="AE265" i="2"/>
  <c r="AD265" i="2"/>
  <c r="AH265" i="2" s="1"/>
  <c r="AC265" i="2"/>
  <c r="AG265" i="2" s="1"/>
  <c r="AB265" i="2"/>
  <c r="Z265" i="2"/>
  <c r="Y265" i="2"/>
  <c r="S265" i="2"/>
  <c r="O265" i="2"/>
  <c r="N265" i="2"/>
  <c r="AA265" i="2" s="1"/>
  <c r="AH264" i="2"/>
  <c r="AF264" i="2"/>
  <c r="AC264" i="2"/>
  <c r="AG264" i="2" s="1"/>
  <c r="AA264" i="2"/>
  <c r="AE264" i="2" s="1"/>
  <c r="Z264" i="2"/>
  <c r="Y264" i="2"/>
  <c r="S264" i="2"/>
  <c r="O264" i="2"/>
  <c r="AD264" i="2" s="1"/>
  <c r="N264" i="2"/>
  <c r="AB264" i="2" s="1"/>
  <c r="AF263" i="2"/>
  <c r="AD263" i="2"/>
  <c r="AH263" i="2" s="1"/>
  <c r="AC263" i="2"/>
  <c r="AG263" i="2" s="1"/>
  <c r="AB263" i="2"/>
  <c r="AA263" i="2"/>
  <c r="AE263" i="2" s="1"/>
  <c r="Z263" i="2"/>
  <c r="Y263" i="2"/>
  <c r="S263" i="2"/>
  <c r="O263" i="2"/>
  <c r="N263" i="2"/>
  <c r="AB262" i="2"/>
  <c r="AF262" i="2" s="1"/>
  <c r="AA262" i="2"/>
  <c r="AE262" i="2" s="1"/>
  <c r="Z262" i="2"/>
  <c r="Y262" i="2"/>
  <c r="S262" i="2"/>
  <c r="O262" i="2"/>
  <c r="N262" i="2"/>
  <c r="AH261" i="2"/>
  <c r="AD261" i="2"/>
  <c r="AC261" i="2"/>
  <c r="AG261" i="2" s="1"/>
  <c r="AA261" i="2"/>
  <c r="AE261" i="2" s="1"/>
  <c r="Z261" i="2"/>
  <c r="Y261" i="2"/>
  <c r="S261" i="2"/>
  <c r="O261" i="2"/>
  <c r="N261" i="2"/>
  <c r="AB261" i="2" s="1"/>
  <c r="AF261" i="2" s="1"/>
  <c r="AE260" i="2"/>
  <c r="AD260" i="2"/>
  <c r="AH260" i="2" s="1"/>
  <c r="AC260" i="2"/>
  <c r="AG260" i="2" s="1"/>
  <c r="AB260" i="2"/>
  <c r="AF260" i="2" s="1"/>
  <c r="AA260" i="2"/>
  <c r="Z260" i="2"/>
  <c r="Y260" i="2"/>
  <c r="S260" i="2"/>
  <c r="O260" i="2"/>
  <c r="N260" i="2"/>
  <c r="AH259" i="2"/>
  <c r="AD259" i="2"/>
  <c r="AB259" i="2"/>
  <c r="AF259" i="2" s="1"/>
  <c r="Z259" i="2"/>
  <c r="Y259" i="2"/>
  <c r="S259" i="2"/>
  <c r="O259" i="2"/>
  <c r="AC259" i="2" s="1"/>
  <c r="AG259" i="2" s="1"/>
  <c r="N259" i="2"/>
  <c r="AA259" i="2" s="1"/>
  <c r="AE259" i="2" s="1"/>
  <c r="AF258" i="2"/>
  <c r="AC258" i="2"/>
  <c r="AG258" i="2" s="1"/>
  <c r="AB258" i="2"/>
  <c r="AA258" i="2"/>
  <c r="AE258" i="2" s="1"/>
  <c r="Z258" i="2"/>
  <c r="Y258" i="2"/>
  <c r="S258" i="2"/>
  <c r="O258" i="2"/>
  <c r="AD258" i="2" s="1"/>
  <c r="AH258" i="2" s="1"/>
  <c r="N258" i="2"/>
  <c r="AG257" i="2"/>
  <c r="AC257" i="2"/>
  <c r="AA257" i="2"/>
  <c r="AE257" i="2" s="1"/>
  <c r="Z257" i="2"/>
  <c r="Y257" i="2"/>
  <c r="S257" i="2"/>
  <c r="O257" i="2"/>
  <c r="AD257" i="2" s="1"/>
  <c r="AH257" i="2" s="1"/>
  <c r="N257" i="2"/>
  <c r="AB257" i="2" s="1"/>
  <c r="AF257" i="2" s="1"/>
  <c r="AE256" i="2"/>
  <c r="AD256" i="2"/>
  <c r="AH256" i="2" s="1"/>
  <c r="AC256" i="2"/>
  <c r="AG256" i="2" s="1"/>
  <c r="AB256" i="2"/>
  <c r="AF256" i="2" s="1"/>
  <c r="AA256" i="2"/>
  <c r="Z256" i="2"/>
  <c r="Y256" i="2"/>
  <c r="S256" i="2"/>
  <c r="O256" i="2"/>
  <c r="N256" i="2"/>
  <c r="AD255" i="2"/>
  <c r="AH255" i="2" s="1"/>
  <c r="AC255" i="2"/>
  <c r="AG255" i="2" s="1"/>
  <c r="AA255" i="2"/>
  <c r="AE255" i="2" s="1"/>
  <c r="Z255" i="2"/>
  <c r="Y255" i="2"/>
  <c r="S255" i="2"/>
  <c r="O255" i="2"/>
  <c r="N255" i="2"/>
  <c r="AB255" i="2" s="1"/>
  <c r="AF255" i="2" s="1"/>
  <c r="AE254" i="2"/>
  <c r="AD254" i="2"/>
  <c r="AH254" i="2" s="1"/>
  <c r="AC254" i="2"/>
  <c r="AG254" i="2" s="1"/>
  <c r="AB254" i="2"/>
  <c r="AF254" i="2" s="1"/>
  <c r="AA254" i="2"/>
  <c r="Z254" i="2"/>
  <c r="Y254" i="2"/>
  <c r="S254" i="2"/>
  <c r="O254" i="2"/>
  <c r="N254" i="2"/>
  <c r="AH253" i="2"/>
  <c r="AG253" i="2"/>
  <c r="AF253" i="2"/>
  <c r="AE253" i="2"/>
  <c r="AD253" i="2"/>
  <c r="AC253" i="2"/>
  <c r="AA253" i="2"/>
  <c r="Z253" i="2"/>
  <c r="Y253" i="2"/>
  <c r="S253" i="2"/>
  <c r="O253" i="2"/>
  <c r="N253" i="2"/>
  <c r="AB253" i="2" s="1"/>
  <c r="AC252" i="2"/>
  <c r="AG252" i="2" s="1"/>
  <c r="AB252" i="2"/>
  <c r="AF252" i="2" s="1"/>
  <c r="AA252" i="2"/>
  <c r="AE252" i="2" s="1"/>
  <c r="Z252" i="2"/>
  <c r="Y252" i="2"/>
  <c r="S252" i="2"/>
  <c r="O252" i="2"/>
  <c r="AD252" i="2" s="1"/>
  <c r="AH252" i="2" s="1"/>
  <c r="N252" i="2"/>
  <c r="AG251" i="2"/>
  <c r="AE251" i="2"/>
  <c r="AC251" i="2"/>
  <c r="AA251" i="2"/>
  <c r="Z251" i="2"/>
  <c r="Y251" i="2"/>
  <c r="S251" i="2"/>
  <c r="O251" i="2"/>
  <c r="AD251" i="2" s="1"/>
  <c r="AH251" i="2" s="1"/>
  <c r="N251" i="2"/>
  <c r="AB251" i="2" s="1"/>
  <c r="AF251" i="2" s="1"/>
  <c r="AG250" i="2"/>
  <c r="AF250" i="2"/>
  <c r="AC250" i="2"/>
  <c r="AB250" i="2"/>
  <c r="AA250" i="2"/>
  <c r="AE250" i="2" s="1"/>
  <c r="Z250" i="2"/>
  <c r="Y250" i="2"/>
  <c r="S250" i="2"/>
  <c r="O250" i="2"/>
  <c r="AD250" i="2" s="1"/>
  <c r="AH250" i="2" s="1"/>
  <c r="N250" i="2"/>
  <c r="AE249" i="2"/>
  <c r="AD249" i="2"/>
  <c r="AH249" i="2" s="1"/>
  <c r="AC249" i="2"/>
  <c r="AG249" i="2" s="1"/>
  <c r="AB249" i="2"/>
  <c r="AF249" i="2" s="1"/>
  <c r="AA249" i="2"/>
  <c r="Z249" i="2"/>
  <c r="Y249" i="2"/>
  <c r="S249" i="2"/>
  <c r="O249" i="2"/>
  <c r="N249" i="2"/>
  <c r="AG248" i="2"/>
  <c r="AF248" i="2"/>
  <c r="AD248" i="2"/>
  <c r="AH248" i="2" s="1"/>
  <c r="AB248" i="2"/>
  <c r="Z248" i="2"/>
  <c r="Y248" i="2"/>
  <c r="S248" i="2"/>
  <c r="O248" i="2"/>
  <c r="AC248" i="2" s="1"/>
  <c r="N248" i="2"/>
  <c r="AA248" i="2" s="1"/>
  <c r="AE248" i="2" s="1"/>
  <c r="AF247" i="2"/>
  <c r="AC247" i="2"/>
  <c r="AG247" i="2" s="1"/>
  <c r="AB247" i="2"/>
  <c r="AA247" i="2"/>
  <c r="AE247" i="2" s="1"/>
  <c r="Z247" i="2"/>
  <c r="Y247" i="2"/>
  <c r="S247" i="2"/>
  <c r="O247" i="2"/>
  <c r="AD247" i="2" s="1"/>
  <c r="AH247" i="2" s="1"/>
  <c r="N247" i="2"/>
  <c r="AF246" i="2"/>
  <c r="AD246" i="2"/>
  <c r="AH246" i="2" s="1"/>
  <c r="AC246" i="2"/>
  <c r="AG246" i="2" s="1"/>
  <c r="AB246" i="2"/>
  <c r="AA246" i="2"/>
  <c r="AE246" i="2" s="1"/>
  <c r="Z246" i="2"/>
  <c r="Y246" i="2"/>
  <c r="S246" i="2"/>
  <c r="O246" i="2"/>
  <c r="N246" i="2"/>
  <c r="AG245" i="2"/>
  <c r="AF245" i="2"/>
  <c r="AD245" i="2"/>
  <c r="AH245" i="2" s="1"/>
  <c r="AC245" i="2"/>
  <c r="AA245" i="2"/>
  <c r="AE245" i="2" s="1"/>
  <c r="Z245" i="2"/>
  <c r="Y245" i="2"/>
  <c r="S245" i="2"/>
  <c r="O245" i="2"/>
  <c r="N245" i="2"/>
  <c r="AB245" i="2" s="1"/>
  <c r="AH244" i="2"/>
  <c r="AG244" i="2"/>
  <c r="AF244" i="2"/>
  <c r="AD244" i="2"/>
  <c r="AC244" i="2"/>
  <c r="AB244" i="2"/>
  <c r="AA244" i="2"/>
  <c r="AE244" i="2" s="1"/>
  <c r="Z244" i="2"/>
  <c r="Y244" i="2"/>
  <c r="S244" i="2"/>
  <c r="O244" i="2"/>
  <c r="N244" i="2"/>
  <c r="AH243" i="2"/>
  <c r="AG243" i="2"/>
  <c r="AF243" i="2"/>
  <c r="AC243" i="2"/>
  <c r="AB243" i="2"/>
  <c r="AA243" i="2"/>
  <c r="AE243" i="2" s="1"/>
  <c r="Z243" i="2"/>
  <c r="Y243" i="2"/>
  <c r="S243" i="2"/>
  <c r="O243" i="2"/>
  <c r="AD243" i="2" s="1"/>
  <c r="N243" i="2"/>
  <c r="AC242" i="2"/>
  <c r="AG242" i="2" s="1"/>
  <c r="AA242" i="2"/>
  <c r="AE242" i="2" s="1"/>
  <c r="Z242" i="2"/>
  <c r="Y242" i="2"/>
  <c r="S242" i="2"/>
  <c r="O242" i="2"/>
  <c r="AD242" i="2" s="1"/>
  <c r="AH242" i="2" s="1"/>
  <c r="N242" i="2"/>
  <c r="AB242" i="2" s="1"/>
  <c r="AF242" i="2" s="1"/>
  <c r="AE241" i="2"/>
  <c r="AD241" i="2"/>
  <c r="AH241" i="2" s="1"/>
  <c r="AC241" i="2"/>
  <c r="AG241" i="2" s="1"/>
  <c r="AB241" i="2"/>
  <c r="AF241" i="2" s="1"/>
  <c r="AA241" i="2"/>
  <c r="Z241" i="2"/>
  <c r="Y241" i="2"/>
  <c r="S241" i="2"/>
  <c r="O241" i="2"/>
  <c r="N241" i="2"/>
  <c r="AF240" i="2"/>
  <c r="AD240" i="2"/>
  <c r="AH240" i="2" s="1"/>
  <c r="AC240" i="2"/>
  <c r="AG240" i="2" s="1"/>
  <c r="AB240" i="2"/>
  <c r="Z240" i="2"/>
  <c r="Y240" i="2"/>
  <c r="S240" i="2"/>
  <c r="O240" i="2"/>
  <c r="N240" i="2"/>
  <c r="AA240" i="2" s="1"/>
  <c r="AE240" i="2" s="1"/>
  <c r="AG239" i="2"/>
  <c r="AC239" i="2"/>
  <c r="AA239" i="2"/>
  <c r="AE239" i="2" s="1"/>
  <c r="Z239" i="2"/>
  <c r="Y239" i="2"/>
  <c r="S239" i="2"/>
  <c r="O239" i="2"/>
  <c r="AD239" i="2" s="1"/>
  <c r="AH239" i="2" s="1"/>
  <c r="N239" i="2"/>
  <c r="AB239" i="2" s="1"/>
  <c r="AF239" i="2" s="1"/>
  <c r="AG238" i="2"/>
  <c r="AF238" i="2"/>
  <c r="AE238" i="2"/>
  <c r="AC238" i="2"/>
  <c r="AA238" i="2"/>
  <c r="Z238" i="2"/>
  <c r="Y238" i="2"/>
  <c r="S238" i="2"/>
  <c r="O238" i="2"/>
  <c r="AD238" i="2" s="1"/>
  <c r="AH238" i="2" s="1"/>
  <c r="N238" i="2"/>
  <c r="AB238" i="2" s="1"/>
  <c r="AE237" i="2"/>
  <c r="AD237" i="2"/>
  <c r="AH237" i="2" s="1"/>
  <c r="AC237" i="2"/>
  <c r="AG237" i="2" s="1"/>
  <c r="AA237" i="2"/>
  <c r="Z237" i="2"/>
  <c r="Y237" i="2"/>
  <c r="S237" i="2"/>
  <c r="O237" i="2"/>
  <c r="N237" i="2"/>
  <c r="AB237" i="2" s="1"/>
  <c r="AF237" i="2" s="1"/>
  <c r="AD236" i="2"/>
  <c r="AH236" i="2" s="1"/>
  <c r="AC236" i="2"/>
  <c r="AG236" i="2" s="1"/>
  <c r="AB236" i="2"/>
  <c r="AF236" i="2" s="1"/>
  <c r="AA236" i="2"/>
  <c r="AE236" i="2" s="1"/>
  <c r="Z236" i="2"/>
  <c r="Y236" i="2"/>
  <c r="S236" i="2"/>
  <c r="O236" i="2"/>
  <c r="N236" i="2"/>
  <c r="AE235" i="2"/>
  <c r="AB235" i="2"/>
  <c r="AF235" i="2" s="1"/>
  <c r="Z235" i="2"/>
  <c r="Y235" i="2"/>
  <c r="S235" i="2"/>
  <c r="O235" i="2"/>
  <c r="N235" i="2"/>
  <c r="AA235" i="2" s="1"/>
  <c r="AG234" i="2"/>
  <c r="AF234" i="2"/>
  <c r="AE234" i="2"/>
  <c r="AD234" i="2"/>
  <c r="AH234" i="2" s="1"/>
  <c r="AC234" i="2"/>
  <c r="AB234" i="2"/>
  <c r="AA234" i="2"/>
  <c r="Z234" i="2"/>
  <c r="Y234" i="2"/>
  <c r="S234" i="2"/>
  <c r="O234" i="2"/>
  <c r="N234" i="2"/>
  <c r="AE233" i="2"/>
  <c r="AD233" i="2"/>
  <c r="AH233" i="2" s="1"/>
  <c r="AC233" i="2"/>
  <c r="AG233" i="2" s="1"/>
  <c r="AB233" i="2"/>
  <c r="AF233" i="2" s="1"/>
  <c r="AA233" i="2"/>
  <c r="Z233" i="2"/>
  <c r="Y233" i="2"/>
  <c r="S233" i="2"/>
  <c r="O233" i="2"/>
  <c r="N233" i="2"/>
  <c r="Z232" i="2"/>
  <c r="Y232" i="2"/>
  <c r="S232" i="2"/>
  <c r="O232" i="2"/>
  <c r="N232" i="2"/>
  <c r="AH231" i="2"/>
  <c r="AG231" i="2"/>
  <c r="AF231" i="2"/>
  <c r="AD231" i="2"/>
  <c r="AC231" i="2"/>
  <c r="AB231" i="2"/>
  <c r="AA231" i="2"/>
  <c r="AE231" i="2" s="1"/>
  <c r="Z231" i="2"/>
  <c r="Y231" i="2"/>
  <c r="S231" i="2"/>
  <c r="O231" i="2"/>
  <c r="N231" i="2"/>
  <c r="AD230" i="2"/>
  <c r="AH230" i="2" s="1"/>
  <c r="AC230" i="2"/>
  <c r="AG230" i="2" s="1"/>
  <c r="AB230" i="2"/>
  <c r="AF230" i="2" s="1"/>
  <c r="AA230" i="2"/>
  <c r="AE230" i="2" s="1"/>
  <c r="Z230" i="2"/>
  <c r="Y230" i="2"/>
  <c r="S230" i="2"/>
  <c r="O230" i="2"/>
  <c r="N230" i="2"/>
  <c r="AG229" i="2"/>
  <c r="AC229" i="2"/>
  <c r="AA229" i="2"/>
  <c r="AE229" i="2" s="1"/>
  <c r="Z229" i="2"/>
  <c r="Y229" i="2"/>
  <c r="S229" i="2"/>
  <c r="O229" i="2"/>
  <c r="AD229" i="2" s="1"/>
  <c r="AH229" i="2" s="1"/>
  <c r="N229" i="2"/>
  <c r="AB229" i="2" s="1"/>
  <c r="AF229" i="2" s="1"/>
  <c r="AH228" i="2"/>
  <c r="AG228" i="2"/>
  <c r="AF228" i="2"/>
  <c r="AD228" i="2"/>
  <c r="AB228" i="2"/>
  <c r="AA228" i="2"/>
  <c r="AE228" i="2" s="1"/>
  <c r="Z228" i="2"/>
  <c r="Y228" i="2"/>
  <c r="S228" i="2"/>
  <c r="O228" i="2"/>
  <c r="AC228" i="2" s="1"/>
  <c r="N228" i="2"/>
  <c r="AC227" i="2"/>
  <c r="AG227" i="2" s="1"/>
  <c r="AB227" i="2"/>
  <c r="AF227" i="2" s="1"/>
  <c r="AA227" i="2"/>
  <c r="AE227" i="2" s="1"/>
  <c r="Z227" i="2"/>
  <c r="Y227" i="2"/>
  <c r="S227" i="2"/>
  <c r="O227" i="2"/>
  <c r="AD227" i="2" s="1"/>
  <c r="AH227" i="2" s="1"/>
  <c r="N227" i="2"/>
  <c r="AH226" i="2"/>
  <c r="AC226" i="2"/>
  <c r="AG226" i="2" s="1"/>
  <c r="AB226" i="2"/>
  <c r="AF226" i="2" s="1"/>
  <c r="AA226" i="2"/>
  <c r="AE226" i="2" s="1"/>
  <c r="Z226" i="2"/>
  <c r="Y226" i="2"/>
  <c r="S226" i="2"/>
  <c r="O226" i="2"/>
  <c r="AD226" i="2" s="1"/>
  <c r="N226" i="2"/>
  <c r="AD225" i="2"/>
  <c r="AH225" i="2" s="1"/>
  <c r="AC225" i="2"/>
  <c r="AG225" i="2" s="1"/>
  <c r="AB225" i="2"/>
  <c r="AF225" i="2" s="1"/>
  <c r="Z225" i="2"/>
  <c r="Y225" i="2"/>
  <c r="S225" i="2"/>
  <c r="O225" i="2"/>
  <c r="N225" i="2"/>
  <c r="AA225" i="2" s="1"/>
  <c r="AE225" i="2" s="1"/>
  <c r="Z224" i="2"/>
  <c r="Y224" i="2"/>
  <c r="S224" i="2"/>
  <c r="O224" i="2"/>
  <c r="AD224" i="2" s="1"/>
  <c r="AH224" i="2" s="1"/>
  <c r="N224" i="2"/>
  <c r="AC223" i="2"/>
  <c r="AG223" i="2" s="1"/>
  <c r="AB223" i="2"/>
  <c r="AF223" i="2" s="1"/>
  <c r="AA223" i="2"/>
  <c r="AE223" i="2" s="1"/>
  <c r="Z223" i="2"/>
  <c r="Y223" i="2"/>
  <c r="S223" i="2"/>
  <c r="O223" i="2"/>
  <c r="AD223" i="2" s="1"/>
  <c r="AH223" i="2" s="1"/>
  <c r="N223" i="2"/>
  <c r="AG222" i="2"/>
  <c r="AE222" i="2"/>
  <c r="AC222" i="2"/>
  <c r="AA222" i="2"/>
  <c r="Z222" i="2"/>
  <c r="Y222" i="2"/>
  <c r="S222" i="2"/>
  <c r="O222" i="2"/>
  <c r="AD222" i="2" s="1"/>
  <c r="AH222" i="2" s="1"/>
  <c r="N222" i="2"/>
  <c r="AB222" i="2" s="1"/>
  <c r="AF222" i="2" s="1"/>
  <c r="AH221" i="2"/>
  <c r="AF221" i="2"/>
  <c r="AE221" i="2"/>
  <c r="AC221" i="2"/>
  <c r="AG221" i="2" s="1"/>
  <c r="AA221" i="2"/>
  <c r="Z221" i="2"/>
  <c r="Y221" i="2"/>
  <c r="S221" i="2"/>
  <c r="O221" i="2"/>
  <c r="AD221" i="2" s="1"/>
  <c r="N221" i="2"/>
  <c r="AB221" i="2" s="1"/>
  <c r="AD220" i="2"/>
  <c r="AH220" i="2" s="1"/>
  <c r="AC220" i="2"/>
  <c r="AG220" i="2" s="1"/>
  <c r="AB220" i="2"/>
  <c r="AF220" i="2" s="1"/>
  <c r="AA220" i="2"/>
  <c r="AE220" i="2" s="1"/>
  <c r="Z220" i="2"/>
  <c r="Y220" i="2"/>
  <c r="S220" i="2"/>
  <c r="O220" i="2"/>
  <c r="N220" i="2"/>
  <c r="AG219" i="2"/>
  <c r="AD219" i="2"/>
  <c r="AH219" i="2" s="1"/>
  <c r="Z219" i="2"/>
  <c r="Y219" i="2"/>
  <c r="S219" i="2"/>
  <c r="O219" i="2"/>
  <c r="AC219" i="2" s="1"/>
  <c r="N219" i="2"/>
  <c r="AH218" i="2"/>
  <c r="AD218" i="2"/>
  <c r="AC218" i="2"/>
  <c r="AG218" i="2" s="1"/>
  <c r="AB218" i="2"/>
  <c r="AF218" i="2" s="1"/>
  <c r="AA218" i="2"/>
  <c r="AE218" i="2" s="1"/>
  <c r="Z218" i="2"/>
  <c r="Y218" i="2"/>
  <c r="S218" i="2"/>
  <c r="O218" i="2"/>
  <c r="N218" i="2"/>
  <c r="Z217" i="2"/>
  <c r="Y217" i="2"/>
  <c r="S217" i="2"/>
  <c r="O217" i="2"/>
  <c r="N217" i="2"/>
  <c r="AH216" i="2"/>
  <c r="AG216" i="2"/>
  <c r="AD216" i="2"/>
  <c r="AC216" i="2"/>
  <c r="AA216" i="2"/>
  <c r="AE216" i="2" s="1"/>
  <c r="Z216" i="2"/>
  <c r="Y216" i="2"/>
  <c r="S216" i="2"/>
  <c r="O216" i="2"/>
  <c r="N216" i="2"/>
  <c r="AB216" i="2" s="1"/>
  <c r="AF216" i="2" s="1"/>
  <c r="AD215" i="2"/>
  <c r="AH215" i="2" s="1"/>
  <c r="AC215" i="2"/>
  <c r="AG215" i="2" s="1"/>
  <c r="AB215" i="2"/>
  <c r="AF215" i="2" s="1"/>
  <c r="Z215" i="2"/>
  <c r="Y215" i="2"/>
  <c r="S215" i="2"/>
  <c r="O215" i="2"/>
  <c r="N215" i="2"/>
  <c r="AA215" i="2" s="1"/>
  <c r="AE215" i="2" s="1"/>
  <c r="AG214" i="2"/>
  <c r="AD214" i="2"/>
  <c r="AH214" i="2" s="1"/>
  <c r="AC214" i="2"/>
  <c r="AA214" i="2"/>
  <c r="AE214" i="2" s="1"/>
  <c r="Z214" i="2"/>
  <c r="Y214" i="2"/>
  <c r="S214" i="2"/>
  <c r="O214" i="2"/>
  <c r="N214" i="2"/>
  <c r="AB214" i="2" s="1"/>
  <c r="AF214" i="2" s="1"/>
  <c r="AG213" i="2"/>
  <c r="AC213" i="2"/>
  <c r="AB213" i="2"/>
  <c r="AF213" i="2" s="1"/>
  <c r="AA213" i="2"/>
  <c r="AE213" i="2" s="1"/>
  <c r="Z213" i="2"/>
  <c r="Y213" i="2"/>
  <c r="S213" i="2"/>
  <c r="O213" i="2"/>
  <c r="AD213" i="2" s="1"/>
  <c r="AH213" i="2" s="1"/>
  <c r="N213" i="2"/>
  <c r="AG212" i="2"/>
  <c r="AE212" i="2"/>
  <c r="AC212" i="2"/>
  <c r="AA212" i="2"/>
  <c r="Z212" i="2"/>
  <c r="Y212" i="2"/>
  <c r="S212" i="2"/>
  <c r="O212" i="2"/>
  <c r="AD212" i="2" s="1"/>
  <c r="AH212" i="2" s="1"/>
  <c r="N212" i="2"/>
  <c r="AB212" i="2" s="1"/>
  <c r="AF212" i="2" s="1"/>
  <c r="AG211" i="2"/>
  <c r="AD211" i="2"/>
  <c r="AH211" i="2" s="1"/>
  <c r="AC211" i="2"/>
  <c r="AA211" i="2"/>
  <c r="AE211" i="2" s="1"/>
  <c r="Z211" i="2"/>
  <c r="Y211" i="2"/>
  <c r="S211" i="2"/>
  <c r="O211" i="2"/>
  <c r="N211" i="2"/>
  <c r="AB211" i="2" s="1"/>
  <c r="AF211" i="2" s="1"/>
  <c r="AG210" i="2"/>
  <c r="AD210" i="2"/>
  <c r="AH210" i="2" s="1"/>
  <c r="AC210" i="2"/>
  <c r="AB210" i="2"/>
  <c r="AF210" i="2" s="1"/>
  <c r="AA210" i="2"/>
  <c r="AE210" i="2" s="1"/>
  <c r="Z210" i="2"/>
  <c r="Y210" i="2"/>
  <c r="S210" i="2"/>
  <c r="O210" i="2"/>
  <c r="N210" i="2"/>
  <c r="AG209" i="2"/>
  <c r="AC209" i="2"/>
  <c r="AA209" i="2"/>
  <c r="AE209" i="2" s="1"/>
  <c r="Z209" i="2"/>
  <c r="Y209" i="2"/>
  <c r="S209" i="2"/>
  <c r="O209" i="2"/>
  <c r="AD209" i="2" s="1"/>
  <c r="AH209" i="2" s="1"/>
  <c r="N209" i="2"/>
  <c r="AB209" i="2" s="1"/>
  <c r="AF209" i="2" s="1"/>
  <c r="AG208" i="2"/>
  <c r="AF208" i="2"/>
  <c r="AD208" i="2"/>
  <c r="AH208" i="2" s="1"/>
  <c r="AC208" i="2"/>
  <c r="AB208" i="2"/>
  <c r="AA208" i="2"/>
  <c r="AE208" i="2" s="1"/>
  <c r="Z208" i="2"/>
  <c r="Y208" i="2"/>
  <c r="S208" i="2"/>
  <c r="O208" i="2"/>
  <c r="N208" i="2"/>
  <c r="AD207" i="2"/>
  <c r="AH207" i="2" s="1"/>
  <c r="AC207" i="2"/>
  <c r="AG207" i="2" s="1"/>
  <c r="AB207" i="2"/>
  <c r="AF207" i="2" s="1"/>
  <c r="AA207" i="2"/>
  <c r="AE207" i="2" s="1"/>
  <c r="Z207" i="2"/>
  <c r="Y207" i="2"/>
  <c r="S207" i="2"/>
  <c r="O207" i="2"/>
  <c r="N207" i="2"/>
  <c r="AH206" i="2"/>
  <c r="AD206" i="2"/>
  <c r="AB206" i="2"/>
  <c r="AF206" i="2" s="1"/>
  <c r="Z206" i="2"/>
  <c r="Y206" i="2"/>
  <c r="S206" i="2"/>
  <c r="O206" i="2"/>
  <c r="AC206" i="2" s="1"/>
  <c r="AG206" i="2" s="1"/>
  <c r="N206" i="2"/>
  <c r="AA206" i="2" s="1"/>
  <c r="AE206" i="2" s="1"/>
  <c r="AE205" i="2"/>
  <c r="AD205" i="2"/>
  <c r="AH205" i="2" s="1"/>
  <c r="AC205" i="2"/>
  <c r="AG205" i="2" s="1"/>
  <c r="AB205" i="2"/>
  <c r="AF205" i="2" s="1"/>
  <c r="AA205" i="2"/>
  <c r="Z205" i="2"/>
  <c r="Y205" i="2"/>
  <c r="S205" i="2"/>
  <c r="O205" i="2"/>
  <c r="N205" i="2"/>
  <c r="AE204" i="2"/>
  <c r="AB204" i="2"/>
  <c r="AF204" i="2" s="1"/>
  <c r="AA204" i="2"/>
  <c r="Z204" i="2"/>
  <c r="Y204" i="2"/>
  <c r="S204" i="2"/>
  <c r="O204" i="2"/>
  <c r="N204" i="2"/>
  <c r="AH203" i="2"/>
  <c r="AD203" i="2"/>
  <c r="AC203" i="2"/>
  <c r="AG203" i="2" s="1"/>
  <c r="AB203" i="2"/>
  <c r="AF203" i="2" s="1"/>
  <c r="AA203" i="2"/>
  <c r="AE203" i="2" s="1"/>
  <c r="Z203" i="2"/>
  <c r="Y203" i="2"/>
  <c r="S203" i="2"/>
  <c r="O203" i="2"/>
  <c r="N203" i="2"/>
  <c r="AF202" i="2"/>
  <c r="AE202" i="2"/>
  <c r="AC202" i="2"/>
  <c r="AG202" i="2" s="1"/>
  <c r="AA202" i="2"/>
  <c r="Z202" i="2"/>
  <c r="Y202" i="2"/>
  <c r="S202" i="2"/>
  <c r="O202" i="2"/>
  <c r="AD202" i="2" s="1"/>
  <c r="AH202" i="2" s="1"/>
  <c r="N202" i="2"/>
  <c r="AB202" i="2" s="1"/>
  <c r="AH201" i="2"/>
  <c r="AG201" i="2"/>
  <c r="AF201" i="2"/>
  <c r="AD201" i="2"/>
  <c r="AC201" i="2"/>
  <c r="AB201" i="2"/>
  <c r="AA201" i="2"/>
  <c r="AE201" i="2" s="1"/>
  <c r="Z201" i="2"/>
  <c r="Y201" i="2"/>
  <c r="S201" i="2"/>
  <c r="O201" i="2"/>
  <c r="N201" i="2"/>
  <c r="AF200" i="2"/>
  <c r="AE200" i="2"/>
  <c r="AC200" i="2"/>
  <c r="AG200" i="2" s="1"/>
  <c r="AB200" i="2"/>
  <c r="AA200" i="2"/>
  <c r="Z200" i="2"/>
  <c r="Y200" i="2"/>
  <c r="S200" i="2"/>
  <c r="O200" i="2"/>
  <c r="AD200" i="2" s="1"/>
  <c r="AH200" i="2" s="1"/>
  <c r="N200" i="2"/>
  <c r="AG199" i="2"/>
  <c r="AE199" i="2"/>
  <c r="AC199" i="2"/>
  <c r="AA199" i="2"/>
  <c r="Z199" i="2"/>
  <c r="Y199" i="2"/>
  <c r="S199" i="2"/>
  <c r="O199" i="2"/>
  <c r="AD199" i="2" s="1"/>
  <c r="AH199" i="2" s="1"/>
  <c r="N199" i="2"/>
  <c r="AB199" i="2" s="1"/>
  <c r="AF199" i="2" s="1"/>
  <c r="AF198" i="2"/>
  <c r="AD198" i="2"/>
  <c r="AH198" i="2" s="1"/>
  <c r="AC198" i="2"/>
  <c r="AG198" i="2" s="1"/>
  <c r="AB198" i="2"/>
  <c r="AA198" i="2"/>
  <c r="AE198" i="2" s="1"/>
  <c r="Z198" i="2"/>
  <c r="Y198" i="2"/>
  <c r="S198" i="2"/>
  <c r="O198" i="2"/>
  <c r="N198" i="2"/>
  <c r="AG197" i="2"/>
  <c r="AF197" i="2"/>
  <c r="AE197" i="2"/>
  <c r="AD197" i="2"/>
  <c r="AH197" i="2" s="1"/>
  <c r="AC197" i="2"/>
  <c r="AB197" i="2"/>
  <c r="AA197" i="2"/>
  <c r="Z197" i="2"/>
  <c r="Y197" i="2"/>
  <c r="S197" i="2"/>
  <c r="O197" i="2"/>
  <c r="N197" i="2"/>
  <c r="Z196" i="2"/>
  <c r="Y196" i="2"/>
  <c r="S196" i="2"/>
  <c r="O196" i="2"/>
  <c r="N196" i="2"/>
  <c r="AH195" i="2"/>
  <c r="AF195" i="2"/>
  <c r="AD195" i="2"/>
  <c r="AC195" i="2"/>
  <c r="AG195" i="2" s="1"/>
  <c r="AA195" i="2"/>
  <c r="AE195" i="2" s="1"/>
  <c r="Z195" i="2"/>
  <c r="Y195" i="2"/>
  <c r="S195" i="2"/>
  <c r="O195" i="2"/>
  <c r="N195" i="2"/>
  <c r="AB195" i="2" s="1"/>
  <c r="AF194" i="2"/>
  <c r="AD194" i="2"/>
  <c r="AH194" i="2" s="1"/>
  <c r="AC194" i="2"/>
  <c r="AG194" i="2" s="1"/>
  <c r="AA194" i="2"/>
  <c r="AE194" i="2" s="1"/>
  <c r="Z194" i="2"/>
  <c r="Y194" i="2"/>
  <c r="S194" i="2"/>
  <c r="O194" i="2"/>
  <c r="N194" i="2"/>
  <c r="AB194" i="2" s="1"/>
  <c r="AD193" i="2"/>
  <c r="AH193" i="2" s="1"/>
  <c r="AC193" i="2"/>
  <c r="AG193" i="2" s="1"/>
  <c r="AB193" i="2"/>
  <c r="AF193" i="2" s="1"/>
  <c r="AA193" i="2"/>
  <c r="AE193" i="2" s="1"/>
  <c r="Z193" i="2"/>
  <c r="Y193" i="2"/>
  <c r="S193" i="2"/>
  <c r="O193" i="2"/>
  <c r="N193" i="2"/>
  <c r="AG192" i="2"/>
  <c r="AF192" i="2"/>
  <c r="AE192" i="2"/>
  <c r="AC192" i="2"/>
  <c r="AA192" i="2"/>
  <c r="Z192" i="2"/>
  <c r="Y192" i="2"/>
  <c r="S192" i="2"/>
  <c r="O192" i="2"/>
  <c r="AD192" i="2" s="1"/>
  <c r="AH192" i="2" s="1"/>
  <c r="N192" i="2"/>
  <c r="AB192" i="2" s="1"/>
  <c r="AH191" i="2"/>
  <c r="AD191" i="2"/>
  <c r="AC191" i="2"/>
  <c r="AG191" i="2" s="1"/>
  <c r="AB191" i="2"/>
  <c r="AF191" i="2" s="1"/>
  <c r="AA191" i="2"/>
  <c r="AE191" i="2" s="1"/>
  <c r="Z191" i="2"/>
  <c r="Y191" i="2"/>
  <c r="S191" i="2"/>
  <c r="O191" i="2"/>
  <c r="N191" i="2"/>
  <c r="AD190" i="2"/>
  <c r="AH190" i="2" s="1"/>
  <c r="AC190" i="2"/>
  <c r="AG190" i="2" s="1"/>
  <c r="AB190" i="2"/>
  <c r="AF190" i="2" s="1"/>
  <c r="Z190" i="2"/>
  <c r="Y190" i="2"/>
  <c r="S190" i="2"/>
  <c r="O190" i="2"/>
  <c r="N190" i="2"/>
  <c r="AA190" i="2" s="1"/>
  <c r="AE190" i="2" s="1"/>
  <c r="AE189" i="2"/>
  <c r="AC189" i="2"/>
  <c r="AG189" i="2" s="1"/>
  <c r="AA189" i="2"/>
  <c r="Z189" i="2"/>
  <c r="Y189" i="2"/>
  <c r="S189" i="2"/>
  <c r="O189" i="2"/>
  <c r="AD189" i="2" s="1"/>
  <c r="AH189" i="2" s="1"/>
  <c r="N189" i="2"/>
  <c r="AB189" i="2" s="1"/>
  <c r="AF189" i="2" s="1"/>
  <c r="AH188" i="2"/>
  <c r="AG188" i="2"/>
  <c r="AE188" i="2"/>
  <c r="AD188" i="2"/>
  <c r="AC188" i="2"/>
  <c r="AA188" i="2"/>
  <c r="Z188" i="2"/>
  <c r="Y188" i="2"/>
  <c r="S188" i="2"/>
  <c r="O188" i="2"/>
  <c r="N188" i="2"/>
  <c r="AB188" i="2" s="1"/>
  <c r="AF188" i="2" s="1"/>
  <c r="AH187" i="2"/>
  <c r="AG187" i="2"/>
  <c r="AF187" i="2"/>
  <c r="AE187" i="2"/>
  <c r="AD187" i="2"/>
  <c r="AC187" i="2"/>
  <c r="AB187" i="2"/>
  <c r="AA187" i="2"/>
  <c r="Z187" i="2"/>
  <c r="Y187" i="2"/>
  <c r="S187" i="2"/>
  <c r="O187" i="2"/>
  <c r="N187" i="2"/>
  <c r="AD186" i="2"/>
  <c r="AH186" i="2" s="1"/>
  <c r="AC186" i="2"/>
  <c r="AG186" i="2" s="1"/>
  <c r="AB186" i="2"/>
  <c r="AF186" i="2" s="1"/>
  <c r="AA186" i="2"/>
  <c r="AE186" i="2" s="1"/>
  <c r="Z186" i="2"/>
  <c r="Y186" i="2"/>
  <c r="S186" i="2"/>
  <c r="O186" i="2"/>
  <c r="N186" i="2"/>
  <c r="AG185" i="2"/>
  <c r="AE185" i="2"/>
  <c r="AC185" i="2"/>
  <c r="AA185" i="2"/>
  <c r="Z185" i="2"/>
  <c r="Y185" i="2"/>
  <c r="S185" i="2"/>
  <c r="O185" i="2"/>
  <c r="AD185" i="2" s="1"/>
  <c r="AH185" i="2" s="1"/>
  <c r="N185" i="2"/>
  <c r="AB185" i="2" s="1"/>
  <c r="AF185" i="2" s="1"/>
  <c r="AH184" i="2"/>
  <c r="AG184" i="2"/>
  <c r="AF184" i="2"/>
  <c r="AE184" i="2"/>
  <c r="AC184" i="2"/>
  <c r="AB184" i="2"/>
  <c r="AA184" i="2"/>
  <c r="Z184" i="2"/>
  <c r="Y184" i="2"/>
  <c r="S184" i="2"/>
  <c r="O184" i="2"/>
  <c r="AD184" i="2" s="1"/>
  <c r="N184" i="2"/>
  <c r="AD183" i="2"/>
  <c r="AH183" i="2" s="1"/>
  <c r="AC183" i="2"/>
  <c r="AG183" i="2" s="1"/>
  <c r="AB183" i="2"/>
  <c r="AF183" i="2" s="1"/>
  <c r="AA183" i="2"/>
  <c r="AE183" i="2" s="1"/>
  <c r="Z183" i="2"/>
  <c r="Y183" i="2"/>
  <c r="S183" i="2"/>
  <c r="O183" i="2"/>
  <c r="N183" i="2"/>
  <c r="AD182" i="2"/>
  <c r="AH182" i="2" s="1"/>
  <c r="Z182" i="2"/>
  <c r="Y182" i="2"/>
  <c r="S182" i="2"/>
  <c r="O182" i="2"/>
  <c r="AC182" i="2" s="1"/>
  <c r="AG182" i="2" s="1"/>
  <c r="N182" i="2"/>
  <c r="AF181" i="2"/>
  <c r="AD181" i="2"/>
  <c r="AH181" i="2" s="1"/>
  <c r="AC181" i="2"/>
  <c r="AG181" i="2" s="1"/>
  <c r="AA181" i="2"/>
  <c r="AE181" i="2" s="1"/>
  <c r="Z181" i="2"/>
  <c r="Y181" i="2"/>
  <c r="S181" i="2"/>
  <c r="O181" i="2"/>
  <c r="N181" i="2"/>
  <c r="AB181" i="2" s="1"/>
  <c r="AG180" i="2"/>
  <c r="AF180" i="2"/>
  <c r="AD180" i="2"/>
  <c r="AH180" i="2" s="1"/>
  <c r="AC180" i="2"/>
  <c r="AB180" i="2"/>
  <c r="Z180" i="2"/>
  <c r="Y180" i="2"/>
  <c r="S180" i="2"/>
  <c r="O180" i="2"/>
  <c r="N180" i="2"/>
  <c r="AA180" i="2" s="1"/>
  <c r="AE180" i="2" s="1"/>
  <c r="AH179" i="2"/>
  <c r="AC179" i="2"/>
  <c r="AG179" i="2" s="1"/>
  <c r="AA179" i="2"/>
  <c r="AE179" i="2" s="1"/>
  <c r="Z179" i="2"/>
  <c r="Y179" i="2"/>
  <c r="S179" i="2"/>
  <c r="O179" i="2"/>
  <c r="AD179" i="2" s="1"/>
  <c r="N179" i="2"/>
  <c r="AB179" i="2" s="1"/>
  <c r="AF179" i="2" s="1"/>
  <c r="AH178" i="2"/>
  <c r="AD178" i="2"/>
  <c r="AC178" i="2"/>
  <c r="AG178" i="2" s="1"/>
  <c r="AB178" i="2"/>
  <c r="AF178" i="2" s="1"/>
  <c r="Z178" i="2"/>
  <c r="Y178" i="2"/>
  <c r="S178" i="2"/>
  <c r="O178" i="2"/>
  <c r="N178" i="2"/>
  <c r="AA178" i="2" s="1"/>
  <c r="AE178" i="2" s="1"/>
  <c r="AH177" i="2"/>
  <c r="AE177" i="2"/>
  <c r="AD177" i="2"/>
  <c r="AC177" i="2"/>
  <c r="AG177" i="2" s="1"/>
  <c r="AB177" i="2"/>
  <c r="AF177" i="2" s="1"/>
  <c r="AA177" i="2"/>
  <c r="Z177" i="2"/>
  <c r="Y177" i="2"/>
  <c r="S177" i="2"/>
  <c r="O177" i="2"/>
  <c r="N177" i="2"/>
  <c r="AD176" i="2"/>
  <c r="AH176" i="2" s="1"/>
  <c r="AC176" i="2"/>
  <c r="AG176" i="2" s="1"/>
  <c r="AB176" i="2"/>
  <c r="AF176" i="2" s="1"/>
  <c r="AA176" i="2"/>
  <c r="AE176" i="2" s="1"/>
  <c r="Z176" i="2"/>
  <c r="Y176" i="2"/>
  <c r="S176" i="2"/>
  <c r="O176" i="2"/>
  <c r="N176" i="2"/>
  <c r="AG175" i="2"/>
  <c r="Z175" i="2"/>
  <c r="Y175" i="2"/>
  <c r="S175" i="2"/>
  <c r="O175" i="2"/>
  <c r="AC175" i="2" s="1"/>
  <c r="N175" i="2"/>
  <c r="AH174" i="2"/>
  <c r="AG174" i="2"/>
  <c r="AF174" i="2"/>
  <c r="AE174" i="2"/>
  <c r="AC174" i="2"/>
  <c r="AB174" i="2"/>
  <c r="AA174" i="2"/>
  <c r="Z174" i="2"/>
  <c r="Y174" i="2"/>
  <c r="S174" i="2"/>
  <c r="O174" i="2"/>
  <c r="AD174" i="2" s="1"/>
  <c r="N174" i="2"/>
  <c r="AD173" i="2"/>
  <c r="AH173" i="2" s="1"/>
  <c r="AC173" i="2"/>
  <c r="AG173" i="2" s="1"/>
  <c r="AB173" i="2"/>
  <c r="AF173" i="2" s="1"/>
  <c r="AA173" i="2"/>
  <c r="AE173" i="2" s="1"/>
  <c r="Z173" i="2"/>
  <c r="Y173" i="2"/>
  <c r="S173" i="2"/>
  <c r="O173" i="2"/>
  <c r="N173" i="2"/>
  <c r="AE172" i="2"/>
  <c r="AA172" i="2"/>
  <c r="Z172" i="2"/>
  <c r="Y172" i="2"/>
  <c r="S172" i="2"/>
  <c r="O172" i="2"/>
  <c r="N172" i="2"/>
  <c r="AB172" i="2" s="1"/>
  <c r="AF172" i="2" s="1"/>
  <c r="AD171" i="2"/>
  <c r="AH171" i="2" s="1"/>
  <c r="AC171" i="2"/>
  <c r="AG171" i="2" s="1"/>
  <c r="AB171" i="2"/>
  <c r="AF171" i="2" s="1"/>
  <c r="AA171" i="2"/>
  <c r="AE171" i="2" s="1"/>
  <c r="Z171" i="2"/>
  <c r="Y171" i="2"/>
  <c r="S171" i="2"/>
  <c r="O171" i="2"/>
  <c r="N171" i="2"/>
  <c r="AG170" i="2"/>
  <c r="AE170" i="2"/>
  <c r="AC170" i="2"/>
  <c r="AA170" i="2"/>
  <c r="Z170" i="2"/>
  <c r="Y170" i="2"/>
  <c r="S170" i="2"/>
  <c r="O170" i="2"/>
  <c r="AD170" i="2" s="1"/>
  <c r="AH170" i="2" s="1"/>
  <c r="N170" i="2"/>
  <c r="AB170" i="2" s="1"/>
  <c r="AF170" i="2" s="1"/>
  <c r="AB169" i="2"/>
  <c r="AF169" i="2" s="1"/>
  <c r="AA169" i="2"/>
  <c r="AE169" i="2" s="1"/>
  <c r="Z169" i="2"/>
  <c r="Y169" i="2"/>
  <c r="S169" i="2"/>
  <c r="O169" i="2"/>
  <c r="AD169" i="2" s="1"/>
  <c r="AH169" i="2" s="1"/>
  <c r="N169" i="2"/>
  <c r="AG168" i="2"/>
  <c r="AE168" i="2"/>
  <c r="AD168" i="2"/>
  <c r="AH168" i="2" s="1"/>
  <c r="AC168" i="2"/>
  <c r="AB168" i="2"/>
  <c r="AF168" i="2" s="1"/>
  <c r="AA168" i="2"/>
  <c r="Z168" i="2"/>
  <c r="Y168" i="2"/>
  <c r="S168" i="2"/>
  <c r="O168" i="2"/>
  <c r="N168" i="2"/>
  <c r="AH167" i="2"/>
  <c r="AG167" i="2"/>
  <c r="AF167" i="2"/>
  <c r="AE167" i="2"/>
  <c r="AC167" i="2"/>
  <c r="AA167" i="2"/>
  <c r="Z167" i="2"/>
  <c r="Y167" i="2"/>
  <c r="S167" i="2"/>
  <c r="O167" i="2"/>
  <c r="AD167" i="2" s="1"/>
  <c r="N167" i="2"/>
  <c r="AB167" i="2" s="1"/>
  <c r="AD166" i="2"/>
  <c r="AH166" i="2" s="1"/>
  <c r="AC166" i="2"/>
  <c r="AG166" i="2" s="1"/>
  <c r="AB166" i="2"/>
  <c r="AF166" i="2" s="1"/>
  <c r="AA166" i="2"/>
  <c r="AE166" i="2" s="1"/>
  <c r="Z166" i="2"/>
  <c r="Y166" i="2"/>
  <c r="S166" i="2"/>
  <c r="O166" i="2"/>
  <c r="N166" i="2"/>
  <c r="Z165" i="2"/>
  <c r="Y165" i="2"/>
  <c r="S165" i="2"/>
  <c r="O165" i="2"/>
  <c r="AC165" i="2" s="1"/>
  <c r="AG165" i="2" s="1"/>
  <c r="N165" i="2"/>
  <c r="AF164" i="2"/>
  <c r="AE164" i="2"/>
  <c r="AD164" i="2"/>
  <c r="AH164" i="2" s="1"/>
  <c r="AC164" i="2"/>
  <c r="AG164" i="2" s="1"/>
  <c r="AB164" i="2"/>
  <c r="AA164" i="2"/>
  <c r="Z164" i="2"/>
  <c r="Y164" i="2"/>
  <c r="S164" i="2"/>
  <c r="O164" i="2"/>
  <c r="N164" i="2"/>
  <c r="AF163" i="2"/>
  <c r="AC163" i="2"/>
  <c r="AG163" i="2" s="1"/>
  <c r="AA163" i="2"/>
  <c r="AE163" i="2" s="1"/>
  <c r="Z163" i="2"/>
  <c r="Y163" i="2"/>
  <c r="S163" i="2"/>
  <c r="O163" i="2"/>
  <c r="AD163" i="2" s="1"/>
  <c r="AH163" i="2" s="1"/>
  <c r="N163" i="2"/>
  <c r="AB163" i="2" s="1"/>
  <c r="AH162" i="2"/>
  <c r="AG162" i="2"/>
  <c r="AE162" i="2"/>
  <c r="AD162" i="2"/>
  <c r="AC162" i="2"/>
  <c r="AA162" i="2"/>
  <c r="Z162" i="2"/>
  <c r="Y162" i="2"/>
  <c r="S162" i="2"/>
  <c r="O162" i="2"/>
  <c r="N162" i="2"/>
  <c r="AB162" i="2" s="1"/>
  <c r="AF162" i="2" s="1"/>
  <c r="AF161" i="2"/>
  <c r="AE161" i="2"/>
  <c r="AD161" i="2"/>
  <c r="AH161" i="2" s="1"/>
  <c r="AC161" i="2"/>
  <c r="AG161" i="2" s="1"/>
  <c r="AA161" i="2"/>
  <c r="Z161" i="2"/>
  <c r="Y161" i="2"/>
  <c r="S161" i="2"/>
  <c r="O161" i="2"/>
  <c r="N161" i="2"/>
  <c r="AB161" i="2" s="1"/>
  <c r="AC160" i="2"/>
  <c r="AG160" i="2" s="1"/>
  <c r="AB160" i="2"/>
  <c r="AF160" i="2" s="1"/>
  <c r="AA160" i="2"/>
  <c r="AE160" i="2" s="1"/>
  <c r="Z160" i="2"/>
  <c r="Y160" i="2"/>
  <c r="S160" i="2"/>
  <c r="O160" i="2"/>
  <c r="AD160" i="2" s="1"/>
  <c r="AH160" i="2" s="1"/>
  <c r="N160" i="2"/>
  <c r="AD159" i="2"/>
  <c r="AH159" i="2" s="1"/>
  <c r="AC159" i="2"/>
  <c r="AG159" i="2" s="1"/>
  <c r="AB159" i="2"/>
  <c r="AF159" i="2" s="1"/>
  <c r="AA159" i="2"/>
  <c r="AE159" i="2" s="1"/>
  <c r="Z159" i="2"/>
  <c r="Y159" i="2"/>
  <c r="S159" i="2"/>
  <c r="O159" i="2"/>
  <c r="N159" i="2"/>
  <c r="AG158" i="2"/>
  <c r="AE158" i="2"/>
  <c r="AD158" i="2"/>
  <c r="AH158" i="2" s="1"/>
  <c r="AB158" i="2"/>
  <c r="AF158" i="2" s="1"/>
  <c r="Z158" i="2"/>
  <c r="Y158" i="2"/>
  <c r="S158" i="2"/>
  <c r="O158" i="2"/>
  <c r="AC158" i="2" s="1"/>
  <c r="N158" i="2"/>
  <c r="AA158" i="2" s="1"/>
  <c r="AG157" i="2"/>
  <c r="AF157" i="2"/>
  <c r="AD157" i="2"/>
  <c r="AH157" i="2" s="1"/>
  <c r="AC157" i="2"/>
  <c r="AB157" i="2"/>
  <c r="Z157" i="2"/>
  <c r="Y157" i="2"/>
  <c r="S157" i="2"/>
  <c r="O157" i="2"/>
  <c r="N157" i="2"/>
  <c r="AA157" i="2" s="1"/>
  <c r="AE157" i="2" s="1"/>
  <c r="AG156" i="2"/>
  <c r="AE156" i="2"/>
  <c r="AC156" i="2"/>
  <c r="AB156" i="2"/>
  <c r="AF156" i="2" s="1"/>
  <c r="AA156" i="2"/>
  <c r="Z156" i="2"/>
  <c r="Y156" i="2"/>
  <c r="S156" i="2"/>
  <c r="O156" i="2"/>
  <c r="AD156" i="2" s="1"/>
  <c r="AH156" i="2" s="1"/>
  <c r="N156" i="2"/>
  <c r="AG155" i="2"/>
  <c r="AD155" i="2"/>
  <c r="AH155" i="2" s="1"/>
  <c r="AC155" i="2"/>
  <c r="AA155" i="2"/>
  <c r="AE155" i="2" s="1"/>
  <c r="Z155" i="2"/>
  <c r="Y155" i="2"/>
  <c r="S155" i="2"/>
  <c r="O155" i="2"/>
  <c r="N155" i="2"/>
  <c r="AB155" i="2" s="1"/>
  <c r="AF155" i="2" s="1"/>
  <c r="AG154" i="2"/>
  <c r="AF154" i="2"/>
  <c r="AE154" i="2"/>
  <c r="AD154" i="2"/>
  <c r="AH154" i="2" s="1"/>
  <c r="AC154" i="2"/>
  <c r="AB154" i="2"/>
  <c r="AA154" i="2"/>
  <c r="Z154" i="2"/>
  <c r="Y154" i="2"/>
  <c r="S154" i="2"/>
  <c r="O154" i="2"/>
  <c r="N154" i="2"/>
  <c r="AG153" i="2"/>
  <c r="AE153" i="2"/>
  <c r="AC153" i="2"/>
  <c r="AB153" i="2"/>
  <c r="AF153" i="2" s="1"/>
  <c r="AA153" i="2"/>
  <c r="Z153" i="2"/>
  <c r="Y153" i="2"/>
  <c r="S153" i="2"/>
  <c r="O153" i="2"/>
  <c r="AD153" i="2" s="1"/>
  <c r="AH153" i="2" s="1"/>
  <c r="N153" i="2"/>
  <c r="AH152" i="2"/>
  <c r="AE152" i="2"/>
  <c r="AC152" i="2"/>
  <c r="AG152" i="2" s="1"/>
  <c r="AB152" i="2"/>
  <c r="AF152" i="2" s="1"/>
  <c r="AA152" i="2"/>
  <c r="Z152" i="2"/>
  <c r="Y152" i="2"/>
  <c r="S152" i="2"/>
  <c r="O152" i="2"/>
  <c r="AD152" i="2" s="1"/>
  <c r="N152" i="2"/>
  <c r="AG151" i="2"/>
  <c r="AF151" i="2"/>
  <c r="AE151" i="2"/>
  <c r="AC151" i="2"/>
  <c r="AB151" i="2"/>
  <c r="AA151" i="2"/>
  <c r="Z151" i="2"/>
  <c r="Y151" i="2"/>
  <c r="S151" i="2"/>
  <c r="O151" i="2"/>
  <c r="AD151" i="2" s="1"/>
  <c r="AH151" i="2" s="1"/>
  <c r="N151" i="2"/>
  <c r="AH150" i="2"/>
  <c r="AG150" i="2"/>
  <c r="AF150" i="2"/>
  <c r="AD150" i="2"/>
  <c r="AC150" i="2"/>
  <c r="AB150" i="2"/>
  <c r="AA150" i="2"/>
  <c r="AE150" i="2" s="1"/>
  <c r="Z150" i="2"/>
  <c r="Y150" i="2"/>
  <c r="S150" i="2"/>
  <c r="O150" i="2"/>
  <c r="N150" i="2"/>
  <c r="AC149" i="2"/>
  <c r="AG149" i="2" s="1"/>
  <c r="AB149" i="2"/>
  <c r="AF149" i="2" s="1"/>
  <c r="AA149" i="2"/>
  <c r="AE149" i="2" s="1"/>
  <c r="Z149" i="2"/>
  <c r="Y149" i="2"/>
  <c r="S149" i="2"/>
  <c r="O149" i="2"/>
  <c r="AD149" i="2" s="1"/>
  <c r="AH149" i="2" s="1"/>
  <c r="N149" i="2"/>
  <c r="AH148" i="2"/>
  <c r="AC148" i="2"/>
  <c r="AG148" i="2" s="1"/>
  <c r="Z148" i="2"/>
  <c r="Y148" i="2"/>
  <c r="S148" i="2"/>
  <c r="O148" i="2"/>
  <c r="AD148" i="2" s="1"/>
  <c r="N148" i="2"/>
  <c r="AF147" i="2"/>
  <c r="AE147" i="2"/>
  <c r="AD147" i="2"/>
  <c r="AH147" i="2" s="1"/>
  <c r="AC147" i="2"/>
  <c r="AG147" i="2" s="1"/>
  <c r="AB147" i="2"/>
  <c r="AA147" i="2"/>
  <c r="Z147" i="2"/>
  <c r="Y147" i="2"/>
  <c r="S147" i="2"/>
  <c r="O147" i="2"/>
  <c r="N147" i="2"/>
  <c r="AC146" i="2"/>
  <c r="AG146" i="2" s="1"/>
  <c r="AA146" i="2"/>
  <c r="AE146" i="2" s="1"/>
  <c r="Z146" i="2"/>
  <c r="Y146" i="2"/>
  <c r="S146" i="2"/>
  <c r="O146" i="2"/>
  <c r="AD146" i="2" s="1"/>
  <c r="AH146" i="2" s="1"/>
  <c r="N146" i="2"/>
  <c r="AB146" i="2" s="1"/>
  <c r="AF146" i="2" s="1"/>
  <c r="AH145" i="2"/>
  <c r="AG145" i="2"/>
  <c r="AE145" i="2"/>
  <c r="AC145" i="2"/>
  <c r="AA145" i="2"/>
  <c r="Z145" i="2"/>
  <c r="Y145" i="2"/>
  <c r="S145" i="2"/>
  <c r="O145" i="2"/>
  <c r="AD145" i="2" s="1"/>
  <c r="N145" i="2"/>
  <c r="AB145" i="2" s="1"/>
  <c r="AF145" i="2" s="1"/>
  <c r="AD144" i="2"/>
  <c r="AH144" i="2" s="1"/>
  <c r="AC144" i="2"/>
  <c r="AG144" i="2" s="1"/>
  <c r="AB144" i="2"/>
  <c r="AF144" i="2" s="1"/>
  <c r="AA144" i="2"/>
  <c r="AE144" i="2" s="1"/>
  <c r="Z144" i="2"/>
  <c r="Y144" i="2"/>
  <c r="S144" i="2"/>
  <c r="O144" i="2"/>
  <c r="N144" i="2"/>
  <c r="AG143" i="2"/>
  <c r="AC143" i="2"/>
  <c r="AA143" i="2"/>
  <c r="AE143" i="2" s="1"/>
  <c r="Z143" i="2"/>
  <c r="Y143" i="2"/>
  <c r="S143" i="2"/>
  <c r="O143" i="2"/>
  <c r="AD143" i="2" s="1"/>
  <c r="AH143" i="2" s="1"/>
  <c r="N143" i="2"/>
  <c r="AB143" i="2" s="1"/>
  <c r="AF143" i="2" s="1"/>
  <c r="AG142" i="2"/>
  <c r="AC142" i="2"/>
  <c r="AB142" i="2"/>
  <c r="AF142" i="2" s="1"/>
  <c r="AA142" i="2"/>
  <c r="AE142" i="2" s="1"/>
  <c r="Z142" i="2"/>
  <c r="Y142" i="2"/>
  <c r="S142" i="2"/>
  <c r="O142" i="2"/>
  <c r="AD142" i="2" s="1"/>
  <c r="AH142" i="2" s="1"/>
  <c r="N142" i="2"/>
  <c r="AD141" i="2"/>
  <c r="AH141" i="2" s="1"/>
  <c r="AC141" i="2"/>
  <c r="AG141" i="2" s="1"/>
  <c r="AA141" i="2"/>
  <c r="AE141" i="2" s="1"/>
  <c r="Z141" i="2"/>
  <c r="Y141" i="2"/>
  <c r="S141" i="2"/>
  <c r="O141" i="2"/>
  <c r="N141" i="2"/>
  <c r="AB141" i="2" s="1"/>
  <c r="AF141" i="2" s="1"/>
  <c r="AG140" i="2"/>
  <c r="AE140" i="2"/>
  <c r="AD140" i="2"/>
  <c r="AH140" i="2" s="1"/>
  <c r="AC140" i="2"/>
  <c r="AA140" i="2"/>
  <c r="Z140" i="2"/>
  <c r="Y140" i="2"/>
  <c r="S140" i="2"/>
  <c r="O140" i="2"/>
  <c r="N140" i="2"/>
  <c r="AB140" i="2" s="1"/>
  <c r="AF140" i="2" s="1"/>
  <c r="AF139" i="2"/>
  <c r="AE139" i="2"/>
  <c r="AD139" i="2"/>
  <c r="AH139" i="2" s="1"/>
  <c r="AB139" i="2"/>
  <c r="AA139" i="2"/>
  <c r="Z139" i="2"/>
  <c r="Y139" i="2"/>
  <c r="S139" i="2"/>
  <c r="O139" i="2"/>
  <c r="AC139" i="2" s="1"/>
  <c r="AG139" i="2" s="1"/>
  <c r="N139" i="2"/>
  <c r="AG138" i="2"/>
  <c r="AF138" i="2"/>
  <c r="AC138" i="2"/>
  <c r="AA138" i="2"/>
  <c r="AE138" i="2" s="1"/>
  <c r="Z138" i="2"/>
  <c r="Y138" i="2"/>
  <c r="S138" i="2"/>
  <c r="O138" i="2"/>
  <c r="AD138" i="2" s="1"/>
  <c r="AH138" i="2" s="1"/>
  <c r="N138" i="2"/>
  <c r="AB138" i="2" s="1"/>
  <c r="AE137" i="2"/>
  <c r="AD137" i="2"/>
  <c r="AH137" i="2" s="1"/>
  <c r="AC137" i="2"/>
  <c r="AG137" i="2" s="1"/>
  <c r="AA137" i="2"/>
  <c r="Z137" i="2"/>
  <c r="Y137" i="2"/>
  <c r="S137" i="2"/>
  <c r="O137" i="2"/>
  <c r="N137" i="2"/>
  <c r="AB137" i="2" s="1"/>
  <c r="AF137" i="2" s="1"/>
  <c r="AH136" i="2"/>
  <c r="AG136" i="2"/>
  <c r="AF136" i="2"/>
  <c r="AE136" i="2"/>
  <c r="AC136" i="2"/>
  <c r="AB136" i="2"/>
  <c r="AA136" i="2"/>
  <c r="Z136" i="2"/>
  <c r="Y136" i="2"/>
  <c r="S136" i="2"/>
  <c r="O136" i="2"/>
  <c r="AD136" i="2" s="1"/>
  <c r="N136" i="2"/>
  <c r="AC135" i="2"/>
  <c r="AG135" i="2" s="1"/>
  <c r="AB135" i="2"/>
  <c r="AF135" i="2" s="1"/>
  <c r="AA135" i="2"/>
  <c r="AE135" i="2" s="1"/>
  <c r="Z135" i="2"/>
  <c r="Y135" i="2"/>
  <c r="S135" i="2"/>
  <c r="O135" i="2"/>
  <c r="AD135" i="2" s="1"/>
  <c r="AH135" i="2" s="1"/>
  <c r="N135" i="2"/>
  <c r="AF134" i="2"/>
  <c r="AE134" i="2"/>
  <c r="AD134" i="2"/>
  <c r="AH134" i="2" s="1"/>
  <c r="AB134" i="2"/>
  <c r="Z134" i="2"/>
  <c r="Y134" i="2"/>
  <c r="S134" i="2"/>
  <c r="O134" i="2"/>
  <c r="AC134" i="2" s="1"/>
  <c r="AG134" i="2" s="1"/>
  <c r="N134" i="2"/>
  <c r="AA134" i="2" s="1"/>
  <c r="AH133" i="2"/>
  <c r="AG133" i="2"/>
  <c r="AF133" i="2"/>
  <c r="AE133" i="2"/>
  <c r="AD133" i="2"/>
  <c r="AC133" i="2"/>
  <c r="AB133" i="2"/>
  <c r="AA133" i="2"/>
  <c r="Z133" i="2"/>
  <c r="Y133" i="2"/>
  <c r="S133" i="2"/>
  <c r="O133" i="2"/>
  <c r="N133" i="2"/>
  <c r="AC132" i="2"/>
  <c r="AG132" i="2" s="1"/>
  <c r="AB132" i="2"/>
  <c r="AF132" i="2" s="1"/>
  <c r="AA132" i="2"/>
  <c r="AE132" i="2" s="1"/>
  <c r="Z132" i="2"/>
  <c r="Y132" i="2"/>
  <c r="S132" i="2"/>
  <c r="O132" i="2"/>
  <c r="AD132" i="2" s="1"/>
  <c r="AH132" i="2" s="1"/>
  <c r="N132" i="2"/>
  <c r="AH131" i="2"/>
  <c r="AF131" i="2"/>
  <c r="AC131" i="2"/>
  <c r="AG131" i="2" s="1"/>
  <c r="Z131" i="2"/>
  <c r="Y131" i="2"/>
  <c r="S131" i="2"/>
  <c r="O131" i="2"/>
  <c r="AD131" i="2" s="1"/>
  <c r="N131" i="2"/>
  <c r="AB131" i="2" s="1"/>
  <c r="AF130" i="2"/>
  <c r="AE130" i="2"/>
  <c r="AD130" i="2"/>
  <c r="AH130" i="2" s="1"/>
  <c r="AC130" i="2"/>
  <c r="AG130" i="2" s="1"/>
  <c r="AA130" i="2"/>
  <c r="Z130" i="2"/>
  <c r="Y130" i="2"/>
  <c r="S130" i="2"/>
  <c r="O130" i="2"/>
  <c r="N130" i="2"/>
  <c r="AB130" i="2" s="1"/>
  <c r="AC129" i="2"/>
  <c r="AG129" i="2" s="1"/>
  <c r="AB129" i="2"/>
  <c r="AF129" i="2" s="1"/>
  <c r="AA129" i="2"/>
  <c r="AE129" i="2" s="1"/>
  <c r="Z129" i="2"/>
  <c r="Y129" i="2"/>
  <c r="S129" i="2"/>
  <c r="O129" i="2"/>
  <c r="AD129" i="2" s="1"/>
  <c r="AH129" i="2" s="1"/>
  <c r="N129" i="2"/>
  <c r="AH128" i="2"/>
  <c r="AF128" i="2"/>
  <c r="AD128" i="2"/>
  <c r="AC128" i="2"/>
  <c r="AG128" i="2" s="1"/>
  <c r="AB128" i="2"/>
  <c r="Z128" i="2"/>
  <c r="Y128" i="2"/>
  <c r="S128" i="2"/>
  <c r="O128" i="2"/>
  <c r="N128" i="2"/>
  <c r="AA128" i="2" s="1"/>
  <c r="AE128" i="2" s="1"/>
  <c r="AH127" i="2"/>
  <c r="AG127" i="2"/>
  <c r="AF127" i="2"/>
  <c r="AE127" i="2"/>
  <c r="AD127" i="2"/>
  <c r="AC127" i="2"/>
  <c r="AB127" i="2"/>
  <c r="AA127" i="2"/>
  <c r="Z127" i="2"/>
  <c r="Y127" i="2"/>
  <c r="S127" i="2"/>
  <c r="O127" i="2"/>
  <c r="N127" i="2"/>
  <c r="AD126" i="2"/>
  <c r="AH126" i="2" s="1"/>
  <c r="AC126" i="2"/>
  <c r="AG126" i="2" s="1"/>
  <c r="AB126" i="2"/>
  <c r="AF126" i="2" s="1"/>
  <c r="AA126" i="2"/>
  <c r="AE126" i="2" s="1"/>
  <c r="Z126" i="2"/>
  <c r="Y126" i="2"/>
  <c r="S126" i="2"/>
  <c r="O126" i="2"/>
  <c r="N126" i="2"/>
  <c r="AD125" i="2"/>
  <c r="AH125" i="2" s="1"/>
  <c r="AC125" i="2"/>
  <c r="AG125" i="2" s="1"/>
  <c r="AA125" i="2"/>
  <c r="AE125" i="2" s="1"/>
  <c r="Z125" i="2"/>
  <c r="Y125" i="2"/>
  <c r="S125" i="2"/>
  <c r="O125" i="2"/>
  <c r="N125" i="2"/>
  <c r="AB125" i="2" s="1"/>
  <c r="AF125" i="2" s="1"/>
  <c r="AH124" i="2"/>
  <c r="AG124" i="2"/>
  <c r="AF124" i="2"/>
  <c r="AD124" i="2"/>
  <c r="AB124" i="2"/>
  <c r="Z124" i="2"/>
  <c r="Y124" i="2"/>
  <c r="S124" i="2"/>
  <c r="O124" i="2"/>
  <c r="AC124" i="2" s="1"/>
  <c r="N124" i="2"/>
  <c r="AA124" i="2" s="1"/>
  <c r="AE124" i="2" s="1"/>
  <c r="AD123" i="2"/>
  <c r="AH123" i="2" s="1"/>
  <c r="AC123" i="2"/>
  <c r="AG123" i="2" s="1"/>
  <c r="AB123" i="2"/>
  <c r="AF123" i="2" s="1"/>
  <c r="AA123" i="2"/>
  <c r="AE123" i="2" s="1"/>
  <c r="Z123" i="2"/>
  <c r="Y123" i="2"/>
  <c r="S123" i="2"/>
  <c r="O123" i="2"/>
  <c r="N123" i="2"/>
  <c r="AE122" i="2"/>
  <c r="AD122" i="2"/>
  <c r="AH122" i="2" s="1"/>
  <c r="AC122" i="2"/>
  <c r="AG122" i="2" s="1"/>
  <c r="AA122" i="2"/>
  <c r="Z122" i="2"/>
  <c r="Y122" i="2"/>
  <c r="S122" i="2"/>
  <c r="O122" i="2"/>
  <c r="N122" i="2"/>
  <c r="AB122" i="2" s="1"/>
  <c r="AF122" i="2" s="1"/>
  <c r="AG121" i="2"/>
  <c r="AF121" i="2"/>
  <c r="AE121" i="2"/>
  <c r="AD121" i="2"/>
  <c r="AH121" i="2" s="1"/>
  <c r="AC121" i="2"/>
  <c r="AB121" i="2"/>
  <c r="AA121" i="2"/>
  <c r="Z121" i="2"/>
  <c r="Y121" i="2"/>
  <c r="S121" i="2"/>
  <c r="O121" i="2"/>
  <c r="N121" i="2"/>
  <c r="AG120" i="2"/>
  <c r="AD120" i="2"/>
  <c r="AH120" i="2" s="1"/>
  <c r="AC120" i="2"/>
  <c r="AB120" i="2"/>
  <c r="AF120" i="2" s="1"/>
  <c r="AA120" i="2"/>
  <c r="AE120" i="2" s="1"/>
  <c r="Z120" i="2"/>
  <c r="Y120" i="2"/>
  <c r="S120" i="2"/>
  <c r="O120" i="2"/>
  <c r="N120" i="2"/>
  <c r="AG119" i="2"/>
  <c r="AE119" i="2"/>
  <c r="AC119" i="2"/>
  <c r="AA119" i="2"/>
  <c r="Z119" i="2"/>
  <c r="Y119" i="2"/>
  <c r="S119" i="2"/>
  <c r="O119" i="2"/>
  <c r="AD119" i="2" s="1"/>
  <c r="AH119" i="2" s="1"/>
  <c r="N119" i="2"/>
  <c r="AB119" i="2" s="1"/>
  <c r="AF119" i="2" s="1"/>
  <c r="AH118" i="2"/>
  <c r="AG118" i="2"/>
  <c r="AD118" i="2"/>
  <c r="AC118" i="2"/>
  <c r="AB118" i="2"/>
  <c r="AF118" i="2" s="1"/>
  <c r="AA118" i="2"/>
  <c r="AE118" i="2" s="1"/>
  <c r="Z118" i="2"/>
  <c r="Y118" i="2"/>
  <c r="S118" i="2"/>
  <c r="O118" i="2"/>
  <c r="N118" i="2"/>
  <c r="AD117" i="2"/>
  <c r="AH117" i="2" s="1"/>
  <c r="AC117" i="2"/>
  <c r="AG117" i="2" s="1"/>
  <c r="AB117" i="2"/>
  <c r="AF117" i="2" s="1"/>
  <c r="AA117" i="2"/>
  <c r="AE117" i="2" s="1"/>
  <c r="Z117" i="2"/>
  <c r="Y117" i="2"/>
  <c r="S117" i="2"/>
  <c r="O117" i="2"/>
  <c r="N117" i="2"/>
  <c r="AG116" i="2"/>
  <c r="AE116" i="2"/>
  <c r="AC116" i="2"/>
  <c r="AA116" i="2"/>
  <c r="Z116" i="2"/>
  <c r="Y116" i="2"/>
  <c r="S116" i="2"/>
  <c r="O116" i="2"/>
  <c r="AD116" i="2" s="1"/>
  <c r="AH116" i="2" s="1"/>
  <c r="N116" i="2"/>
  <c r="AB116" i="2" s="1"/>
  <c r="AF116" i="2" s="1"/>
  <c r="AG115" i="2"/>
  <c r="AD115" i="2"/>
  <c r="AH115" i="2" s="1"/>
  <c r="AC115" i="2"/>
  <c r="AB115" i="2"/>
  <c r="AF115" i="2" s="1"/>
  <c r="AA115" i="2"/>
  <c r="AE115" i="2" s="1"/>
  <c r="Z115" i="2"/>
  <c r="Y115" i="2"/>
  <c r="S115" i="2"/>
  <c r="O115" i="2"/>
  <c r="N115" i="2"/>
  <c r="AG114" i="2"/>
  <c r="AE114" i="2"/>
  <c r="AD114" i="2"/>
  <c r="AH114" i="2" s="1"/>
  <c r="AC114" i="2"/>
  <c r="AB114" i="2"/>
  <c r="AF114" i="2" s="1"/>
  <c r="AA114" i="2"/>
  <c r="Z114" i="2"/>
  <c r="Y114" i="2"/>
  <c r="S114" i="2"/>
  <c r="O114" i="2"/>
  <c r="N114" i="2"/>
  <c r="AH113" i="2"/>
  <c r="AG113" i="2"/>
  <c r="AC113" i="2"/>
  <c r="AA113" i="2"/>
  <c r="AE113" i="2" s="1"/>
  <c r="Z113" i="2"/>
  <c r="Y113" i="2"/>
  <c r="S113" i="2"/>
  <c r="O113" i="2"/>
  <c r="AD113" i="2" s="1"/>
  <c r="N113" i="2"/>
  <c r="AB113" i="2" s="1"/>
  <c r="AF113" i="2" s="1"/>
  <c r="AG112" i="2"/>
  <c r="AD112" i="2"/>
  <c r="AH112" i="2" s="1"/>
  <c r="AC112" i="2"/>
  <c r="AB112" i="2"/>
  <c r="AF112" i="2" s="1"/>
  <c r="AA112" i="2"/>
  <c r="AE112" i="2" s="1"/>
  <c r="Z112" i="2"/>
  <c r="Y112" i="2"/>
  <c r="S112" i="2"/>
  <c r="O112" i="2"/>
  <c r="N112" i="2"/>
  <c r="AG111" i="2"/>
  <c r="AF111" i="2"/>
  <c r="AD111" i="2"/>
  <c r="AH111" i="2" s="1"/>
  <c r="AC111" i="2"/>
  <c r="AB111" i="2"/>
  <c r="AA111" i="2"/>
  <c r="AE111" i="2" s="1"/>
  <c r="Z111" i="2"/>
  <c r="Y111" i="2"/>
  <c r="S111" i="2"/>
  <c r="O111" i="2"/>
  <c r="N111" i="2"/>
  <c r="AH110" i="2"/>
  <c r="AD110" i="2"/>
  <c r="AC110" i="2"/>
  <c r="AG110" i="2" s="1"/>
  <c r="AA110" i="2"/>
  <c r="AE110" i="2" s="1"/>
  <c r="Z110" i="2"/>
  <c r="Y110" i="2"/>
  <c r="S110" i="2"/>
  <c r="O110" i="2"/>
  <c r="N110" i="2"/>
  <c r="AB110" i="2" s="1"/>
  <c r="AF110" i="2" s="1"/>
  <c r="AH109" i="2"/>
  <c r="AF109" i="2"/>
  <c r="AD109" i="2"/>
  <c r="AC109" i="2"/>
  <c r="AG109" i="2" s="1"/>
  <c r="AA109" i="2"/>
  <c r="AE109" i="2" s="1"/>
  <c r="Z109" i="2"/>
  <c r="Y109" i="2"/>
  <c r="S109" i="2"/>
  <c r="O109" i="2"/>
  <c r="N109" i="2"/>
  <c r="AB109" i="2" s="1"/>
  <c r="AH108" i="2"/>
  <c r="AD108" i="2"/>
  <c r="AC108" i="2"/>
  <c r="AG108" i="2" s="1"/>
  <c r="AB108" i="2"/>
  <c r="AF108" i="2" s="1"/>
  <c r="AA108" i="2"/>
  <c r="AE108" i="2" s="1"/>
  <c r="Z108" i="2"/>
  <c r="Y108" i="2"/>
  <c r="S108" i="2"/>
  <c r="O108" i="2"/>
  <c r="N108" i="2"/>
  <c r="AG107" i="2"/>
  <c r="AE107" i="2"/>
  <c r="AC107" i="2"/>
  <c r="AA107" i="2"/>
  <c r="Z107" i="2"/>
  <c r="Y107" i="2"/>
  <c r="S107" i="2"/>
  <c r="O107" i="2"/>
  <c r="AD107" i="2" s="1"/>
  <c r="AH107" i="2" s="1"/>
  <c r="N107" i="2"/>
  <c r="AB107" i="2" s="1"/>
  <c r="AF107" i="2" s="1"/>
  <c r="AD106" i="2"/>
  <c r="AH106" i="2" s="1"/>
  <c r="AC106" i="2"/>
  <c r="AG106" i="2" s="1"/>
  <c r="AB106" i="2"/>
  <c r="AF106" i="2" s="1"/>
  <c r="Z106" i="2"/>
  <c r="Y106" i="2"/>
  <c r="S106" i="2"/>
  <c r="O106" i="2"/>
  <c r="N106" i="2"/>
  <c r="AA106" i="2" s="1"/>
  <c r="AE106" i="2" s="1"/>
  <c r="AE105" i="2"/>
  <c r="AD105" i="2"/>
  <c r="AH105" i="2" s="1"/>
  <c r="AC105" i="2"/>
  <c r="AG105" i="2" s="1"/>
  <c r="AB105" i="2"/>
  <c r="AF105" i="2" s="1"/>
  <c r="AA105" i="2"/>
  <c r="Z105" i="2"/>
  <c r="Y105" i="2"/>
  <c r="S105" i="2"/>
  <c r="O105" i="2"/>
  <c r="N105" i="2"/>
  <c r="AG104" i="2"/>
  <c r="AE104" i="2"/>
  <c r="AC104" i="2"/>
  <c r="AA104" i="2"/>
  <c r="Z104" i="2"/>
  <c r="Y104" i="2"/>
  <c r="S104" i="2"/>
  <c r="O104" i="2"/>
  <c r="AD104" i="2" s="1"/>
  <c r="AH104" i="2" s="1"/>
  <c r="N104" i="2"/>
  <c r="AB104" i="2" s="1"/>
  <c r="AF104" i="2" s="1"/>
  <c r="AD103" i="2"/>
  <c r="AH103" i="2" s="1"/>
  <c r="AC103" i="2"/>
  <c r="AG103" i="2" s="1"/>
  <c r="AB103" i="2"/>
  <c r="AF103" i="2" s="1"/>
  <c r="AA103" i="2"/>
  <c r="AE103" i="2" s="1"/>
  <c r="Z103" i="2"/>
  <c r="Y103" i="2"/>
  <c r="S103" i="2"/>
  <c r="O103" i="2"/>
  <c r="N103" i="2"/>
  <c r="AG102" i="2"/>
  <c r="AF102" i="2"/>
  <c r="AE102" i="2"/>
  <c r="AD102" i="2"/>
  <c r="AH102" i="2" s="1"/>
  <c r="AC102" i="2"/>
  <c r="AB102" i="2"/>
  <c r="AA102" i="2"/>
  <c r="Z102" i="2"/>
  <c r="Y102" i="2"/>
  <c r="S102" i="2"/>
  <c r="O102" i="2"/>
  <c r="N102" i="2"/>
  <c r="AG101" i="2"/>
  <c r="AC101" i="2"/>
  <c r="AA101" i="2"/>
  <c r="AE101" i="2" s="1"/>
  <c r="Z101" i="2"/>
  <c r="Y101" i="2"/>
  <c r="S101" i="2"/>
  <c r="O101" i="2"/>
  <c r="AD101" i="2" s="1"/>
  <c r="AH101" i="2" s="1"/>
  <c r="N101" i="2"/>
  <c r="AB101" i="2" s="1"/>
  <c r="AF101" i="2" s="1"/>
  <c r="AE100" i="2"/>
  <c r="AD100" i="2"/>
  <c r="AH100" i="2" s="1"/>
  <c r="AC100" i="2"/>
  <c r="AG100" i="2" s="1"/>
  <c r="AA100" i="2"/>
  <c r="Z100" i="2"/>
  <c r="Y100" i="2"/>
  <c r="S100" i="2"/>
  <c r="O100" i="2"/>
  <c r="N100" i="2"/>
  <c r="AB100" i="2" s="1"/>
  <c r="AF100" i="2" s="1"/>
  <c r="AH99" i="2"/>
  <c r="AE99" i="2"/>
  <c r="AD99" i="2"/>
  <c r="AC99" i="2"/>
  <c r="AG99" i="2" s="1"/>
  <c r="AA99" i="2"/>
  <c r="Z99" i="2"/>
  <c r="Y99" i="2"/>
  <c r="S99" i="2"/>
  <c r="O99" i="2"/>
  <c r="N99" i="2"/>
  <c r="AB99" i="2" s="1"/>
  <c r="AF99" i="2" s="1"/>
  <c r="AE98" i="2"/>
  <c r="AC98" i="2"/>
  <c r="AG98" i="2" s="1"/>
  <c r="AB98" i="2"/>
  <c r="AF98" i="2" s="1"/>
  <c r="AA98" i="2"/>
  <c r="Z98" i="2"/>
  <c r="Y98" i="2"/>
  <c r="S98" i="2"/>
  <c r="O98" i="2"/>
  <c r="AD98" i="2" s="1"/>
  <c r="AH98" i="2" s="1"/>
  <c r="N98" i="2"/>
  <c r="AF97" i="2"/>
  <c r="AE97" i="2"/>
  <c r="AD97" i="2"/>
  <c r="AH97" i="2" s="1"/>
  <c r="AC97" i="2"/>
  <c r="AG97" i="2" s="1"/>
  <c r="AB97" i="2"/>
  <c r="AA97" i="2"/>
  <c r="Z97" i="2"/>
  <c r="Y97" i="2"/>
  <c r="S97" i="2"/>
  <c r="O97" i="2"/>
  <c r="N97" i="2"/>
  <c r="AH96" i="2"/>
  <c r="AG96" i="2"/>
  <c r="AF96" i="2"/>
  <c r="AE96" i="2"/>
  <c r="AD96" i="2"/>
  <c r="AC96" i="2"/>
  <c r="AB96" i="2"/>
  <c r="AA96" i="2"/>
  <c r="Z96" i="2"/>
  <c r="Y96" i="2"/>
  <c r="S96" i="2"/>
  <c r="O96" i="2"/>
  <c r="N96" i="2"/>
  <c r="AC95" i="2"/>
  <c r="AG95" i="2" s="1"/>
  <c r="AB95" i="2"/>
  <c r="AF95" i="2" s="1"/>
  <c r="AA95" i="2"/>
  <c r="AE95" i="2" s="1"/>
  <c r="Z95" i="2"/>
  <c r="Y95" i="2"/>
  <c r="S95" i="2"/>
  <c r="O95" i="2"/>
  <c r="AD95" i="2" s="1"/>
  <c r="AH95" i="2" s="1"/>
  <c r="N95" i="2"/>
  <c r="AG94" i="2"/>
  <c r="AF94" i="2"/>
  <c r="AE94" i="2"/>
  <c r="AC94" i="2"/>
  <c r="AA94" i="2"/>
  <c r="Z94" i="2"/>
  <c r="Y94" i="2"/>
  <c r="S94" i="2"/>
  <c r="O94" i="2"/>
  <c r="AD94" i="2" s="1"/>
  <c r="AH94" i="2" s="1"/>
  <c r="N94" i="2"/>
  <c r="AB94" i="2" s="1"/>
  <c r="AH93" i="2"/>
  <c r="AG93" i="2"/>
  <c r="AF93" i="2"/>
  <c r="AE93" i="2"/>
  <c r="AD93" i="2"/>
  <c r="AC93" i="2"/>
  <c r="AB93" i="2"/>
  <c r="AA93" i="2"/>
  <c r="Z93" i="2"/>
  <c r="Y93" i="2"/>
  <c r="S93" i="2"/>
  <c r="O93" i="2"/>
  <c r="N93" i="2"/>
  <c r="AD92" i="2"/>
  <c r="AH92" i="2" s="1"/>
  <c r="AC92" i="2"/>
  <c r="AG92" i="2" s="1"/>
  <c r="AB92" i="2"/>
  <c r="AF92" i="2" s="1"/>
  <c r="AA92" i="2"/>
  <c r="AE92" i="2" s="1"/>
  <c r="Z92" i="2"/>
  <c r="Y92" i="2"/>
  <c r="S92" i="2"/>
  <c r="O92" i="2"/>
  <c r="N92" i="2"/>
  <c r="AE91" i="2"/>
  <c r="AC91" i="2"/>
  <c r="AG91" i="2" s="1"/>
  <c r="AA91" i="2"/>
  <c r="Z91" i="2"/>
  <c r="Y91" i="2"/>
  <c r="S91" i="2"/>
  <c r="O91" i="2"/>
  <c r="AD91" i="2" s="1"/>
  <c r="AH91" i="2" s="1"/>
  <c r="N91" i="2"/>
  <c r="AB91" i="2" s="1"/>
  <c r="AF91" i="2" s="1"/>
  <c r="AE90" i="2"/>
  <c r="AD90" i="2"/>
  <c r="AH90" i="2" s="1"/>
  <c r="AC90" i="2"/>
  <c r="AG90" i="2" s="1"/>
  <c r="AA90" i="2"/>
  <c r="Z90" i="2"/>
  <c r="Y90" i="2"/>
  <c r="S90" i="2"/>
  <c r="O90" i="2"/>
  <c r="N90" i="2"/>
  <c r="AB90" i="2" s="1"/>
  <c r="AF90" i="2" s="1"/>
  <c r="AD89" i="2"/>
  <c r="AH89" i="2" s="1"/>
  <c r="AC89" i="2"/>
  <c r="AG89" i="2" s="1"/>
  <c r="AB89" i="2"/>
  <c r="AF89" i="2" s="1"/>
  <c r="AA89" i="2"/>
  <c r="AE89" i="2" s="1"/>
  <c r="Z89" i="2"/>
  <c r="Y89" i="2"/>
  <c r="S89" i="2"/>
  <c r="O89" i="2"/>
  <c r="N89" i="2"/>
  <c r="AD88" i="2"/>
  <c r="AH88" i="2" s="1"/>
  <c r="AC88" i="2"/>
  <c r="AG88" i="2" s="1"/>
  <c r="AB88" i="2"/>
  <c r="AF88" i="2" s="1"/>
  <c r="AA88" i="2"/>
  <c r="AE88" i="2" s="1"/>
  <c r="Z88" i="2"/>
  <c r="Y88" i="2"/>
  <c r="S88" i="2"/>
  <c r="O88" i="2"/>
  <c r="N88" i="2"/>
  <c r="AF87" i="2"/>
  <c r="AD87" i="2"/>
  <c r="AH87" i="2" s="1"/>
  <c r="AC87" i="2"/>
  <c r="AG87" i="2" s="1"/>
  <c r="Z87" i="2"/>
  <c r="Y87" i="2"/>
  <c r="S87" i="2"/>
  <c r="O87" i="2"/>
  <c r="N87" i="2"/>
  <c r="AB87" i="2" s="1"/>
  <c r="AH86" i="2"/>
  <c r="AD86" i="2"/>
  <c r="AC86" i="2"/>
  <c r="AG86" i="2" s="1"/>
  <c r="AB86" i="2"/>
  <c r="AF86" i="2" s="1"/>
  <c r="AA86" i="2"/>
  <c r="AE86" i="2" s="1"/>
  <c r="Z86" i="2"/>
  <c r="Y86" i="2"/>
  <c r="S86" i="2"/>
  <c r="O86" i="2"/>
  <c r="N86" i="2"/>
  <c r="AD85" i="2"/>
  <c r="AH85" i="2" s="1"/>
  <c r="AC85" i="2"/>
  <c r="AG85" i="2" s="1"/>
  <c r="AB85" i="2"/>
  <c r="AF85" i="2" s="1"/>
  <c r="AA85" i="2"/>
  <c r="AE85" i="2" s="1"/>
  <c r="Z85" i="2"/>
  <c r="Y85" i="2"/>
  <c r="S85" i="2"/>
  <c r="O85" i="2"/>
  <c r="N85" i="2"/>
  <c r="AG84" i="2"/>
  <c r="AC84" i="2"/>
  <c r="AA84" i="2"/>
  <c r="AE84" i="2" s="1"/>
  <c r="Z84" i="2"/>
  <c r="Y84" i="2"/>
  <c r="S84" i="2"/>
  <c r="O84" i="2"/>
  <c r="AD84" i="2" s="1"/>
  <c r="AH84" i="2" s="1"/>
  <c r="N84" i="2"/>
  <c r="AB84" i="2" s="1"/>
  <c r="AF84" i="2" s="1"/>
  <c r="AH83" i="2"/>
  <c r="AG83" i="2"/>
  <c r="AD83" i="2"/>
  <c r="AC83" i="2"/>
  <c r="AA83" i="2"/>
  <c r="AE83" i="2" s="1"/>
  <c r="Z83" i="2"/>
  <c r="Y83" i="2"/>
  <c r="S83" i="2"/>
  <c r="O83" i="2"/>
  <c r="N83" i="2"/>
  <c r="AB83" i="2" s="1"/>
  <c r="AF83" i="2" s="1"/>
  <c r="AE82" i="2"/>
  <c r="AD82" i="2"/>
  <c r="AH82" i="2" s="1"/>
  <c r="AC82" i="2"/>
  <c r="AG82" i="2" s="1"/>
  <c r="AA82" i="2"/>
  <c r="Z82" i="2"/>
  <c r="Y82" i="2"/>
  <c r="S82" i="2"/>
  <c r="O82" i="2"/>
  <c r="N82" i="2"/>
  <c r="AB82" i="2" s="1"/>
  <c r="AF82" i="2" s="1"/>
  <c r="AH81" i="2"/>
  <c r="AE81" i="2"/>
  <c r="AC81" i="2"/>
  <c r="AG81" i="2" s="1"/>
  <c r="AA81" i="2"/>
  <c r="Z81" i="2"/>
  <c r="Y81" i="2"/>
  <c r="S81" i="2"/>
  <c r="O81" i="2"/>
  <c r="AD81" i="2" s="1"/>
  <c r="N81" i="2"/>
  <c r="AB81" i="2" s="1"/>
  <c r="AF81" i="2" s="1"/>
  <c r="AG80" i="2"/>
  <c r="AE80" i="2"/>
  <c r="AC80" i="2"/>
  <c r="AA80" i="2"/>
  <c r="Z80" i="2"/>
  <c r="Y80" i="2"/>
  <c r="S80" i="2"/>
  <c r="O80" i="2"/>
  <c r="AD80" i="2" s="1"/>
  <c r="AH80" i="2" s="1"/>
  <c r="N80" i="2"/>
  <c r="AB80" i="2" s="1"/>
  <c r="AF80" i="2" s="1"/>
  <c r="AE79" i="2"/>
  <c r="AD79" i="2"/>
  <c r="AH79" i="2" s="1"/>
  <c r="AC79" i="2"/>
  <c r="AG79" i="2" s="1"/>
  <c r="AB79" i="2"/>
  <c r="AF79" i="2" s="1"/>
  <c r="AA79" i="2"/>
  <c r="Z79" i="2"/>
  <c r="Y79" i="2"/>
  <c r="S79" i="2"/>
  <c r="O79" i="2"/>
  <c r="N79" i="2"/>
  <c r="AH78" i="2"/>
  <c r="AF78" i="2"/>
  <c r="AE78" i="2"/>
  <c r="AD78" i="2"/>
  <c r="AC78" i="2"/>
  <c r="AG78" i="2" s="1"/>
  <c r="AA78" i="2"/>
  <c r="Z78" i="2"/>
  <c r="Y78" i="2"/>
  <c r="S78" i="2"/>
  <c r="O78" i="2"/>
  <c r="N78" i="2"/>
  <c r="AB78" i="2" s="1"/>
  <c r="AH77" i="2"/>
  <c r="AF77" i="2"/>
  <c r="AD77" i="2"/>
  <c r="AC77" i="2"/>
  <c r="AG77" i="2" s="1"/>
  <c r="AB77" i="2"/>
  <c r="AA77" i="2"/>
  <c r="AE77" i="2" s="1"/>
  <c r="Z77" i="2"/>
  <c r="Y77" i="2"/>
  <c r="S77" i="2"/>
  <c r="O77" i="2"/>
  <c r="N77" i="2"/>
  <c r="AG76" i="2"/>
  <c r="AF76" i="2"/>
  <c r="AE76" i="2"/>
  <c r="AD76" i="2"/>
  <c r="AH76" i="2" s="1"/>
  <c r="AC76" i="2"/>
  <c r="AA76" i="2"/>
  <c r="Z76" i="2"/>
  <c r="Y76" i="2"/>
  <c r="S76" i="2"/>
  <c r="O76" i="2"/>
  <c r="N76" i="2"/>
  <c r="AB76" i="2" s="1"/>
  <c r="AH75" i="2"/>
  <c r="AG75" i="2"/>
  <c r="AF75" i="2"/>
  <c r="AD75" i="2"/>
  <c r="AC75" i="2"/>
  <c r="AB75" i="2"/>
  <c r="AA75" i="2"/>
  <c r="AE75" i="2" s="1"/>
  <c r="Z75" i="2"/>
  <c r="Y75" i="2"/>
  <c r="S75" i="2"/>
  <c r="O75" i="2"/>
  <c r="N75" i="2"/>
  <c r="AH74" i="2"/>
  <c r="AC74" i="2"/>
  <c r="AG74" i="2" s="1"/>
  <c r="AB74" i="2"/>
  <c r="AF74" i="2" s="1"/>
  <c r="AA74" i="2"/>
  <c r="AE74" i="2" s="1"/>
  <c r="Z74" i="2"/>
  <c r="Y74" i="2"/>
  <c r="S74" i="2"/>
  <c r="O74" i="2"/>
  <c r="AD74" i="2" s="1"/>
  <c r="N74" i="2"/>
  <c r="AG73" i="2"/>
  <c r="AF73" i="2"/>
  <c r="AE73" i="2"/>
  <c r="AC73" i="2"/>
  <c r="AA73" i="2"/>
  <c r="Z73" i="2"/>
  <c r="Y73" i="2"/>
  <c r="S73" i="2"/>
  <c r="O73" i="2"/>
  <c r="AD73" i="2" s="1"/>
  <c r="AH73" i="2" s="1"/>
  <c r="N73" i="2"/>
  <c r="AB73" i="2" s="1"/>
  <c r="AH72" i="2"/>
  <c r="AG72" i="2"/>
  <c r="AF72" i="2"/>
  <c r="AD72" i="2"/>
  <c r="AC72" i="2"/>
  <c r="AB72" i="2"/>
  <c r="AA72" i="2"/>
  <c r="AE72" i="2" s="1"/>
  <c r="Z72" i="2"/>
  <c r="Y72" i="2"/>
  <c r="S72" i="2"/>
  <c r="O72" i="2"/>
  <c r="N72" i="2"/>
  <c r="AD71" i="2"/>
  <c r="AH71" i="2" s="1"/>
  <c r="AC71" i="2"/>
  <c r="AG71" i="2" s="1"/>
  <c r="AB71" i="2"/>
  <c r="AF71" i="2" s="1"/>
  <c r="AA71" i="2"/>
  <c r="AE71" i="2" s="1"/>
  <c r="Z71" i="2"/>
  <c r="O31" i="1" s="1"/>
  <c r="Y71" i="2"/>
  <c r="S71" i="2"/>
  <c r="O71" i="2"/>
  <c r="N71" i="2"/>
  <c r="AG70" i="2"/>
  <c r="AC70" i="2"/>
  <c r="AA70" i="2"/>
  <c r="AE70" i="2" s="1"/>
  <c r="Z70" i="2"/>
  <c r="Y70" i="2"/>
  <c r="S70" i="2"/>
  <c r="O70" i="2"/>
  <c r="AD70" i="2" s="1"/>
  <c r="AH70" i="2" s="1"/>
  <c r="N70" i="2"/>
  <c r="AB70" i="2" s="1"/>
  <c r="AF70" i="2" s="1"/>
  <c r="AH69" i="2"/>
  <c r="AG69" i="2"/>
  <c r="AF69" i="2"/>
  <c r="AD69" i="2"/>
  <c r="AC69" i="2"/>
  <c r="AB69" i="2"/>
  <c r="AA69" i="2"/>
  <c r="AE69" i="2" s="1"/>
  <c r="Z69" i="2"/>
  <c r="Y69" i="2"/>
  <c r="S69" i="2"/>
  <c r="O69" i="2"/>
  <c r="N69" i="2"/>
  <c r="AE68" i="2"/>
  <c r="AD68" i="2"/>
  <c r="AH68" i="2" s="1"/>
  <c r="AC68" i="2"/>
  <c r="AG68" i="2" s="1"/>
  <c r="AA68" i="2"/>
  <c r="Z68" i="2"/>
  <c r="Y68" i="2"/>
  <c r="S68" i="2"/>
  <c r="O68" i="2"/>
  <c r="N68" i="2"/>
  <c r="AB68" i="2" s="1"/>
  <c r="AF68" i="2" s="1"/>
  <c r="AH67" i="2"/>
  <c r="AC67" i="2"/>
  <c r="AG67" i="2" s="1"/>
  <c r="AA67" i="2"/>
  <c r="AE67" i="2" s="1"/>
  <c r="Z67" i="2"/>
  <c r="Y67" i="2"/>
  <c r="S67" i="2"/>
  <c r="O67" i="2"/>
  <c r="AD67" i="2" s="1"/>
  <c r="N67" i="2"/>
  <c r="AB67" i="2" s="1"/>
  <c r="AF67" i="2" s="1"/>
  <c r="AH66" i="2"/>
  <c r="AG66" i="2"/>
  <c r="AD66" i="2"/>
  <c r="AC66" i="2"/>
  <c r="AA66" i="2"/>
  <c r="AE66" i="2" s="1"/>
  <c r="Z66" i="2"/>
  <c r="Y66" i="2"/>
  <c r="S66" i="2"/>
  <c r="O66" i="2"/>
  <c r="N66" i="2"/>
  <c r="AB66" i="2" s="1"/>
  <c r="AF66" i="2" s="1"/>
  <c r="AD65" i="2"/>
  <c r="AH65" i="2" s="1"/>
  <c r="AC65" i="2"/>
  <c r="AG65" i="2" s="1"/>
  <c r="AB65" i="2"/>
  <c r="AF65" i="2" s="1"/>
  <c r="Z65" i="2"/>
  <c r="Y65" i="2"/>
  <c r="S65" i="2"/>
  <c r="O65" i="2"/>
  <c r="N65" i="2"/>
  <c r="Z64" i="2"/>
  <c r="Y64" i="2"/>
  <c r="S64" i="2"/>
  <c r="O64" i="2"/>
  <c r="N64" i="2"/>
  <c r="AH63" i="2"/>
  <c r="AD63" i="2"/>
  <c r="AB63" i="2"/>
  <c r="AF63" i="2" s="1"/>
  <c r="AA63" i="2"/>
  <c r="AE63" i="2" s="1"/>
  <c r="Z63" i="2"/>
  <c r="Y63" i="2"/>
  <c r="S63" i="2"/>
  <c r="O63" i="2"/>
  <c r="AC63" i="2" s="1"/>
  <c r="AG63" i="2" s="1"/>
  <c r="N63" i="2"/>
  <c r="AD62" i="2"/>
  <c r="AH62" i="2" s="1"/>
  <c r="AC62" i="2"/>
  <c r="AG62" i="2" s="1"/>
  <c r="AB62" i="2"/>
  <c r="AF62" i="2" s="1"/>
  <c r="Z62" i="2"/>
  <c r="Y62" i="2"/>
  <c r="S62" i="2"/>
  <c r="O62" i="2"/>
  <c r="N62" i="2"/>
  <c r="AA62" i="2" s="1"/>
  <c r="AE62" i="2" s="1"/>
  <c r="AH61" i="2"/>
  <c r="AD61" i="2"/>
  <c r="AB61" i="2"/>
  <c r="AF61" i="2" s="1"/>
  <c r="Z61" i="2"/>
  <c r="Y61" i="2"/>
  <c r="S61" i="2"/>
  <c r="O61" i="2"/>
  <c r="AC61" i="2" s="1"/>
  <c r="AG61" i="2" s="1"/>
  <c r="N61" i="2"/>
  <c r="AA61" i="2" s="1"/>
  <c r="AE61" i="2" s="1"/>
  <c r="AD60" i="2"/>
  <c r="AH60" i="2" s="1"/>
  <c r="AC60" i="2"/>
  <c r="AG60" i="2" s="1"/>
  <c r="AB60" i="2"/>
  <c r="AF60" i="2" s="1"/>
  <c r="AA60" i="2"/>
  <c r="AE60" i="2" s="1"/>
  <c r="Z60" i="2"/>
  <c r="Y60" i="2"/>
  <c r="S60" i="2"/>
  <c r="O60" i="2"/>
  <c r="N60" i="2"/>
  <c r="AG59" i="2"/>
  <c r="AF59" i="2"/>
  <c r="AE59" i="2"/>
  <c r="AD59" i="2"/>
  <c r="AH59" i="2" s="1"/>
  <c r="AB59" i="2"/>
  <c r="Z59" i="2"/>
  <c r="Y59" i="2"/>
  <c r="S59" i="2"/>
  <c r="O59" i="2"/>
  <c r="AC59" i="2" s="1"/>
  <c r="N59" i="2"/>
  <c r="AA59" i="2" s="1"/>
  <c r="AG58" i="2"/>
  <c r="AF58" i="2"/>
  <c r="AC58" i="2"/>
  <c r="AB58" i="2"/>
  <c r="AA58" i="2"/>
  <c r="AE58" i="2" s="1"/>
  <c r="Z58" i="2"/>
  <c r="Y58" i="2"/>
  <c r="S58" i="2"/>
  <c r="O58" i="2"/>
  <c r="AD58" i="2" s="1"/>
  <c r="AH58" i="2" s="1"/>
  <c r="N58" i="2"/>
  <c r="AH57" i="2"/>
  <c r="AD57" i="2"/>
  <c r="AC57" i="2"/>
  <c r="AG57" i="2" s="1"/>
  <c r="AB57" i="2"/>
  <c r="AF57" i="2" s="1"/>
  <c r="AA57" i="2"/>
  <c r="AE57" i="2" s="1"/>
  <c r="Z57" i="2"/>
  <c r="Y57" i="2"/>
  <c r="S57" i="2"/>
  <c r="O57" i="2"/>
  <c r="N57" i="2"/>
  <c r="AG56" i="2"/>
  <c r="AE56" i="2"/>
  <c r="AC56" i="2"/>
  <c r="AB56" i="2"/>
  <c r="AF56" i="2" s="1"/>
  <c r="AA56" i="2"/>
  <c r="Z56" i="2"/>
  <c r="Y56" i="2"/>
  <c r="S56" i="2"/>
  <c r="O56" i="2"/>
  <c r="AD56" i="2" s="1"/>
  <c r="AH56" i="2" s="1"/>
  <c r="N56" i="2"/>
  <c r="AG55" i="2"/>
  <c r="AE55" i="2"/>
  <c r="AC55" i="2"/>
  <c r="AA55" i="2"/>
  <c r="Z55" i="2"/>
  <c r="Y55" i="2"/>
  <c r="S55" i="2"/>
  <c r="O55" i="2"/>
  <c r="AD55" i="2" s="1"/>
  <c r="AH55" i="2" s="1"/>
  <c r="N55" i="2"/>
  <c r="AB55" i="2" s="1"/>
  <c r="AF55" i="2" s="1"/>
  <c r="AE54" i="2"/>
  <c r="AD54" i="2"/>
  <c r="AH54" i="2" s="1"/>
  <c r="AC54" i="2"/>
  <c r="AG54" i="2" s="1"/>
  <c r="AB54" i="2"/>
  <c r="AF54" i="2" s="1"/>
  <c r="AA54" i="2"/>
  <c r="Z54" i="2"/>
  <c r="Y54" i="2"/>
  <c r="S54" i="2"/>
  <c r="O54" i="2"/>
  <c r="N54" i="2"/>
  <c r="AE53" i="2"/>
  <c r="AD53" i="2"/>
  <c r="AH53" i="2" s="1"/>
  <c r="AC53" i="2"/>
  <c r="AG53" i="2" s="1"/>
  <c r="AA53" i="2"/>
  <c r="Z53" i="2"/>
  <c r="Y53" i="2"/>
  <c r="S53" i="2"/>
  <c r="O53" i="2"/>
  <c r="N53" i="2"/>
  <c r="AB53" i="2" s="1"/>
  <c r="AF53" i="2" s="1"/>
  <c r="AC52" i="2"/>
  <c r="AG52" i="2" s="1"/>
  <c r="AA52" i="2"/>
  <c r="AE52" i="2" s="1"/>
  <c r="Z52" i="2"/>
  <c r="Y52" i="2"/>
  <c r="S52" i="2"/>
  <c r="O52" i="2"/>
  <c r="AD52" i="2" s="1"/>
  <c r="AH52" i="2" s="1"/>
  <c r="N52" i="2"/>
  <c r="AB52" i="2" s="1"/>
  <c r="AF52" i="2" s="1"/>
  <c r="AE51" i="2"/>
  <c r="AD51" i="2"/>
  <c r="AH51" i="2" s="1"/>
  <c r="AC51" i="2"/>
  <c r="AG51" i="2" s="1"/>
  <c r="AA51" i="2"/>
  <c r="Z51" i="2"/>
  <c r="Y51" i="2"/>
  <c r="S51" i="2"/>
  <c r="O51" i="2"/>
  <c r="N51" i="2"/>
  <c r="AB51" i="2" s="1"/>
  <c r="AF51" i="2" s="1"/>
  <c r="AG50" i="2"/>
  <c r="AF50" i="2"/>
  <c r="AE50" i="2"/>
  <c r="AD50" i="2"/>
  <c r="AH50" i="2" s="1"/>
  <c r="AB50" i="2"/>
  <c r="AA50" i="2"/>
  <c r="Z50" i="2"/>
  <c r="Y50" i="2"/>
  <c r="S50" i="2"/>
  <c r="O50" i="2"/>
  <c r="AC50" i="2" s="1"/>
  <c r="N50" i="2"/>
  <c r="AC49" i="2"/>
  <c r="AG49" i="2" s="1"/>
  <c r="AB49" i="2"/>
  <c r="AF49" i="2" s="1"/>
  <c r="AA49" i="2"/>
  <c r="AE49" i="2" s="1"/>
  <c r="Z49" i="2"/>
  <c r="Y49" i="2"/>
  <c r="S49" i="2"/>
  <c r="O49" i="2"/>
  <c r="AD49" i="2" s="1"/>
  <c r="AH49" i="2" s="1"/>
  <c r="N49" i="2"/>
  <c r="AF48" i="2"/>
  <c r="AE48" i="2"/>
  <c r="AD48" i="2"/>
  <c r="AH48" i="2" s="1"/>
  <c r="AC48" i="2"/>
  <c r="AG48" i="2" s="1"/>
  <c r="AA48" i="2"/>
  <c r="Z48" i="2"/>
  <c r="Y48" i="2"/>
  <c r="S48" i="2"/>
  <c r="O48" i="2"/>
  <c r="N48" i="2"/>
  <c r="AB48" i="2" s="1"/>
  <c r="AH47" i="2"/>
  <c r="AG47" i="2"/>
  <c r="AF47" i="2"/>
  <c r="AE47" i="2"/>
  <c r="AD47" i="2"/>
  <c r="AC47" i="2"/>
  <c r="AB47" i="2"/>
  <c r="AA47" i="2"/>
  <c r="Z47" i="2"/>
  <c r="Y47" i="2"/>
  <c r="S47" i="2"/>
  <c r="O47" i="2"/>
  <c r="N47" i="2"/>
  <c r="AD46" i="2"/>
  <c r="AH46" i="2" s="1"/>
  <c r="AC46" i="2"/>
  <c r="AG46" i="2" s="1"/>
  <c r="AB46" i="2"/>
  <c r="AF46" i="2" s="1"/>
  <c r="AA46" i="2"/>
  <c r="AE46" i="2" s="1"/>
  <c r="Z46" i="2"/>
  <c r="Y46" i="2"/>
  <c r="S46" i="2"/>
  <c r="O46" i="2"/>
  <c r="N46" i="2"/>
  <c r="AG45" i="2"/>
  <c r="Z45" i="2"/>
  <c r="Y45" i="2"/>
  <c r="S45" i="2"/>
  <c r="O45" i="2"/>
  <c r="AC45" i="2" s="1"/>
  <c r="N45" i="2"/>
  <c r="AG44" i="2"/>
  <c r="AF44" i="2"/>
  <c r="AE44" i="2"/>
  <c r="AC44" i="2"/>
  <c r="AB44" i="2"/>
  <c r="AA44" i="2"/>
  <c r="Z44" i="2"/>
  <c r="Y44" i="2"/>
  <c r="S44" i="2"/>
  <c r="O44" i="2"/>
  <c r="AD44" i="2" s="1"/>
  <c r="AH44" i="2" s="1"/>
  <c r="N44" i="2"/>
  <c r="AD43" i="2"/>
  <c r="AH43" i="2" s="1"/>
  <c r="AC43" i="2"/>
  <c r="AG43" i="2" s="1"/>
  <c r="AB43" i="2"/>
  <c r="AF43" i="2" s="1"/>
  <c r="AA43" i="2"/>
  <c r="AE43" i="2" s="1"/>
  <c r="Z43" i="2"/>
  <c r="Y43" i="2"/>
  <c r="S43" i="2"/>
  <c r="O43" i="2"/>
  <c r="N43" i="2"/>
  <c r="AH42" i="2"/>
  <c r="AG42" i="2"/>
  <c r="AE42" i="2"/>
  <c r="AC42" i="2"/>
  <c r="AA42" i="2"/>
  <c r="Z42" i="2"/>
  <c r="Y42" i="2"/>
  <c r="S42" i="2"/>
  <c r="O42" i="2"/>
  <c r="AD42" i="2" s="1"/>
  <c r="N42" i="2"/>
  <c r="AB42" i="2" s="1"/>
  <c r="AF42" i="2" s="1"/>
  <c r="AH41" i="2"/>
  <c r="AG41" i="2"/>
  <c r="AE41" i="2"/>
  <c r="AD41" i="2"/>
  <c r="AC41" i="2"/>
  <c r="AB41" i="2"/>
  <c r="AF41" i="2" s="1"/>
  <c r="AA41" i="2"/>
  <c r="Z41" i="2"/>
  <c r="Y41" i="2"/>
  <c r="S41" i="2"/>
  <c r="O41" i="2"/>
  <c r="N41" i="2"/>
  <c r="AF40" i="2"/>
  <c r="AE40" i="2"/>
  <c r="AC40" i="2"/>
  <c r="AG40" i="2" s="1"/>
  <c r="AB40" i="2"/>
  <c r="AA40" i="2"/>
  <c r="Z40" i="2"/>
  <c r="Y40" i="2"/>
  <c r="S40" i="2"/>
  <c r="O40" i="2"/>
  <c r="AD40" i="2" s="1"/>
  <c r="AH40" i="2" s="1"/>
  <c r="N40" i="2"/>
  <c r="AC39" i="2"/>
  <c r="AG39" i="2" s="1"/>
  <c r="AB39" i="2"/>
  <c r="AF39" i="2" s="1"/>
  <c r="AA39" i="2"/>
  <c r="AE39" i="2" s="1"/>
  <c r="Z39" i="2"/>
  <c r="Y39" i="2"/>
  <c r="S39" i="2"/>
  <c r="O39" i="2"/>
  <c r="AD39" i="2" s="1"/>
  <c r="AH39" i="2" s="1"/>
  <c r="N39" i="2"/>
  <c r="AH38" i="2"/>
  <c r="AF38" i="2"/>
  <c r="AE38" i="2"/>
  <c r="AD38" i="2"/>
  <c r="AB38" i="2"/>
  <c r="Z38" i="2"/>
  <c r="Y38" i="2"/>
  <c r="S38" i="2"/>
  <c r="O38" i="2"/>
  <c r="AC38" i="2" s="1"/>
  <c r="AG38" i="2" s="1"/>
  <c r="N38" i="2"/>
  <c r="AA38" i="2" s="1"/>
  <c r="AH37" i="2"/>
  <c r="AG37" i="2"/>
  <c r="AF37" i="2"/>
  <c r="AE37" i="2"/>
  <c r="AD37" i="2"/>
  <c r="AC37" i="2"/>
  <c r="AB37" i="2"/>
  <c r="AA37" i="2"/>
  <c r="Z37" i="2"/>
  <c r="O32" i="1" s="1"/>
  <c r="Q32" i="1" s="1"/>
  <c r="R32" i="1" s="1"/>
  <c r="Y37" i="2"/>
  <c r="S37" i="2"/>
  <c r="O37" i="2"/>
  <c r="N37" i="2"/>
  <c r="AD36" i="2"/>
  <c r="AH36" i="2" s="1"/>
  <c r="AC36" i="2"/>
  <c r="AG36" i="2" s="1"/>
  <c r="AB36" i="2"/>
  <c r="AF36" i="2" s="1"/>
  <c r="AA36" i="2"/>
  <c r="AE36" i="2" s="1"/>
  <c r="Z36" i="2"/>
  <c r="Y36" i="2"/>
  <c r="S36" i="2"/>
  <c r="O36" i="2"/>
  <c r="N36" i="2"/>
  <c r="AE35" i="2"/>
  <c r="AC35" i="2"/>
  <c r="AG35" i="2" s="1"/>
  <c r="AA35" i="2"/>
  <c r="Z35" i="2"/>
  <c r="Y35" i="2"/>
  <c r="S35" i="2"/>
  <c r="O35" i="2"/>
  <c r="AD35" i="2" s="1"/>
  <c r="AH35" i="2" s="1"/>
  <c r="N35" i="2"/>
  <c r="AB35" i="2" s="1"/>
  <c r="AF35" i="2" s="1"/>
  <c r="AH34" i="2"/>
  <c r="AG34" i="2"/>
  <c r="AD34" i="2"/>
  <c r="AC34" i="2"/>
  <c r="AA34" i="2"/>
  <c r="AE34" i="2" s="1"/>
  <c r="Z34" i="2"/>
  <c r="Y34" i="2"/>
  <c r="S34" i="2"/>
  <c r="O34" i="2"/>
  <c r="N34" i="2"/>
  <c r="AB34" i="2" s="1"/>
  <c r="AF34" i="2" s="1"/>
  <c r="AE33" i="2"/>
  <c r="AD33" i="2"/>
  <c r="AH33" i="2" s="1"/>
  <c r="AC33" i="2"/>
  <c r="AG33" i="2" s="1"/>
  <c r="AA33" i="2"/>
  <c r="Z33" i="2"/>
  <c r="Y33" i="2"/>
  <c r="S33" i="2"/>
  <c r="O33" i="2"/>
  <c r="N33" i="2"/>
  <c r="AB33" i="2" s="1"/>
  <c r="AF33" i="2" s="1"/>
  <c r="AH32" i="2"/>
  <c r="AG32" i="2"/>
  <c r="AC32" i="2"/>
  <c r="AA32" i="2"/>
  <c r="AE32" i="2" s="1"/>
  <c r="Z32" i="2"/>
  <c r="Y32" i="2"/>
  <c r="S32" i="2"/>
  <c r="O32" i="2"/>
  <c r="AD32" i="2" s="1"/>
  <c r="N32" i="2"/>
  <c r="AB32" i="2" s="1"/>
  <c r="AF32" i="2" s="1"/>
  <c r="AD31" i="2"/>
  <c r="AH31" i="2" s="1"/>
  <c r="AC31" i="2"/>
  <c r="AG31" i="2" s="1"/>
  <c r="AB31" i="2"/>
  <c r="AF31" i="2" s="1"/>
  <c r="AA31" i="2"/>
  <c r="AE31" i="2" s="1"/>
  <c r="Z31" i="2"/>
  <c r="Y31" i="2"/>
  <c r="S31" i="2"/>
  <c r="O31" i="2"/>
  <c r="N31" i="2"/>
  <c r="AG30" i="2"/>
  <c r="AE30" i="2"/>
  <c r="AC30" i="2"/>
  <c r="AA30" i="2"/>
  <c r="Z30" i="2"/>
  <c r="Y30" i="2"/>
  <c r="S30" i="2"/>
  <c r="O30" i="2"/>
  <c r="AD30" i="2" s="1"/>
  <c r="AH30" i="2" s="1"/>
  <c r="N30" i="2"/>
  <c r="AB30" i="2" s="1"/>
  <c r="AF30" i="2" s="1"/>
  <c r="AD29" i="2"/>
  <c r="AH29" i="2" s="1"/>
  <c r="AC29" i="2"/>
  <c r="AG29" i="2" s="1"/>
  <c r="AB29" i="2"/>
  <c r="AF29" i="2" s="1"/>
  <c r="AA29" i="2"/>
  <c r="AE29" i="2" s="1"/>
  <c r="Z29" i="2"/>
  <c r="Y29" i="2"/>
  <c r="S29" i="2"/>
  <c r="O29" i="2"/>
  <c r="N29" i="2"/>
  <c r="AE28" i="2"/>
  <c r="AD28" i="2"/>
  <c r="AH28" i="2" s="1"/>
  <c r="AC28" i="2"/>
  <c r="AG28" i="2" s="1"/>
  <c r="AA28" i="2"/>
  <c r="Z28" i="2"/>
  <c r="Y28" i="2"/>
  <c r="S28" i="2"/>
  <c r="O28" i="2"/>
  <c r="N28" i="2"/>
  <c r="AB28" i="2" s="1"/>
  <c r="AF28" i="2" s="1"/>
  <c r="AH27" i="2"/>
  <c r="AG27" i="2"/>
  <c r="AF27" i="2"/>
  <c r="AE27" i="2"/>
  <c r="AC27" i="2"/>
  <c r="AB27" i="2"/>
  <c r="AA27" i="2"/>
  <c r="Z27" i="2"/>
  <c r="O41" i="1" s="1"/>
  <c r="Q41" i="1" s="1"/>
  <c r="R41" i="1" s="1"/>
  <c r="Y27" i="2"/>
  <c r="S27" i="2"/>
  <c r="O27" i="2"/>
  <c r="AD27" i="2" s="1"/>
  <c r="N27" i="2"/>
  <c r="AD26" i="2"/>
  <c r="AH26" i="2" s="1"/>
  <c r="AC26" i="2"/>
  <c r="AG26" i="2" s="1"/>
  <c r="AB26" i="2"/>
  <c r="AF26" i="2" s="1"/>
  <c r="AA26" i="2"/>
  <c r="AE26" i="2" s="1"/>
  <c r="Z26" i="2"/>
  <c r="Y26" i="2"/>
  <c r="S26" i="2"/>
  <c r="O26" i="2"/>
  <c r="N26" i="2"/>
  <c r="AH25" i="2"/>
  <c r="AG25" i="2"/>
  <c r="AC25" i="2"/>
  <c r="AA25" i="2"/>
  <c r="AE25" i="2" s="1"/>
  <c r="Z25" i="2"/>
  <c r="Y25" i="2"/>
  <c r="N41" i="1" s="1"/>
  <c r="S25" i="2"/>
  <c r="O25" i="2"/>
  <c r="AD25" i="2" s="1"/>
  <c r="N25" i="2"/>
  <c r="AB25" i="2" s="1"/>
  <c r="AF25" i="2" s="1"/>
  <c r="AH24" i="2"/>
  <c r="AD24" i="2"/>
  <c r="AC24" i="2"/>
  <c r="AG24" i="2" s="1"/>
  <c r="AB24" i="2"/>
  <c r="AF24" i="2" s="1"/>
  <c r="AA24" i="2"/>
  <c r="AE24" i="2" s="1"/>
  <c r="Z24" i="2"/>
  <c r="Y24" i="2"/>
  <c r="S24" i="2"/>
  <c r="O24" i="2"/>
  <c r="N24" i="2"/>
  <c r="AE23" i="2"/>
  <c r="AD23" i="2"/>
  <c r="AH23" i="2" s="1"/>
  <c r="AC23" i="2"/>
  <c r="AG23" i="2" s="1"/>
  <c r="AB23" i="2"/>
  <c r="AF23" i="2" s="1"/>
  <c r="AA23" i="2"/>
  <c r="Z23" i="2"/>
  <c r="Y23" i="2"/>
  <c r="S23" i="2"/>
  <c r="O23" i="2"/>
  <c r="N23" i="2"/>
  <c r="AC22" i="2"/>
  <c r="AG22" i="2" s="1"/>
  <c r="AB22" i="2"/>
  <c r="AF22" i="2" s="1"/>
  <c r="AA22" i="2"/>
  <c r="AE22" i="2" s="1"/>
  <c r="Z22" i="2"/>
  <c r="Y22" i="2"/>
  <c r="S22" i="2"/>
  <c r="O22" i="2"/>
  <c r="AD22" i="2" s="1"/>
  <c r="AH22" i="2" s="1"/>
  <c r="N22" i="2"/>
  <c r="AE21" i="2"/>
  <c r="AD21" i="2"/>
  <c r="AH21" i="2" s="1"/>
  <c r="AC21" i="2"/>
  <c r="AG21" i="2" s="1"/>
  <c r="AA21" i="2"/>
  <c r="Z21" i="2"/>
  <c r="Y21" i="2"/>
  <c r="S21" i="2"/>
  <c r="O21" i="2"/>
  <c r="N21" i="2"/>
  <c r="AB21" i="2" s="1"/>
  <c r="AF21" i="2" s="1"/>
  <c r="AH20" i="2"/>
  <c r="AG20" i="2"/>
  <c r="AF20" i="2"/>
  <c r="AE20" i="2"/>
  <c r="AD20" i="2"/>
  <c r="AC20" i="2"/>
  <c r="AB20" i="2"/>
  <c r="AA20" i="2"/>
  <c r="Z20" i="2"/>
  <c r="Y20" i="2"/>
  <c r="N31" i="1" s="1"/>
  <c r="N30" i="1" s="1"/>
  <c r="S20" i="2"/>
  <c r="O20" i="2"/>
  <c r="N20" i="2"/>
  <c r="AD19" i="2"/>
  <c r="AH19" i="2" s="1"/>
  <c r="AC19" i="2"/>
  <c r="AG19" i="2" s="1"/>
  <c r="AB19" i="2"/>
  <c r="AF19" i="2" s="1"/>
  <c r="AA19" i="2"/>
  <c r="AE19" i="2" s="1"/>
  <c r="Z19" i="2"/>
  <c r="Y19" i="2"/>
  <c r="S19" i="2"/>
  <c r="O19" i="2"/>
  <c r="N19" i="2"/>
  <c r="AG18" i="2"/>
  <c r="AC18" i="2"/>
  <c r="AA18" i="2"/>
  <c r="AE18" i="2" s="1"/>
  <c r="Z18" i="2"/>
  <c r="Y18" i="2"/>
  <c r="S18" i="2"/>
  <c r="O18" i="2"/>
  <c r="AD18" i="2" s="1"/>
  <c r="AH18" i="2" s="1"/>
  <c r="N18" i="2"/>
  <c r="AB18" i="2" s="1"/>
  <c r="AF18" i="2" s="1"/>
  <c r="AH17" i="2"/>
  <c r="AD17" i="2"/>
  <c r="AC17" i="2"/>
  <c r="AG17" i="2" s="1"/>
  <c r="AB17" i="2"/>
  <c r="AF17" i="2" s="1"/>
  <c r="AA17" i="2"/>
  <c r="AE17" i="2" s="1"/>
  <c r="Z17" i="2"/>
  <c r="Y17" i="2"/>
  <c r="S17" i="2"/>
  <c r="O17" i="2"/>
  <c r="N17" i="2"/>
  <c r="AD16" i="2"/>
  <c r="AH16" i="2" s="1"/>
  <c r="AC16" i="2"/>
  <c r="AG16" i="2" s="1"/>
  <c r="AA16" i="2"/>
  <c r="AE16" i="2" s="1"/>
  <c r="Z16" i="2"/>
  <c r="Y16" i="2"/>
  <c r="S16" i="2"/>
  <c r="O16" i="2"/>
  <c r="N16" i="2"/>
  <c r="L45" i="1"/>
  <c r="M45" i="1" s="1"/>
  <c r="L44" i="1"/>
  <c r="M44" i="1" s="1"/>
  <c r="K43" i="1"/>
  <c r="L43" i="1" s="1"/>
  <c r="M43" i="1" s="1"/>
  <c r="J43" i="1"/>
  <c r="I43" i="1"/>
  <c r="Q42" i="1"/>
  <c r="R42" i="1" s="1"/>
  <c r="L42" i="1"/>
  <c r="M42" i="1" s="1"/>
  <c r="I42" i="1"/>
  <c r="K41" i="1"/>
  <c r="L41" i="1" s="1"/>
  <c r="M41" i="1" s="1"/>
  <c r="J41" i="1"/>
  <c r="I41" i="1"/>
  <c r="K40" i="1"/>
  <c r="L40" i="1" s="1"/>
  <c r="M40" i="1" s="1"/>
  <c r="J40" i="1"/>
  <c r="I40" i="1"/>
  <c r="K39" i="1"/>
  <c r="L39" i="1" s="1"/>
  <c r="M39" i="1" s="1"/>
  <c r="J39" i="1"/>
  <c r="I39" i="1"/>
  <c r="K38" i="1"/>
  <c r="K37" i="1" s="1"/>
  <c r="J38" i="1"/>
  <c r="J37" i="1" s="1"/>
  <c r="G12" i="1" s="1"/>
  <c r="I38" i="1"/>
  <c r="I37" i="1" s="1"/>
  <c r="Q36" i="1"/>
  <c r="R36" i="1" s="1"/>
  <c r="L36" i="1"/>
  <c r="M36" i="1" s="1"/>
  <c r="I36" i="1"/>
  <c r="O35" i="1"/>
  <c r="K35" i="1"/>
  <c r="L35" i="1" s="1"/>
  <c r="M35" i="1" s="1"/>
  <c r="J35" i="1"/>
  <c r="I35" i="1"/>
  <c r="O34" i="1"/>
  <c r="K34" i="1"/>
  <c r="L34" i="1" s="1"/>
  <c r="M34" i="1" s="1"/>
  <c r="J34" i="1"/>
  <c r="I34" i="1"/>
  <c r="K33" i="1"/>
  <c r="L33" i="1" s="1"/>
  <c r="M33" i="1" s="1"/>
  <c r="J33" i="1"/>
  <c r="I33" i="1"/>
  <c r="K32" i="1"/>
  <c r="L32" i="1" s="1"/>
  <c r="M32" i="1" s="1"/>
  <c r="J32" i="1"/>
  <c r="I32" i="1"/>
  <c r="K31" i="1"/>
  <c r="L31" i="1" s="1"/>
  <c r="M31" i="1" s="1"/>
  <c r="J31" i="1"/>
  <c r="J30" i="1" s="1"/>
  <c r="G11" i="1" s="1"/>
  <c r="I31" i="1"/>
  <c r="I30" i="1" s="1"/>
  <c r="B50" i="1" s="1"/>
  <c r="N29" i="1" a="1"/>
  <c r="N29" i="1" s="1"/>
  <c r="K29" i="1" a="1"/>
  <c r="K29" i="1" s="1"/>
  <c r="J29" i="1" a="1"/>
  <c r="J29" i="1" s="1"/>
  <c r="I29" i="1" a="1"/>
  <c r="I29" i="1" s="1"/>
  <c r="I13" i="1"/>
  <c r="G13" i="1"/>
  <c r="E13" i="1"/>
  <c r="E11" i="1"/>
  <c r="K9" i="1"/>
  <c r="M9" i="1" s="1"/>
  <c r="K8" i="1"/>
  <c r="M8" i="1" s="1"/>
  <c r="K7" i="1"/>
  <c r="M7" i="1" s="1"/>
  <c r="K6" i="1"/>
  <c r="M6" i="1" s="1"/>
  <c r="J46" i="1" l="1"/>
  <c r="G10" i="1" s="1"/>
  <c r="K13" i="1"/>
  <c r="M13" i="1" s="1"/>
  <c r="B55" i="1"/>
  <c r="K46" i="1"/>
  <c r="L29" i="1"/>
  <c r="M29" i="1" s="1"/>
  <c r="G14" i="1"/>
  <c r="H14" i="1"/>
  <c r="I46" i="1"/>
  <c r="E10" i="1" s="1"/>
  <c r="K49" i="1"/>
  <c r="B49" i="1"/>
  <c r="O51" i="1"/>
  <c r="G51" i="1"/>
  <c r="O50" i="1"/>
  <c r="G55" i="1"/>
  <c r="E12" i="1"/>
  <c r="G50" i="1"/>
  <c r="O54" i="1"/>
  <c r="G54" i="1"/>
  <c r="O55" i="1"/>
  <c r="L37" i="1"/>
  <c r="M37" i="1" s="1"/>
  <c r="I12" i="1"/>
  <c r="K12" i="1" s="1"/>
  <c r="O30" i="1"/>
  <c r="Q30" i="1" s="1"/>
  <c r="R30" i="1" s="1"/>
  <c r="Q31" i="1"/>
  <c r="R31" i="1" s="1"/>
  <c r="AB165" i="2"/>
  <c r="AF165" i="2" s="1"/>
  <c r="AA165" i="2"/>
  <c r="AE165" i="2" s="1"/>
  <c r="L38" i="1"/>
  <c r="M38" i="1" s="1"/>
  <c r="AD319" i="2"/>
  <c r="AH319" i="2" s="1"/>
  <c r="AC319" i="2"/>
  <c r="AG319" i="2" s="1"/>
  <c r="AD196" i="2"/>
  <c r="AH196" i="2" s="1"/>
  <c r="AC196" i="2"/>
  <c r="AG196" i="2" s="1"/>
  <c r="M53" i="1" s="1" a="1"/>
  <c r="M53" i="1" s="1"/>
  <c r="K51" i="1"/>
  <c r="K55" i="1"/>
  <c r="B51" i="1"/>
  <c r="K50" i="1"/>
  <c r="N35" i="1"/>
  <c r="Q35" i="1" s="1"/>
  <c r="R35" i="1" s="1"/>
  <c r="O38" i="1"/>
  <c r="O39" i="1"/>
  <c r="N33" i="1"/>
  <c r="AA65" i="2"/>
  <c r="AE65" i="2" s="1"/>
  <c r="AC262" i="2"/>
  <c r="AG262" i="2" s="1"/>
  <c r="AD262" i="2"/>
  <c r="AH262" i="2" s="1"/>
  <c r="N1583" i="2"/>
  <c r="AB16" i="2"/>
  <c r="AF16" i="2" s="1"/>
  <c r="AD622" i="2"/>
  <c r="AH622" i="2" s="1"/>
  <c r="AC622" i="2"/>
  <c r="AG622" i="2" s="1"/>
  <c r="O33" i="1"/>
  <c r="AB217" i="2"/>
  <c r="AF217" i="2" s="1"/>
  <c r="AA217" i="2"/>
  <c r="AE217" i="2" s="1"/>
  <c r="AB45" i="2"/>
  <c r="AF45" i="2" s="1"/>
  <c r="AA45" i="2"/>
  <c r="AE45" i="2" s="1"/>
  <c r="E56" i="1" s="1" a="1"/>
  <c r="E56" i="1" s="1"/>
  <c r="AB196" i="2"/>
  <c r="AF196" i="2" s="1"/>
  <c r="AA196" i="2"/>
  <c r="AE196" i="2" s="1"/>
  <c r="AD217" i="2"/>
  <c r="AH217" i="2" s="1"/>
  <c r="AC217" i="2"/>
  <c r="AG217" i="2" s="1"/>
  <c r="N39" i="1"/>
  <c r="N40" i="1"/>
  <c r="AA232" i="2"/>
  <c r="AE232" i="2" s="1"/>
  <c r="AB232" i="2"/>
  <c r="AF232" i="2" s="1"/>
  <c r="AD392" i="2"/>
  <c r="AH392" i="2" s="1"/>
  <c r="AC392" i="2"/>
  <c r="AG392" i="2" s="1"/>
  <c r="B54" i="1"/>
  <c r="O40" i="1"/>
  <c r="Q40" i="1" s="1"/>
  <c r="R40" i="1" s="1"/>
  <c r="AD232" i="2"/>
  <c r="AH232" i="2" s="1"/>
  <c r="AC232" i="2"/>
  <c r="AG232" i="2" s="1"/>
  <c r="O29" i="1" a="1"/>
  <c r="O29" i="1" s="1"/>
  <c r="Q29" i="1" s="1"/>
  <c r="R29" i="1" s="1"/>
  <c r="K54" i="1"/>
  <c r="Q55" i="1" a="1"/>
  <c r="Q55" i="1" s="1"/>
  <c r="AD64" i="2"/>
  <c r="AH64" i="2" s="1"/>
  <c r="AC64" i="2"/>
  <c r="AG64" i="2" s="1"/>
  <c r="AA224" i="2"/>
  <c r="AE224" i="2" s="1"/>
  <c r="AB224" i="2"/>
  <c r="AF224" i="2" s="1"/>
  <c r="AB64" i="2"/>
  <c r="AF64" i="2" s="1"/>
  <c r="AA64" i="2"/>
  <c r="AE64" i="2" s="1"/>
  <c r="N38" i="1"/>
  <c r="N37" i="1" s="1"/>
  <c r="AD204" i="2"/>
  <c r="AH204" i="2" s="1"/>
  <c r="AC204" i="2"/>
  <c r="AG204" i="2" s="1"/>
  <c r="AA175" i="2"/>
  <c r="AE175" i="2" s="1"/>
  <c r="AB175" i="2"/>
  <c r="AF175" i="2" s="1"/>
  <c r="AB433" i="2"/>
  <c r="AF433" i="2" s="1"/>
  <c r="AA433" i="2"/>
  <c r="AE433" i="2" s="1"/>
  <c r="AB533" i="2"/>
  <c r="AF533" i="2" s="1"/>
  <c r="AA533" i="2"/>
  <c r="AE533" i="2" s="1"/>
  <c r="AB555" i="2"/>
  <c r="AF555" i="2" s="1"/>
  <c r="AA555" i="2"/>
  <c r="AE555" i="2" s="1"/>
  <c r="AB687" i="2"/>
  <c r="AF687" i="2" s="1"/>
  <c r="AA687" i="2"/>
  <c r="AE687" i="2" s="1"/>
  <c r="K30" i="1"/>
  <c r="AD811" i="2"/>
  <c r="AH811" i="2" s="1"/>
  <c r="AC811" i="2"/>
  <c r="AG811" i="2" s="1"/>
  <c r="AB148" i="2"/>
  <c r="AF148" i="2" s="1"/>
  <c r="AA148" i="2"/>
  <c r="AE148" i="2" s="1"/>
  <c r="AB219" i="2"/>
  <c r="AF219" i="2" s="1"/>
  <c r="AA219" i="2"/>
  <c r="AE219" i="2" s="1"/>
  <c r="AD172" i="2"/>
  <c r="AH172" i="2" s="1"/>
  <c r="AC172" i="2"/>
  <c r="AG172" i="2" s="1"/>
  <c r="AB182" i="2"/>
  <c r="AF182" i="2" s="1"/>
  <c r="AA182" i="2"/>
  <c r="AE182" i="2" s="1"/>
  <c r="AB451" i="2"/>
  <c r="AF451" i="2" s="1"/>
  <c r="AA451" i="2"/>
  <c r="AE451" i="2" s="1"/>
  <c r="AD720" i="2"/>
  <c r="AH720" i="2" s="1"/>
  <c r="AC720" i="2"/>
  <c r="AG720" i="2" s="1"/>
  <c r="AD165" i="2"/>
  <c r="AH165" i="2" s="1"/>
  <c r="AD175" i="2"/>
  <c r="AH175" i="2" s="1"/>
  <c r="AC224" i="2"/>
  <c r="AG224" i="2" s="1"/>
  <c r="AC433" i="2"/>
  <c r="AG433" i="2" s="1"/>
  <c r="AC533" i="2"/>
  <c r="AG533" i="2" s="1"/>
  <c r="AC839" i="2"/>
  <c r="AG839" i="2" s="1"/>
  <c r="AD45" i="2"/>
  <c r="AH45" i="2" s="1"/>
  <c r="Q52" i="1" s="1" a="1"/>
  <c r="Q52" i="1" s="1"/>
  <c r="AA131" i="2"/>
  <c r="AE131" i="2" s="1"/>
  <c r="AB704" i="2"/>
  <c r="AF704" i="2" s="1"/>
  <c r="AA704" i="2"/>
  <c r="AE704" i="2" s="1"/>
  <c r="O1583" i="2"/>
  <c r="AB423" i="2"/>
  <c r="AF423" i="2" s="1"/>
  <c r="AA423" i="2"/>
  <c r="AE423" i="2" s="1"/>
  <c r="AB824" i="2"/>
  <c r="AF824" i="2" s="1"/>
  <c r="AA824" i="2"/>
  <c r="AE824" i="2" s="1"/>
  <c r="AD518" i="2"/>
  <c r="AH518" i="2" s="1"/>
  <c r="Q53" i="1" s="1" a="1"/>
  <c r="Q53" i="1" s="1"/>
  <c r="AC518" i="2"/>
  <c r="AG518" i="2" s="1"/>
  <c r="AD824" i="2"/>
  <c r="AH824" i="2" s="1"/>
  <c r="AC824" i="2"/>
  <c r="AG824" i="2" s="1"/>
  <c r="AA87" i="2"/>
  <c r="AE87" i="2" s="1"/>
  <c r="AC169" i="2"/>
  <c r="AG169" i="2" s="1"/>
  <c r="M56" i="1" s="1" a="1"/>
  <c r="M56" i="1" s="1"/>
  <c r="AD235" i="2"/>
  <c r="AH235" i="2" s="1"/>
  <c r="AC235" i="2"/>
  <c r="AG235" i="2" s="1"/>
  <c r="AB445" i="2"/>
  <c r="AF445" i="2" s="1"/>
  <c r="AA445" i="2"/>
  <c r="AE445" i="2" s="1"/>
  <c r="AB549" i="2"/>
  <c r="AF549" i="2" s="1"/>
  <c r="AA549" i="2"/>
  <c r="AE549" i="2" s="1"/>
  <c r="AB764" i="2"/>
  <c r="AF764" i="2" s="1"/>
  <c r="AA764" i="2"/>
  <c r="AE764" i="2" s="1"/>
  <c r="AD932" i="2"/>
  <c r="AH932" i="2" s="1"/>
  <c r="AC932" i="2"/>
  <c r="AG932" i="2" s="1"/>
  <c r="AC426" i="2"/>
  <c r="AG426" i="2" s="1"/>
  <c r="AD426" i="2"/>
  <c r="AH426" i="2" s="1"/>
  <c r="AB622" i="2"/>
  <c r="AF622" i="2" s="1"/>
  <c r="AA622" i="2"/>
  <c r="AE622" i="2" s="1"/>
  <c r="AD662" i="2"/>
  <c r="AH662" i="2" s="1"/>
  <c r="AC662" i="2"/>
  <c r="AG662" i="2" s="1"/>
  <c r="AD423" i="2"/>
  <c r="AH423" i="2" s="1"/>
  <c r="AC423" i="2"/>
  <c r="AG423" i="2" s="1"/>
  <c r="AC549" i="2"/>
  <c r="AG549" i="2" s="1"/>
  <c r="AA592" i="2"/>
  <c r="AE592" i="2" s="1"/>
  <c r="AB592" i="2"/>
  <c r="AF592" i="2" s="1"/>
  <c r="AD764" i="2"/>
  <c r="AH764" i="2" s="1"/>
  <c r="AB1008" i="2"/>
  <c r="AF1008" i="2" s="1"/>
  <c r="AA1008" i="2"/>
  <c r="AE1008" i="2" s="1"/>
  <c r="AD454" i="2"/>
  <c r="AH454" i="2" s="1"/>
  <c r="AC454" i="2"/>
  <c r="AG454" i="2" s="1"/>
  <c r="AD555" i="2"/>
  <c r="AH555" i="2" s="1"/>
  <c r="AC555" i="2"/>
  <c r="AG555" i="2" s="1"/>
  <c r="AD659" i="2"/>
  <c r="AH659" i="2" s="1"/>
  <c r="AC659" i="2"/>
  <c r="AG659" i="2" s="1"/>
  <c r="AA834" i="2"/>
  <c r="AE834" i="2" s="1"/>
  <c r="AB834" i="2"/>
  <c r="AF834" i="2" s="1"/>
  <c r="AD1266" i="2"/>
  <c r="AH1266" i="2" s="1"/>
  <c r="AC1266" i="2"/>
  <c r="AG1266" i="2" s="1"/>
  <c r="AC597" i="2"/>
  <c r="AG597" i="2" s="1"/>
  <c r="AD774" i="2"/>
  <c r="AH774" i="2" s="1"/>
  <c r="AC774" i="2"/>
  <c r="AG774" i="2" s="1"/>
  <c r="AC816" i="2"/>
  <c r="AG816" i="2" s="1"/>
  <c r="AD816" i="2"/>
  <c r="AH816" i="2" s="1"/>
  <c r="AB720" i="2"/>
  <c r="AF720" i="2" s="1"/>
  <c r="AA720" i="2"/>
  <c r="AE720" i="2" s="1"/>
  <c r="AB781" i="2"/>
  <c r="AF781" i="2" s="1"/>
  <c r="AA781" i="2"/>
  <c r="AE781" i="2" s="1"/>
  <c r="AD1220" i="2"/>
  <c r="AH1220" i="2" s="1"/>
  <c r="AC1220" i="2"/>
  <c r="AG1220" i="2" s="1"/>
  <c r="AA1149" i="2"/>
  <c r="AE1149" i="2" s="1"/>
  <c r="AB1149" i="2"/>
  <c r="AF1149" i="2" s="1"/>
  <c r="AC1149" i="2"/>
  <c r="AG1149" i="2" s="1"/>
  <c r="AD1149" i="2"/>
  <c r="AH1149" i="2" s="1"/>
  <c r="AD781" i="2"/>
  <c r="AH781" i="2" s="1"/>
  <c r="AC781" i="2"/>
  <c r="AG781" i="2" s="1"/>
  <c r="AB922" i="2"/>
  <c r="AF922" i="2" s="1"/>
  <c r="AA922" i="2"/>
  <c r="AE922" i="2" s="1"/>
  <c r="AD1235" i="2"/>
  <c r="AH1235" i="2" s="1"/>
  <c r="AD821" i="2"/>
  <c r="AH821" i="2" s="1"/>
  <c r="AC821" i="2"/>
  <c r="AG821" i="2" s="1"/>
  <c r="AD922" i="2"/>
  <c r="AH922" i="2" s="1"/>
  <c r="AC922" i="2"/>
  <c r="AG922" i="2" s="1"/>
  <c r="AB1096" i="2"/>
  <c r="AF1096" i="2" s="1"/>
  <c r="AA1096" i="2"/>
  <c r="AE1096" i="2" s="1"/>
  <c r="AB1115" i="2"/>
  <c r="AF1115" i="2" s="1"/>
  <c r="AA1115" i="2"/>
  <c r="AE1115" i="2" s="1"/>
  <c r="AB1150" i="2"/>
  <c r="AF1150" i="2" s="1"/>
  <c r="AA1150" i="2"/>
  <c r="AE1150" i="2" s="1"/>
  <c r="AD1115" i="2"/>
  <c r="AH1115" i="2" s="1"/>
  <c r="AC1115" i="2"/>
  <c r="AG1115" i="2" s="1"/>
  <c r="AD1161" i="2"/>
  <c r="AH1161" i="2" s="1"/>
  <c r="AC1161" i="2"/>
  <c r="AG1161" i="2" s="1"/>
  <c r="AB1052" i="2"/>
  <c r="AF1052" i="2" s="1"/>
  <c r="AA1052" i="2"/>
  <c r="AE1052" i="2" s="1"/>
  <c r="AD1240" i="2"/>
  <c r="AH1240" i="2" s="1"/>
  <c r="AC1240" i="2"/>
  <c r="AG1240" i="2" s="1"/>
  <c r="AB1194" i="2"/>
  <c r="AF1194" i="2" s="1"/>
  <c r="AA1194" i="2"/>
  <c r="AE1194" i="2" s="1"/>
  <c r="AA1181" i="2"/>
  <c r="AE1181" i="2" s="1"/>
  <c r="AB1181" i="2"/>
  <c r="AF1181" i="2" s="1"/>
  <c r="AB866" i="2"/>
  <c r="AF866" i="2" s="1"/>
  <c r="AA866" i="2"/>
  <c r="AE866" i="2" s="1"/>
  <c r="AC1088" i="2"/>
  <c r="AG1088" i="2" s="1"/>
  <c r="AB1087" i="2"/>
  <c r="AF1087" i="2" s="1"/>
  <c r="AA1087" i="2"/>
  <c r="AE1087" i="2" s="1"/>
  <c r="AC1184" i="2"/>
  <c r="AG1184" i="2" s="1"/>
  <c r="AD1184" i="2"/>
  <c r="AH1184" i="2" s="1"/>
  <c r="AD1257" i="2"/>
  <c r="AH1257" i="2" s="1"/>
  <c r="AC1257" i="2"/>
  <c r="AG1257" i="2" s="1"/>
  <c r="AB1281" i="2"/>
  <c r="AF1281" i="2" s="1"/>
  <c r="AA1281" i="2"/>
  <c r="AE1281" i="2" s="1"/>
  <c r="AC1514" i="2"/>
  <c r="AG1514" i="2" s="1"/>
  <c r="AD1514" i="2"/>
  <c r="AH1514" i="2" s="1"/>
  <c r="AC1281" i="2"/>
  <c r="AG1281" i="2" s="1"/>
  <c r="AD1281" i="2"/>
  <c r="AH1281" i="2" s="1"/>
  <c r="AA1503" i="2"/>
  <c r="AE1503" i="2" s="1"/>
  <c r="AB1503" i="2"/>
  <c r="AF1503" i="2" s="1"/>
  <c r="AD1294" i="2"/>
  <c r="AH1294" i="2" s="1"/>
  <c r="AC1294" i="2"/>
  <c r="AG1294" i="2" s="1"/>
  <c r="AB1235" i="2"/>
  <c r="AF1235" i="2" s="1"/>
  <c r="AA1235" i="2"/>
  <c r="AE1235" i="2" s="1"/>
  <c r="AD1300" i="2"/>
  <c r="AH1300" i="2" s="1"/>
  <c r="AC1300" i="2"/>
  <c r="AG1300" i="2" s="1"/>
  <c r="AC1124" i="2"/>
  <c r="AG1124" i="2" s="1"/>
  <c r="AD1439" i="2"/>
  <c r="AH1439" i="2" s="1"/>
  <c r="AB1450" i="2"/>
  <c r="AF1450" i="2" s="1"/>
  <c r="AA1450" i="2"/>
  <c r="AE1450" i="2" s="1"/>
  <c r="AB1216" i="2"/>
  <c r="AF1216" i="2" s="1"/>
  <c r="AA1216" i="2"/>
  <c r="AE1216" i="2" s="1"/>
  <c r="AB1518" i="2"/>
  <c r="AF1518" i="2" s="1"/>
  <c r="AA1518" i="2"/>
  <c r="AE1518" i="2" s="1"/>
  <c r="AB1390" i="2"/>
  <c r="AF1390" i="2" s="1"/>
  <c r="AA1390" i="2"/>
  <c r="AE1390" i="2" s="1"/>
  <c r="AB1526" i="2"/>
  <c r="AF1526" i="2" s="1"/>
  <c r="AA1526" i="2"/>
  <c r="AE1526" i="2" s="1"/>
  <c r="AD1526" i="2"/>
  <c r="AH1526" i="2" s="1"/>
  <c r="AC1526" i="2"/>
  <c r="AG1526" i="2" s="1"/>
  <c r="AB1544" i="2"/>
  <c r="AF1544" i="2" s="1"/>
  <c r="AA1544" i="2"/>
  <c r="AE1544" i="2" s="1"/>
  <c r="AB1572" i="2"/>
  <c r="AF1572" i="2" s="1"/>
  <c r="AA1572" i="2"/>
  <c r="AE1572" i="2" s="1"/>
  <c r="AA1433" i="2"/>
  <c r="AE1433" i="2" s="1"/>
  <c r="AD1530" i="2"/>
  <c r="AH1530" i="2" s="1"/>
  <c r="AC1530" i="2"/>
  <c r="AG1530" i="2" s="1"/>
  <c r="AD1537" i="2"/>
  <c r="AH1537" i="2" s="1"/>
  <c r="AA1439" i="2"/>
  <c r="AE1439" i="2" s="1"/>
  <c r="M12" i="1" l="1"/>
  <c r="M52" i="1" a="1"/>
  <c r="M52" i="1" s="1"/>
  <c r="E14" i="1"/>
  <c r="F14" i="1"/>
  <c r="M57" i="1" a="1"/>
  <c r="M57" i="1" s="1"/>
  <c r="M55" i="1" a="1"/>
  <c r="M55" i="1" s="1"/>
  <c r="L30" i="1"/>
  <c r="M30" i="1" s="1"/>
  <c r="I11" i="1"/>
  <c r="K11" i="1" s="1"/>
  <c r="M11" i="1" s="1"/>
  <c r="O37" i="1"/>
  <c r="Q37" i="1" s="1"/>
  <c r="R37" i="1" s="1"/>
  <c r="Q38" i="1"/>
  <c r="R38" i="1" s="1"/>
  <c r="Q56" i="1" a="1"/>
  <c r="Q56" i="1" s="1"/>
  <c r="E52" i="1" a="1"/>
  <c r="E52" i="1" s="1"/>
  <c r="I55" i="1" a="1"/>
  <c r="I55" i="1" s="1"/>
  <c r="I57" i="1" a="1"/>
  <c r="I57" i="1" s="1"/>
  <c r="I52" i="1" a="1"/>
  <c r="I52" i="1" s="1"/>
  <c r="I53" i="1" a="1"/>
  <c r="I53" i="1" s="1"/>
  <c r="I51" i="1" a="1"/>
  <c r="I51" i="1" s="1"/>
  <c r="I56" i="1" a="1"/>
  <c r="I56" i="1" s="1"/>
  <c r="Q57" i="1" a="1"/>
  <c r="Q57" i="1" s="1"/>
  <c r="E55" i="1" a="1"/>
  <c r="E55" i="1" s="1"/>
  <c r="M51" i="1" a="1"/>
  <c r="M51" i="1" s="1"/>
  <c r="Q39" i="1"/>
  <c r="R39" i="1" s="1"/>
  <c r="Q51" i="1" a="1"/>
  <c r="Q51" i="1" s="1"/>
  <c r="E57" i="1" a="1"/>
  <c r="E57" i="1" s="1"/>
  <c r="E51" i="1" a="1"/>
  <c r="E51" i="1" s="1"/>
  <c r="E53" i="1" a="1"/>
  <c r="E53" i="1" s="1"/>
  <c r="Q33" i="1"/>
  <c r="R33" i="1" s="1"/>
  <c r="I10" i="1"/>
  <c r="L46" i="1"/>
  <c r="M46" i="1" s="1"/>
  <c r="K10" i="1" l="1"/>
  <c r="J14" i="1"/>
  <c r="I14" i="1"/>
  <c r="L14" i="1" l="1"/>
  <c r="K14" i="1"/>
  <c r="M10" i="1"/>
  <c r="N14" i="1" l="1"/>
  <c r="M14" i="1"/>
</calcChain>
</file>

<file path=xl/sharedStrings.xml><?xml version="1.0" encoding="utf-8"?>
<sst xmlns="http://schemas.openxmlformats.org/spreadsheetml/2006/main" count="5096" uniqueCount="2219">
  <si>
    <r>
      <rPr>
        <b/>
        <sz val="14"/>
        <color theme="1"/>
        <rFont val="맑은 고딕"/>
        <family val="3"/>
        <charset val="129"/>
      </rPr>
      <t>검색불가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기업</t>
    </r>
    <r>
      <rPr>
        <b/>
        <sz val="14"/>
        <color theme="1"/>
        <rFont val="Arial"/>
        <family val="2"/>
      </rPr>
      <t>('26</t>
    </r>
    <r>
      <rPr>
        <b/>
        <sz val="14"/>
        <color theme="1"/>
        <rFont val="맑은 고딕"/>
        <family val="3"/>
        <charset val="129"/>
      </rPr>
      <t>년</t>
    </r>
    <r>
      <rPr>
        <b/>
        <sz val="14"/>
        <color theme="1"/>
        <rFont val="Arial"/>
        <family val="2"/>
      </rPr>
      <t xml:space="preserve"> 6</t>
    </r>
    <r>
      <rPr>
        <b/>
        <sz val="14"/>
        <color theme="1"/>
        <rFont val="맑은 고딕"/>
        <family val="3"/>
        <charset val="129"/>
      </rPr>
      <t>월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기준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실적에서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제외</t>
    </r>
    <r>
      <rPr>
        <b/>
        <sz val="14"/>
        <color theme="1"/>
        <rFont val="Arial"/>
        <family val="2"/>
      </rPr>
      <t>)</t>
    </r>
  </si>
  <si>
    <r>
      <rPr>
        <b/>
        <sz val="14"/>
        <color theme="1"/>
        <rFont val="맑은 고딕"/>
        <family val="3"/>
        <charset val="129"/>
      </rPr>
      <t>누적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일자리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창출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현황</t>
    </r>
    <r>
      <rPr>
        <b/>
        <sz val="14"/>
        <color theme="1"/>
        <rFont val="Arial"/>
        <family val="2"/>
      </rPr>
      <t xml:space="preserve"> ('26.6</t>
    </r>
    <r>
      <rPr>
        <b/>
        <sz val="14"/>
        <color theme="1"/>
        <rFont val="맑은 고딕"/>
        <family val="3"/>
        <charset val="129"/>
      </rPr>
      <t>월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기준</t>
    </r>
    <r>
      <rPr>
        <b/>
        <sz val="14"/>
        <color theme="1"/>
        <rFont val="Arial"/>
        <family val="2"/>
      </rPr>
      <t>)</t>
    </r>
  </si>
  <si>
    <r>
      <rPr>
        <b/>
        <sz val="16"/>
        <color rgb="FF000000"/>
        <rFont val="Arial"/>
        <family val="2"/>
      </rPr>
      <t>’26</t>
    </r>
    <r>
      <rPr>
        <b/>
        <sz val="16"/>
        <color rgb="FF000000"/>
        <rFont val="맑은 고딕"/>
        <family val="3"/>
        <charset val="129"/>
      </rPr>
      <t>년말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기준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재단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일자리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창출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현황</t>
    </r>
  </si>
  <si>
    <r>
      <rPr>
        <sz val="10"/>
        <color rgb="FF000000"/>
        <rFont val="Arial"/>
        <family val="2"/>
      </rPr>
      <t xml:space="preserve">2026.09.00. </t>
    </r>
    <r>
      <rPr>
        <sz val="10"/>
        <color rgb="FF000000"/>
        <rFont val="맑은 고딕"/>
        <family val="3"/>
        <charset val="129"/>
      </rPr>
      <t>전략팀</t>
    </r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</si>
  <si>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조사대상</t>
    </r>
    <r>
      <rPr>
        <sz val="10"/>
        <color theme="1"/>
        <rFont val="Arial"/>
        <family val="2"/>
      </rPr>
      <t xml:space="preserve"> : (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>) ‘26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맑은 고딕"/>
        <family val="3"/>
        <charset val="129"/>
      </rPr>
      <t>말까지의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배치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입주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투자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 xml:space="preserve">글로벌 </t>
    </r>
    <r>
      <rPr>
        <sz val="10"/>
        <color theme="1"/>
        <rFont val="Arial"/>
        <family val="2"/>
      </rPr>
      <t>T1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파트너트랙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</rPr>
      <t>) / (Type2) ‘25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</t>
    </r>
    <r>
      <rPr>
        <sz val="10"/>
        <color theme="1"/>
        <rFont val="맑은 고딕"/>
        <family val="3"/>
        <charset val="129"/>
      </rPr>
      <t>까지의</t>
    </r>
    <r>
      <rPr>
        <sz val="10"/>
        <color theme="1"/>
        <rFont val="Arial"/>
        <family val="2"/>
      </rPr>
      <t xml:space="preserve"> Type2
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 기업</t>
    </r>
  </si>
  <si>
    <r>
      <rPr>
        <b/>
        <sz val="10"/>
        <color theme="1"/>
        <rFont val="Arial"/>
        <family val="2"/>
      </rPr>
      <t>[</t>
    </r>
    <r>
      <rPr>
        <b/>
        <sz val="10"/>
        <color theme="1"/>
        <rFont val="Malgun Gothic"/>
        <family val="3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출처</t>
    </r>
    <r>
      <rPr>
        <b/>
        <sz val="10"/>
        <color theme="1"/>
        <rFont val="Arial"/>
        <family val="2"/>
      </rPr>
      <t>]</t>
    </r>
  </si>
  <si>
    <t>No</t>
  </si>
  <si>
    <t>구분</t>
  </si>
  <si>
    <t>패밀리사</t>
  </si>
  <si>
    <t>입주</t>
  </si>
  <si>
    <t>투자</t>
  </si>
  <si>
    <t>배치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</si>
  <si>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투자기업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편입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직전월을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맑은 고딕"/>
        <family val="3"/>
        <charset val="129"/>
      </rPr>
      <t>과거 기준시점"으로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</t>
    </r>
  </si>
  <si>
    <t>글로벌T1</t>
  </si>
  <si>
    <t>Type2</t>
  </si>
  <si>
    <t>조사 기업 수</t>
  </si>
  <si>
    <t>패밀리사 정보</t>
  </si>
  <si>
    <t>과거시점 고용인원</t>
  </si>
  <si>
    <t>최근시점 고용인원</t>
  </si>
  <si>
    <t>펀드명</t>
  </si>
  <si>
    <r>
      <rPr>
        <sz val="10"/>
        <color theme="10"/>
        <rFont val="Arial"/>
        <family val="2"/>
      </rPr>
      <t>[</t>
    </r>
    <r>
      <rPr>
        <u/>
        <sz val="10"/>
        <color theme="10"/>
        <rFont val="Arial"/>
        <family val="2"/>
      </rPr>
      <t>사업실</t>
    </r>
    <r>
      <rPr>
        <u/>
        <sz val="10"/>
        <color theme="10"/>
        <rFont val="Arial"/>
        <family val="2"/>
      </rPr>
      <t>]</t>
    </r>
    <r>
      <rPr>
        <u/>
        <sz val="10"/>
        <color theme="10"/>
        <rFont val="Arial"/>
        <family val="2"/>
      </rPr>
      <t>디캠프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전체기업정보</t>
    </r>
  </si>
  <si>
    <t>사업자등록번호</t>
  </si>
  <si>
    <t>누적 창출 일자리</t>
  </si>
  <si>
    <t>사업장명</t>
  </si>
  <si>
    <t>폐업</t>
  </si>
  <si>
    <r>
      <rPr>
        <sz val="10"/>
        <color rgb="FF000000"/>
        <rFont val="Arial"/>
        <family val="2"/>
      </rPr>
      <t>'25</t>
    </r>
    <r>
      <rPr>
        <sz val="10"/>
        <color rgb="FF000000"/>
        <rFont val="맑은 고딕"/>
        <family val="3"/>
        <charset val="129"/>
      </rPr>
      <t>년</t>
    </r>
  </si>
  <si>
    <t>n/a</t>
  </si>
  <si>
    <t>COOLMINT</t>
  </si>
  <si>
    <r>
      <rPr>
        <sz val="10"/>
        <color rgb="FF000000"/>
        <rFont val="Arial"/>
        <family val="2"/>
      </rPr>
      <t>Active(</t>
    </r>
    <r>
      <rPr>
        <sz val="10"/>
        <color rgb="FF000000"/>
        <rFont val="맑은 고딕"/>
        <family val="3"/>
        <charset val="129"/>
      </rPr>
      <t>입주)</t>
    </r>
  </si>
  <si>
    <t>겟링크스</t>
  </si>
  <si>
    <t>디씨엑스코리아</t>
  </si>
  <si>
    <t>목장커머스</t>
  </si>
  <si>
    <t>미상</t>
  </si>
  <si>
    <t>무토월드</t>
  </si>
  <si>
    <t xml:space="preserve"> - 패밀리사이면서 Type2 투자기업인 경우 둘 중 편입이 빠른 시점의 고용인원 수만 집계</t>
  </si>
  <si>
    <t>Active</t>
  </si>
  <si>
    <t>Provally Inc.</t>
  </si>
  <si>
    <r>
      <rPr>
        <sz val="10"/>
        <color theme="1"/>
        <rFont val="Arial"/>
        <family val="2"/>
      </rPr>
      <t xml:space="preserve">Type2 </t>
    </r>
    <r>
      <rPr>
        <sz val="10"/>
        <color theme="1"/>
        <rFont val="맑은 고딕"/>
        <family val="3"/>
        <charset val="129"/>
      </rPr>
      <t>투자기업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</t>
    </r>
  </si>
  <si>
    <r>
      <rPr>
        <sz val="10"/>
        <color theme="10"/>
        <rFont val="Arial"/>
        <family val="2"/>
      </rPr>
      <t xml:space="preserve">Type II </t>
    </r>
    <r>
      <rPr>
        <u/>
        <sz val="10"/>
        <color theme="10"/>
        <rFont val="Arial"/>
        <family val="2"/>
      </rPr>
      <t>포트폴리오</t>
    </r>
    <r>
      <rPr>
        <u/>
        <sz val="10"/>
        <color theme="10"/>
        <rFont val="Arial"/>
        <family val="2"/>
      </rPr>
      <t xml:space="preserve"> (25.12 </t>
    </r>
    <r>
      <rPr>
        <u/>
        <sz val="10"/>
        <color theme="10"/>
        <rFont val="Arial"/>
        <family val="2"/>
      </rPr>
      <t>기준</t>
    </r>
    <r>
      <rPr>
        <u/>
        <sz val="10"/>
        <color theme="10"/>
        <rFont val="Arial"/>
        <family val="2"/>
      </rPr>
      <t>)</t>
    </r>
  </si>
  <si>
    <t>Krew Capital Venture Fund I</t>
  </si>
  <si>
    <t>Director Labs, Inc.</t>
  </si>
  <si>
    <t>Shinhan-GB FutureFlow Fund</t>
  </si>
  <si>
    <t>해외</t>
  </si>
  <si>
    <t>12 pharmacy</t>
  </si>
  <si>
    <t>스프링캠프-KIF 초기전문 투자조합</t>
  </si>
  <si>
    <t>1849 Bio Inc</t>
  </si>
  <si>
    <t>카카오 디지털콘텐츠 펀드</t>
  </si>
  <si>
    <t>Bib-do-00011</t>
  </si>
  <si>
    <t>51GIF</t>
  </si>
  <si>
    <t>Strong Seed Fund II, L.P.</t>
  </si>
  <si>
    <t>7till8</t>
  </si>
  <si>
    <t>8omakase</t>
  </si>
  <si>
    <t>Adval-CCVC DC 창업초기 투자조합</t>
  </si>
  <si>
    <r>
      <rPr>
        <sz val="10"/>
        <color rgb="FFFF0000"/>
        <rFont val="Arial"/>
        <family val="2"/>
      </rPr>
      <t xml:space="preserve"> - Type2 </t>
    </r>
    <r>
      <rPr>
        <sz val="10"/>
        <color rgb="FFFF0000"/>
        <rFont val="맑은 고딕"/>
        <family val="3"/>
        <charset val="129"/>
      </rPr>
      <t>세컨클로징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펀드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출자건의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포트폴리오는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펀드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약정일</t>
    </r>
    <r>
      <rPr>
        <sz val="10"/>
        <color rgb="FFFF0000"/>
        <rFont val="Arial"/>
        <family val="2"/>
      </rPr>
      <t>(</t>
    </r>
    <r>
      <rPr>
        <sz val="10"/>
        <color rgb="FFFF0000"/>
        <rFont val="맑은 고딕"/>
        <family val="3"/>
        <charset val="129"/>
      </rPr>
      <t>첫콜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납입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일자</t>
    </r>
    <r>
      <rPr>
        <sz val="10"/>
        <color rgb="FFFF0000"/>
        <rFont val="Arial"/>
        <family val="2"/>
      </rPr>
      <t xml:space="preserve">) </t>
    </r>
    <r>
      <rPr>
        <sz val="10"/>
        <color rgb="FFFF0000"/>
        <rFont val="맑은 고딕"/>
        <family val="3"/>
        <charset val="129"/>
      </rPr>
      <t>직전월을</t>
    </r>
    <r>
      <rPr>
        <sz val="10"/>
        <color rgb="FFFF0000"/>
        <rFont val="Arial"/>
        <family val="2"/>
      </rPr>
      <t xml:space="preserve"> "</t>
    </r>
    <r>
      <rPr>
        <sz val="10"/>
        <color rgb="FFFF0000"/>
        <rFont val="맑은 고딕"/>
        <family val="3"/>
        <charset val="129"/>
      </rPr>
      <t>과거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기준시점</t>
    </r>
    <r>
      <rPr>
        <sz val="10"/>
        <color rgb="FFFF0000"/>
        <rFont val="Arial"/>
        <family val="2"/>
      </rPr>
      <t>"</t>
    </r>
    <r>
      <rPr>
        <sz val="10"/>
        <color rgb="FFFF0000"/>
        <rFont val="맑은 고딕"/>
        <family val="3"/>
        <charset val="129"/>
      </rPr>
      <t>으로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함</t>
    </r>
  </si>
  <si>
    <t>111-11-11111</t>
  </si>
  <si>
    <t>A DRBRAND PTE. LTD.</t>
  </si>
  <si>
    <t>임팩트 피크닉 투자조합</t>
  </si>
  <si>
    <t>SG1-00-00201</t>
  </si>
  <si>
    <t>AIRCITY GLOBAL PTE. LTD.</t>
  </si>
  <si>
    <t>Bkc-ub-00010</t>
  </si>
  <si>
    <t>ALCACRUZ INC</t>
  </si>
  <si>
    <t>스마일게이트로켓부스터3호, 더벤처스 파운더스 커뮤니티 펀드 1</t>
  </si>
  <si>
    <t>ALLSALE Corp.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</si>
  <si>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3"/>
        <charset val="129"/>
      </rPr>
      <t>월말을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맑은 고딕"/>
        <family val="3"/>
        <charset val="129"/>
      </rPr>
      <t>최근 기준시점"으로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</t>
    </r>
  </si>
  <si>
    <t>500 Global Flagship VI, L.P.</t>
  </si>
  <si>
    <t>ALORE AI INC</t>
  </si>
  <si>
    <t>Type1 감액, 매각기업</t>
  </si>
  <si>
    <t>투자전략팀 별도 확인</t>
  </si>
  <si>
    <t>스타트업코리아 카카오 코파일럿 펀드</t>
  </si>
  <si>
    <t>APOLLO STUDIO PTE LTD</t>
  </si>
  <si>
    <t>Golden Gate Ventures Fund IV</t>
  </si>
  <si>
    <t>AWE</t>
  </si>
  <si>
    <r>
      <rPr>
        <sz val="10"/>
        <color theme="1"/>
        <rFont val="Arial"/>
        <family val="2"/>
      </rPr>
      <t xml:space="preserve"> - </t>
    </r>
    <r>
      <rPr>
        <sz val="10"/>
        <color theme="1"/>
        <rFont val="맑은 고딕"/>
        <family val="3"/>
        <charset val="129"/>
      </rPr>
      <t>단</t>
    </r>
    <r>
      <rPr>
        <sz val="10"/>
        <color theme="1"/>
        <rFont val="Arial"/>
        <family val="2"/>
      </rPr>
      <t>, ‘26.6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</rPr>
      <t xml:space="preserve"> Deactive </t>
    </r>
    <r>
      <rPr>
        <sz val="10"/>
        <color theme="1"/>
        <rFont val="맑은 고딕"/>
        <family val="3"/>
        <charset val="129"/>
      </rPr>
      <t>사유</t>
    </r>
    <r>
      <rPr>
        <sz val="10"/>
        <color theme="1"/>
        <rFont val="Arial"/>
        <family val="2"/>
      </rPr>
      <t>*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빠른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시점의 월말을 최근 기준시점으로 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 xml:space="preserve">단, </t>
    </r>
    <r>
      <rPr>
        <sz val="10"/>
        <color theme="1"/>
        <rFont val="맑은 고딕"/>
        <family val="3"/>
        <charset val="129"/>
      </rPr>
      <t>감액/폐업기업은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최근 기준시점의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r>
      <rPr>
        <sz val="10"/>
        <color theme="1"/>
        <rFont val="Arial"/>
        <family val="2"/>
      </rPr>
      <t>)</t>
    </r>
  </si>
  <si>
    <t>폐업기업</t>
  </si>
  <si>
    <r>
      <rPr>
        <u/>
        <sz val="10"/>
        <color theme="10"/>
        <rFont val="Arial"/>
        <family val="2"/>
      </rPr>
      <t>국세청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사업자등록상태조회</t>
    </r>
  </si>
  <si>
    <t>Acceler8</t>
  </si>
  <si>
    <t>본엔젤스페이스메이커펀드2</t>
  </si>
  <si>
    <t>AccuPS</t>
  </si>
  <si>
    <t>더벤처스 파운더스 커뮤니티 펀드 1</t>
  </si>
  <si>
    <t>Ahma Inc.</t>
  </si>
  <si>
    <t>Type3</t>
  </si>
  <si>
    <r>
      <rPr>
        <sz val="10"/>
        <color theme="1"/>
        <rFont val="Arial"/>
        <family val="2"/>
      </rPr>
      <t xml:space="preserve">   * Deactive </t>
    </r>
    <r>
      <rPr>
        <sz val="10"/>
        <color theme="1"/>
        <rFont val="맑은 고딕"/>
        <family val="3"/>
        <charset val="129"/>
      </rPr>
      <t>사유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패밀리사의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폐업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3"/>
        <charset val="129"/>
      </rPr>
      <t>투자에만 해당하는 패밀리사의 감액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매각</t>
    </r>
    <r>
      <rPr>
        <sz val="10"/>
        <color theme="1"/>
        <rFont val="Arial"/>
        <family val="2"/>
      </rPr>
      <t xml:space="preserve"> | Type2 </t>
    </r>
    <r>
      <rPr>
        <sz val="10"/>
        <color theme="1"/>
        <rFont val="맑은 고딕"/>
        <family val="3"/>
        <charset val="129"/>
      </rPr>
      <t>펀드의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매각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청산</t>
    </r>
  </si>
  <si>
    <t>AirMembrane</t>
  </si>
  <si>
    <t>고용인원</t>
  </si>
  <si>
    <r>
      <rPr>
        <u/>
        <sz val="10"/>
        <color theme="10"/>
        <rFont val="Arial"/>
        <family val="2"/>
      </rPr>
      <t>국민연금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빅데이터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포털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Arial"/>
        <family val="2"/>
      </rPr>
      <t>디캠프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계정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통해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데이터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요청</t>
    </r>
    <r>
      <rPr>
        <u/>
        <sz val="10"/>
        <color theme="10"/>
        <rFont val="Arial"/>
        <family val="2"/>
      </rPr>
      <t>/</t>
    </r>
    <r>
      <rPr>
        <u/>
        <sz val="10"/>
        <color theme="10"/>
        <rFont val="Arial"/>
        <family val="2"/>
      </rPr>
      <t>확인</t>
    </r>
  </si>
  <si>
    <t>Aleph Lab Inc.</t>
  </si>
  <si>
    <t>AlphaZ, Inc</t>
  </si>
  <si>
    <t>Primer Sazze Fund II</t>
  </si>
  <si>
    <t>Amber Technologies Inc</t>
  </si>
  <si>
    <r>
      <rPr>
        <sz val="10"/>
        <color rgb="FFFF0000"/>
        <rFont val="Arial"/>
        <family val="2"/>
      </rPr>
      <t xml:space="preserve"> - </t>
    </r>
    <r>
      <rPr>
        <sz val="10"/>
        <color rgb="FFFF0000"/>
        <rFont val="맑은 고딕"/>
        <family val="3"/>
        <charset val="129"/>
      </rPr>
      <t>단</t>
    </r>
    <r>
      <rPr>
        <sz val="10"/>
        <color rgb="FFFF0000"/>
        <rFont val="Arial"/>
        <family val="2"/>
      </rPr>
      <t xml:space="preserve">, Deactive </t>
    </r>
    <r>
      <rPr>
        <sz val="10"/>
        <color rgb="FFFF0000"/>
        <rFont val="맑은 고딕"/>
        <family val="3"/>
        <charset val="129"/>
      </rPr>
      <t>기업이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패밀리사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또는</t>
    </r>
    <r>
      <rPr>
        <sz val="10"/>
        <color rgb="FFFF0000"/>
        <rFont val="Arial"/>
        <family val="2"/>
      </rPr>
      <t xml:space="preserve"> Type2 </t>
    </r>
    <r>
      <rPr>
        <sz val="10"/>
        <color rgb="FFFF0000"/>
        <rFont val="맑은 고딕"/>
        <family val="3"/>
        <charset val="129"/>
      </rPr>
      <t>투자기업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중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하나로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계속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편입되어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있는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경우에는</t>
    </r>
    <r>
      <rPr>
        <sz val="10"/>
        <color rgb="FFFF0000"/>
        <rFont val="Arial"/>
        <family val="2"/>
      </rPr>
      <t xml:space="preserve"> '26.6</t>
    </r>
    <r>
      <rPr>
        <sz val="10"/>
        <color rgb="FFFF0000"/>
        <rFont val="맑은 고딕"/>
        <family val="3"/>
        <charset val="129"/>
      </rPr>
      <t>월말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시점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기준의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고용인원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수를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집계</t>
    </r>
  </si>
  <si>
    <t>케이디비 퀀텀 모빌리티 밸류체인 오픈이노베이션펀드</t>
  </si>
  <si>
    <r>
      <rPr>
        <sz val="10"/>
        <color rgb="FF000000"/>
        <rFont val="Arial"/>
        <family val="2"/>
      </rPr>
      <t>'26</t>
    </r>
    <r>
      <rPr>
        <sz val="10"/>
        <color rgb="FF000000"/>
        <rFont val="맑은 고딕"/>
        <family val="3"/>
        <charset val="129"/>
      </rPr>
      <t>년 상반기</t>
    </r>
  </si>
  <si>
    <t>(공란)</t>
  </si>
  <si>
    <t>Amogy Inc.</t>
  </si>
  <si>
    <r>
      <rPr>
        <u/>
        <sz val="10"/>
        <color theme="10"/>
        <rFont val="맑은 고딕"/>
        <family val="3"/>
        <charset val="129"/>
      </rPr>
      <t>더브이씨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맑은 고딕"/>
        <family val="3"/>
        <charset val="129"/>
      </rPr>
      <t>스타트업별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맑은 고딕"/>
        <family val="3"/>
        <charset val="129"/>
      </rPr>
      <t>고용인원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맑은 고딕"/>
        <family val="3"/>
        <charset val="129"/>
      </rPr>
      <t>데이터</t>
    </r>
    <r>
      <rPr>
        <u/>
        <sz val="10"/>
        <color theme="10"/>
        <rFont val="Arial"/>
        <family val="2"/>
      </rPr>
      <t>(</t>
    </r>
    <r>
      <rPr>
        <u/>
        <sz val="10"/>
        <color theme="10"/>
        <rFont val="맑은 고딕"/>
        <family val="3"/>
        <charset val="129"/>
      </rPr>
      <t>국민연금정보 기준</t>
    </r>
    <r>
      <rPr>
        <u/>
        <sz val="10"/>
        <color theme="10"/>
        <rFont val="Arial"/>
        <family val="2"/>
      </rPr>
      <t>)</t>
    </r>
  </si>
  <si>
    <t>Analog AI</t>
  </si>
  <si>
    <t>Aquila</t>
  </si>
  <si>
    <t>Cento III</t>
  </si>
  <si>
    <t>Aqwire Pte Ltd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</si>
  <si>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 xml:space="preserve">년 반기 고용증감 집계시, </t>
    </r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까지</t>
    </r>
    <r>
      <rPr>
        <sz val="10"/>
        <color theme="1"/>
        <rFont val="Arial"/>
        <family val="2"/>
      </rPr>
      <t xml:space="preserve"> Deactive </t>
    </r>
    <r>
      <rPr>
        <sz val="10"/>
        <color theme="1"/>
        <rFont val="맑은 고딕"/>
        <family val="3"/>
        <charset val="129"/>
      </rPr>
      <t>사유가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기업은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과거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기준시점과 무관하게 고용증감을 "</t>
    </r>
    <r>
      <rPr>
        <sz val="10"/>
        <color theme="1"/>
        <rFont val="Arial"/>
        <family val="2"/>
      </rPr>
      <t>N/A"</t>
    </r>
    <r>
      <rPr>
        <sz val="10"/>
        <color theme="1"/>
        <rFont val="맑은 고딕"/>
        <family val="3"/>
        <charset val="129"/>
      </rPr>
      <t>로 표기하여 집계에서 제외</t>
    </r>
  </si>
  <si>
    <t>Strong Ventures V, L.P.</t>
  </si>
  <si>
    <r>
      <rPr>
        <u/>
        <sz val="10"/>
        <color theme="10"/>
        <rFont val="Arial"/>
        <family val="2"/>
      </rPr>
      <t>크레탑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Arial"/>
        <family val="2"/>
      </rPr>
      <t>기업별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종업원현황</t>
    </r>
    <r>
      <rPr>
        <u/>
        <sz val="10"/>
        <color theme="10"/>
        <rFont val="Arial"/>
        <family val="2"/>
      </rPr>
      <t>(</t>
    </r>
    <r>
      <rPr>
        <u/>
        <sz val="10"/>
        <color theme="10"/>
        <rFont val="Arial"/>
        <family val="2"/>
      </rPr>
      <t>국민연금정보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기준</t>
    </r>
    <r>
      <rPr>
        <u/>
        <sz val="10"/>
        <color theme="10"/>
        <rFont val="Arial"/>
        <family val="2"/>
      </rPr>
      <t>)</t>
    </r>
  </si>
  <si>
    <t>Ares3 dba Honest Flower</t>
  </si>
  <si>
    <t>Arkadiah</t>
  </si>
  <si>
    <t>KIP SOUTHEAST ASIA VENTURE FUND I</t>
  </si>
  <si>
    <t>Arummi Foods Pte. Ltd</t>
  </si>
  <si>
    <t>※ Type2 포트폴리오 중 스테이지엑스(라구나 스케일업 6호)는 25.12월말 투자 이후 계약 미이행으로 투자 철회되어 포트폴리오 리스트에서 제외됨</t>
  </si>
  <si>
    <t>DGDV Fund Ⅲ E.L.P. Cayman</t>
  </si>
  <si>
    <t>Asha Health, Inc.</t>
  </si>
  <si>
    <t>Auditboard</t>
  </si>
  <si>
    <t>※ 국민연금 조사불가 데이터(오래된 시점의 데이터 등) 는 크레탑, 더브이씨 등재 데이터를 기반으로 기재(조사 불가할 경우 1명으로 기재)</t>
  </si>
  <si>
    <t>Autosana, Inc.</t>
  </si>
  <si>
    <t>스파크랩코리아 액셀러레이터 제4호 투자조합</t>
  </si>
  <si>
    <t>BROTS SRL</t>
  </si>
  <si>
    <t>아이엠엠 Japan 핵심기술 벤처펀드 제1호</t>
  </si>
  <si>
    <t>Ball Wave</t>
  </si>
  <si>
    <t>Baniql Corp.</t>
  </si>
  <si>
    <t>Baya</t>
  </si>
  <si>
    <t>누적</t>
  </si>
  <si>
    <r>
      <rPr>
        <b/>
        <sz val="10"/>
        <color theme="1"/>
        <rFont val="Arial"/>
        <family val="2"/>
      </rPr>
      <t xml:space="preserve">26 </t>
    </r>
    <r>
      <rPr>
        <b/>
        <sz val="10"/>
        <color theme="1"/>
        <rFont val="맑은 고딕"/>
        <family val="3"/>
        <charset val="129"/>
      </rPr>
      <t>반기</t>
    </r>
    <r>
      <rPr>
        <b/>
        <sz val="10"/>
        <color theme="1"/>
        <rFont val="Arial"/>
        <family val="2"/>
      </rPr>
      <t xml:space="preserve"> </t>
    </r>
  </si>
  <si>
    <t>Beaubble, Inc.</t>
  </si>
  <si>
    <t>과거</t>
  </si>
  <si>
    <r>
      <rPr>
        <b/>
        <sz val="10"/>
        <color theme="1"/>
        <rFont val="Arial"/>
        <family val="2"/>
      </rPr>
      <t>25</t>
    </r>
    <r>
      <rPr>
        <b/>
        <sz val="10"/>
        <color theme="1"/>
        <rFont val="맑은 고딕"/>
        <family val="3"/>
        <charset val="129"/>
      </rPr>
      <t>년말</t>
    </r>
  </si>
  <si>
    <t>Big Tech+</t>
  </si>
  <si>
    <t>최근</t>
  </si>
  <si>
    <r>
      <rPr>
        <b/>
        <sz val="10"/>
        <color theme="1"/>
        <rFont val="Arial"/>
        <family val="2"/>
      </rPr>
      <t xml:space="preserve">Deactive </t>
    </r>
    <r>
      <rPr>
        <b/>
        <sz val="10"/>
        <color theme="1"/>
        <rFont val="맑은 고딕"/>
        <family val="3"/>
        <charset val="129"/>
      </rPr>
      <t>사유</t>
    </r>
  </si>
  <si>
    <t>BinaryVR, Inc.</t>
  </si>
  <si>
    <t>25.12월 기준</t>
  </si>
  <si>
    <t>26.6월 기준</t>
  </si>
  <si>
    <t>신한 코그니티브 청년창업 투자조합</t>
  </si>
  <si>
    <t>패밀리사 누적</t>
  </si>
  <si>
    <t>Bioblast Pharma Ltd.</t>
  </si>
  <si>
    <t>Type2 누적</t>
  </si>
  <si>
    <t>패밀리사 '26반기</t>
  </si>
  <si>
    <t>Type2 '26반기</t>
  </si>
  <si>
    <t>순위용(동점보정)</t>
  </si>
  <si>
    <t>베이스업템포벤처투자조합</t>
  </si>
  <si>
    <t>BitterSweet, Inc.</t>
  </si>
  <si>
    <t>Bitwise Asset Management</t>
  </si>
  <si>
    <t>Primer Sazze Fund I</t>
  </si>
  <si>
    <t>Bobidi</t>
  </si>
  <si>
    <t>베이스업템포벤처투자조합, 더벤처스 파운더스 커뮤니티 펀드 1</t>
  </si>
  <si>
    <t>Bone Inc.</t>
  </si>
  <si>
    <t>Type3
(일자리펀드 25.12월 기준 업데이트 예정)</t>
  </si>
  <si>
    <t>본엔젤스페이스메이커펀드1</t>
  </si>
  <si>
    <t>조사대상</t>
  </si>
  <si>
    <t>BoostIO(舊,MAISIN&amp;CO.)</t>
  </si>
  <si>
    <t>과거 기준시점</t>
  </si>
  <si>
    <t>Bootloader</t>
  </si>
  <si>
    <r>
      <rPr>
        <b/>
        <sz val="10"/>
        <color theme="1"/>
        <rFont val="Arial"/>
        <family val="2"/>
      </rPr>
      <t>25</t>
    </r>
    <r>
      <rPr>
        <b/>
        <sz val="10"/>
        <color theme="1"/>
        <rFont val="맑은 고딕"/>
        <family val="3"/>
        <charset val="129"/>
      </rPr>
      <t>년말 시점</t>
    </r>
  </si>
  <si>
    <t>최근 기준시점</t>
  </si>
  <si>
    <t>고용증감</t>
  </si>
  <si>
    <t>Bounce Wellness</t>
  </si>
  <si>
    <t>발생시점</t>
  </si>
  <si>
    <t>폐업(전체)</t>
  </si>
  <si>
    <t>퓨처플레이 뉴-엔터테인먼트펀드</t>
  </si>
  <si>
    <t>999-99-60051</t>
  </si>
  <si>
    <t>BraveTurtles Inc.</t>
  </si>
  <si>
    <t>감액(Type1)</t>
  </si>
  <si>
    <t>매각(Type1)</t>
  </si>
  <si>
    <t>청산/매각(Type2)</t>
  </si>
  <si>
    <t>특이사항</t>
  </si>
  <si>
    <t>고용인원(A')</t>
  </si>
  <si>
    <t>Altos Korea Opportunity Fund, L.P.</t>
  </si>
  <si>
    <t>Brideasmart</t>
  </si>
  <si>
    <t>고용인원(B')</t>
  </si>
  <si>
    <t>증감(분석용)</t>
  </si>
  <si>
    <t>AA+행번호</t>
  </si>
  <si>
    <t>AB+행번호</t>
  </si>
  <si>
    <t>AC+행번호</t>
  </si>
  <si>
    <t>AD+행번호</t>
  </si>
  <si>
    <t>Build Block, Inc</t>
  </si>
  <si>
    <t>라구나 스케일업 펀드 제6호</t>
  </si>
  <si>
    <t>But Beautiful Co.</t>
  </si>
  <si>
    <t>(주)코멤텍</t>
  </si>
  <si>
    <t>BuyerSight</t>
  </si>
  <si>
    <t>CACH</t>
  </si>
  <si>
    <t>CLEAR(舊,Arcterus)</t>
  </si>
  <si>
    <t>CONTENT CREATORS PTE.LTD.</t>
  </si>
  <si>
    <t>SG1-00-00188</t>
  </si>
  <si>
    <t>COOKY HOLDCO PTE.LTD</t>
  </si>
  <si>
    <t>스타트업코리아 카카오 코파일럿 펀드, 스마일게이트로켓부스터3호</t>
  </si>
  <si>
    <t>CUTBACK CORPORATION</t>
  </si>
  <si>
    <t>Cambrium GmbH</t>
  </si>
  <si>
    <t>US1-00-00984</t>
  </si>
  <si>
    <t>Capture6 Corp</t>
  </si>
  <si>
    <t>Cardinal Gray Incorporated</t>
  </si>
  <si>
    <t>Carry on</t>
  </si>
  <si>
    <t>Ceeya, Inc.</t>
  </si>
  <si>
    <t>Cellid</t>
  </si>
  <si>
    <t>Center Stage Hobby</t>
  </si>
  <si>
    <t>ChannelMeter</t>
  </si>
  <si>
    <t>Chartmetric, Inc</t>
  </si>
  <si>
    <t>Chequer Global, Inc. (QueryPie)</t>
  </si>
  <si>
    <r>
      <rPr>
        <b/>
        <sz val="10"/>
        <color rgb="FF000000"/>
        <rFont val="맑은 고딕"/>
        <family val="3"/>
        <charset val="129"/>
      </rPr>
      <t>※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전년대비 조사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방법의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주요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변화</t>
    </r>
  </si>
  <si>
    <t>Chopp</t>
  </si>
  <si>
    <r>
      <rPr>
        <sz val="10"/>
        <color rgb="FF000000"/>
        <rFont val="Arial"/>
        <family val="2"/>
      </rPr>
      <t xml:space="preserve"> 1) </t>
    </r>
    <r>
      <rPr>
        <sz val="10"/>
        <color rgb="FF000000"/>
        <rFont val="맑은 고딕"/>
        <family val="3"/>
        <charset val="129"/>
      </rPr>
      <t>패밀리사 범위에 "글로벌</t>
    </r>
    <r>
      <rPr>
        <sz val="10"/>
        <color rgb="FF000000"/>
        <rFont val="Arial"/>
        <family val="2"/>
      </rPr>
      <t xml:space="preserve">T1" </t>
    </r>
    <r>
      <rPr>
        <sz val="10"/>
        <color rgb="FF000000"/>
        <rFont val="맑은 고딕"/>
        <family val="3"/>
        <charset val="129"/>
      </rPr>
      <t>추가 반영</t>
    </r>
  </si>
  <si>
    <t>Claythis Inc.</t>
  </si>
  <si>
    <r>
      <rPr>
        <sz val="10"/>
        <color rgb="FF000000"/>
        <rFont val="Arial"/>
        <family val="2"/>
      </rPr>
      <t xml:space="preserve"> 2) </t>
    </r>
    <r>
      <rPr>
        <sz val="10"/>
        <color rgb="FF000000"/>
        <rFont val="맑은 고딕"/>
        <family val="3"/>
        <charset val="129"/>
      </rPr>
      <t xml:space="preserve">패밀리사 </t>
    </r>
    <r>
      <rPr>
        <sz val="10"/>
        <color rgb="FF000000"/>
        <rFont val="Arial"/>
        <family val="2"/>
      </rPr>
      <t xml:space="preserve">Deactive </t>
    </r>
    <r>
      <rPr>
        <sz val="10"/>
        <color rgb="FF000000"/>
        <rFont val="맑은 고딕"/>
        <family val="3"/>
        <charset val="129"/>
      </rPr>
      <t>사유 조건을 변경</t>
    </r>
  </si>
  <si>
    <t>Clika</t>
  </si>
  <si>
    <t>에이벤처스 W 유니콘 투자조합 2호</t>
  </si>
  <si>
    <r>
      <rPr>
        <sz val="10"/>
        <color rgb="FF000000"/>
        <rFont val="Arial"/>
        <family val="2"/>
      </rPr>
      <t xml:space="preserve">   - (</t>
    </r>
    <r>
      <rPr>
        <sz val="10"/>
        <color rgb="FF000000"/>
        <rFont val="맑은 고딕"/>
        <family val="3"/>
        <charset val="129"/>
      </rPr>
      <t>기존) 패밀리사가 감액, 매각, 폐업하는 경우 Deactive로 분류</t>
    </r>
  </si>
  <si>
    <t>Colorado Holdco</t>
  </si>
  <si>
    <t>Conductor Quantum, Inc.</t>
  </si>
  <si>
    <r>
      <rPr>
        <sz val="10"/>
        <color rgb="FF000000"/>
        <rFont val="Arial"/>
        <family val="2"/>
      </rPr>
      <t xml:space="preserve">   - (</t>
    </r>
    <r>
      <rPr>
        <sz val="10"/>
        <color rgb="FF000000"/>
        <rFont val="맑은 고딕"/>
        <family val="3"/>
        <charset val="129"/>
      </rPr>
      <t>변경) 패밀리사 중 "투자"에만 해당하는 기업이 감액, 매각하는 경우에만 Deactive로 분류(폐업은 계속 Deactive로 분류)</t>
    </r>
  </si>
  <si>
    <t>87--47-62522(EIN)</t>
  </si>
  <si>
    <t>Contoro Inc.</t>
  </si>
  <si>
    <r>
      <rPr>
        <sz val="10"/>
        <color rgb="FF000000"/>
        <rFont val="Arial"/>
        <family val="2"/>
      </rPr>
      <t xml:space="preserve"> 3) '25</t>
    </r>
    <r>
      <rPr>
        <sz val="10"/>
        <color rgb="FF000000"/>
        <rFont val="맑은 고딕"/>
        <family val="3"/>
        <charset val="129"/>
      </rPr>
      <t xml:space="preserve">년 하반기 </t>
    </r>
    <r>
      <rPr>
        <sz val="10"/>
        <color rgb="FF000000"/>
        <rFont val="Arial"/>
        <family val="2"/>
      </rPr>
      <t xml:space="preserve">Type2 </t>
    </r>
    <r>
      <rPr>
        <sz val="10"/>
        <color rgb="FF000000"/>
        <rFont val="맑은 고딕"/>
        <family val="3"/>
        <charset val="129"/>
      </rPr>
      <t>세컨클로징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펀드가 편입됨에 따라 이에 따른 기준시점 조건 생성</t>
    </r>
  </si>
  <si>
    <t>Covalent Inc. (Kippo)</t>
  </si>
  <si>
    <r>
      <rPr>
        <sz val="10"/>
        <color rgb="FF000000"/>
        <rFont val="Arial"/>
        <family val="2"/>
      </rPr>
      <t xml:space="preserve">   - </t>
    </r>
    <r>
      <rPr>
        <sz val="10"/>
        <color rgb="FF000000"/>
        <rFont val="맑은 고딕"/>
        <family val="3"/>
        <charset val="129"/>
      </rPr>
      <t>세컨클로징 펀드의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포트폴리오는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약정일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첫콜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납입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일자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직전월을</t>
    </r>
    <r>
      <rPr>
        <sz val="10"/>
        <color rgb="FF000000"/>
        <rFont val="Arial"/>
        <family val="2"/>
      </rPr>
      <t xml:space="preserve"> "</t>
    </r>
    <r>
      <rPr>
        <sz val="10"/>
        <color rgb="FF000000"/>
        <rFont val="맑은 고딕"/>
        <family val="3"/>
        <charset val="129"/>
      </rPr>
      <t>과거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기준시점</t>
    </r>
    <r>
      <rPr>
        <sz val="10"/>
        <color rgb="FF000000"/>
        <rFont val="Arial"/>
        <family val="2"/>
      </rPr>
      <t>"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</t>
    </r>
  </si>
  <si>
    <t>CrePass</t>
  </si>
  <si>
    <t xml:space="preserve"> 3) "사업자번호 정정" 분류 삭제(사업자번호를 포함, 정정 필요힌 데이터는 원천 데이터 관리자에 공유하여 데이터 완결성에 기여)</t>
  </si>
  <si>
    <t xml:space="preserve">   - 검색불가 기업 336개사만 별도 정리하여 명기</t>
  </si>
  <si>
    <t>KDBC-FP 테크넥스트 투자조합 1호</t>
  </si>
  <si>
    <t>Crocus Energy, Inc</t>
  </si>
  <si>
    <t>스마일게이트로켓부스터3호</t>
  </si>
  <si>
    <t>Cuckoo Labs, Inc.</t>
  </si>
  <si>
    <t>□ '26년 상반기 집계 결과</t>
  </si>
  <si>
    <t>DKB Brands, Inc.</t>
  </si>
  <si>
    <t>(개사, 명)</t>
  </si>
  <si>
    <t>버튼테크놀로지</t>
  </si>
  <si>
    <t>Decade. Inc.</t>
  </si>
  <si>
    <t>Deepintothe Pte. Ltd.</t>
  </si>
  <si>
    <t>조사기업 수</t>
  </si>
  <si>
    <t>Deview Communications</t>
  </si>
  <si>
    <t>'26년 상반기</t>
  </si>
  <si>
    <t>Dinari, Inc.</t>
  </si>
  <si>
    <t>Primer Sazze Fund I, Primer Sazze Fund II</t>
  </si>
  <si>
    <t>Direct Cloud</t>
  </si>
  <si>
    <t>500비디오스</t>
  </si>
  <si>
    <t>-</t>
  </si>
  <si>
    <t>Discotech</t>
  </si>
  <si>
    <t>과거 고용인원
(A)</t>
  </si>
  <si>
    <t>Dojima Inc.</t>
  </si>
  <si>
    <t>최근 고용인원
(B)</t>
  </si>
  <si>
    <t>증감수
(C=B-A)</t>
  </si>
  <si>
    <t>증감율(%)
(C/A)</t>
  </si>
  <si>
    <t>Doxa Holdings International Pte Ltd</t>
  </si>
  <si>
    <t>패밀리사 및 Type2_중복제거 (가)</t>
  </si>
  <si>
    <t>999-99-65562</t>
  </si>
  <si>
    <t>EV Motors Japan</t>
  </si>
  <si>
    <t>(주)널리소프트</t>
  </si>
  <si>
    <t>Edvance Digital Pte Ltd</t>
  </si>
  <si>
    <t>Eezee Pte Ltd</t>
  </si>
  <si>
    <t>En-Dolphin Corp</t>
  </si>
  <si>
    <t>Encore AI Labs, Inc.</t>
  </si>
  <si>
    <t>다이나메딕(주)</t>
  </si>
  <si>
    <t>Endo Health, Inc.</t>
  </si>
  <si>
    <t>999-99-60292</t>
  </si>
  <si>
    <t>Esquared Capital Limited(Klook)</t>
  </si>
  <si>
    <t>Essen</t>
  </si>
  <si>
    <t>FACTBASE(舊,Ezmom)</t>
  </si>
  <si>
    <t>(주)탄소중립연구원</t>
  </si>
  <si>
    <t>FIRST CVC㈱</t>
  </si>
  <si>
    <t>SG1-00-00193</t>
  </si>
  <si>
    <t>FORTE BIOTECH PTE. LTD.</t>
  </si>
  <si>
    <t>Faber Ops Pte Ltd</t>
  </si>
  <si>
    <t>FaceTory</t>
  </si>
  <si>
    <t>Fastrepl, Inc.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</si>
  <si>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스피드플로어</t>
    </r>
  </si>
  <si>
    <t>Feed Each Other</t>
  </si>
  <si>
    <t>Feedme Pte Ltd</t>
  </si>
  <si>
    <t>Finfra Tech Holdings Pte Ltd</t>
  </si>
  <si>
    <t>(주)스튜디오8</t>
  </si>
  <si>
    <t>FingerTips Lab</t>
  </si>
  <si>
    <t>Finku</t>
  </si>
  <si>
    <t>Finswer</t>
  </si>
  <si>
    <t>Fleak Tech Inc.</t>
  </si>
  <si>
    <t>소개요</t>
  </si>
  <si>
    <t>Fliption Inc</t>
  </si>
  <si>
    <t>Flow State Media</t>
  </si>
  <si>
    <t>Flyx</t>
  </si>
  <si>
    <t>Forged Sports, Inc.</t>
  </si>
  <si>
    <t>ShuShu Cosmetic</t>
  </si>
  <si>
    <t>라구나 스케일업 펀드 제6호, Primer Sazze Fund II</t>
  </si>
  <si>
    <t>Fridays Lab</t>
  </si>
  <si>
    <t>Frontman, Inc.</t>
  </si>
  <si>
    <t>GENERATIVE MEDICAL, INC.</t>
  </si>
  <si>
    <t>GIGR, Inc.</t>
  </si>
  <si>
    <t>글로벌텍스프리(주)</t>
  </si>
  <si>
    <t>Geem, Inc.</t>
  </si>
  <si>
    <t>Genban, Inc.</t>
  </si>
  <si>
    <t>Giboo, Inc.</t>
  </si>
  <si>
    <t>청산/매각</t>
  </si>
  <si>
    <t>프로젝트노아</t>
  </si>
  <si>
    <t>Glassdome</t>
  </si>
  <si>
    <t>Griffin Bank Ltd</t>
  </si>
  <si>
    <t>H2 Inc.</t>
  </si>
  <si>
    <t>(주)스파이더랩</t>
  </si>
  <si>
    <t>Bib-do-00004</t>
  </si>
  <si>
    <t>HYPRESENSE INC</t>
  </si>
  <si>
    <t>Halfmore, Inc.</t>
  </si>
  <si>
    <t>뮤렉스퍼플3호투자조합</t>
  </si>
  <si>
    <t>Handiers, Inc.</t>
  </si>
  <si>
    <t>Harper Group Corp.</t>
  </si>
  <si>
    <t>케이투레이저시스템</t>
  </si>
  <si>
    <t>Helicare</t>
  </si>
  <si>
    <t>Hellocafe</t>
  </si>
  <si>
    <t>Herbie Innovations, Inc.</t>
  </si>
  <si>
    <t>(주)뉴젠솔루션</t>
  </si>
  <si>
    <t>Huespace, Inc.</t>
  </si>
  <si>
    <t>Humanscape</t>
  </si>
  <si>
    <t>Hush Technology</t>
  </si>
  <si>
    <t>Bib-do-00010</t>
  </si>
  <si>
    <t>INTELON OPTICS INC</t>
  </si>
  <si>
    <t>뮤렉스퍼플1호투자조합</t>
  </si>
  <si>
    <t>Bib-do-00001</t>
  </si>
  <si>
    <t>ImpriMed, inc.</t>
  </si>
  <si>
    <t>텀블벅</t>
  </si>
  <si>
    <t>Infinite Hourglass</t>
  </si>
  <si>
    <t>Inventure Technology</t>
  </si>
  <si>
    <t>JAMJA</t>
  </si>
  <si>
    <t>JIGO AI, INC.</t>
  </si>
  <si>
    <t>(주)헬스허브</t>
  </si>
  <si>
    <t>Jubilee</t>
  </si>
  <si>
    <t>OC2-40-007</t>
  </si>
  <si>
    <t>K-Day Inc.</t>
  </si>
  <si>
    <t>KBrews (Makku)</t>
  </si>
  <si>
    <t>Bib-do-00012</t>
  </si>
  <si>
    <t>KOODING INC</t>
  </si>
  <si>
    <t>다비오</t>
  </si>
  <si>
    <t>KPOP Foods, Inc.</t>
  </si>
  <si>
    <t>Kaigene Inc</t>
  </si>
  <si>
    <t>Active('26.6월말 현재 영업중인 패밀리사)</t>
  </si>
  <si>
    <t>엠버스</t>
  </si>
  <si>
    <t>Keye, Inc.</t>
  </si>
  <si>
    <t>Khameleon Inc.</t>
  </si>
  <si>
    <t>Kindercastle</t>
  </si>
  <si>
    <t>스마일게이트로켓부스터3호, 스마트대한민국유티씨비대면투자조합</t>
  </si>
  <si>
    <t>Kkinee, Inc.</t>
  </si>
  <si>
    <t>(주)뱅크샐러드</t>
  </si>
  <si>
    <t>994-98-94988</t>
  </si>
  <si>
    <t>Klikit Pte. Ltd.</t>
  </si>
  <si>
    <t>Kyte Dynamics, Inc.</t>
  </si>
  <si>
    <t>LA SOJU CORP.</t>
  </si>
  <si>
    <t>LITEVIEW(舊.Pulit)</t>
  </si>
  <si>
    <t>캐플릭스</t>
  </si>
  <si>
    <t>LOKA TRAVEL</t>
  </si>
  <si>
    <t>LOVO, Inc.</t>
  </si>
  <si>
    <t>Lateral SV</t>
  </si>
  <si>
    <t>LeadIQ</t>
  </si>
  <si>
    <t>퓨처플레이 뉴-엔터테인먼트펀드, KDBC-FP 테크넥스트 투자조합 1호</t>
  </si>
  <si>
    <t>컨트롤클로더</t>
  </si>
  <si>
    <t>000-00-0</t>
  </si>
  <si>
    <t>LifeCanvas Technologies Inc</t>
  </si>
  <si>
    <t>Lightbound Studio</t>
  </si>
  <si>
    <t>Lilac Research, Inc.</t>
  </si>
  <si>
    <t>Locofy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</si>
  <si>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</si>
  <si>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주식회사후즈굿</t>
  </si>
  <si>
    <t>Love &amp; Fury, Inc.</t>
  </si>
  <si>
    <t>LuaBio ApS</t>
  </si>
  <si>
    <t>감액/매각된 입주 패밀리사</t>
  </si>
  <si>
    <t>Luckmon Inc</t>
  </si>
  <si>
    <t>Lune, Inc</t>
  </si>
  <si>
    <t>MAGO</t>
  </si>
  <si>
    <t>(주)직토</t>
  </si>
  <si>
    <t>MEKONG LEISURE TRAVEL</t>
  </si>
  <si>
    <t>MG Innovation Lab, Inc. (Globaleur)</t>
  </si>
  <si>
    <t>MINT NFT, Inc</t>
  </si>
  <si>
    <t>MODOC AI, INC.</t>
  </si>
  <si>
    <t>캠스콘</t>
  </si>
  <si>
    <t>Magic Hour AI, Inc.</t>
  </si>
  <si>
    <t>MakeItSkin</t>
  </si>
  <si>
    <t>084-90-16090</t>
  </si>
  <si>
    <t>Makmur Sejatehra Organik</t>
  </si>
  <si>
    <t>하이리움산업(주)</t>
  </si>
  <si>
    <t>Market Stadium</t>
  </si>
  <si>
    <t>Match Group</t>
  </si>
  <si>
    <t>지역혁신 스마트시티 D3 벤처투자조합</t>
  </si>
  <si>
    <t>Mathpresso SG Pre.Ltd.</t>
  </si>
  <si>
    <t>Maton, Inc.</t>
  </si>
  <si>
    <t>(주)식탁이있는삶</t>
  </si>
  <si>
    <t>Maya Labs</t>
  </si>
  <si>
    <t>Medic Life Sciences Inc</t>
  </si>
  <si>
    <t>Meraki Place Inc</t>
  </si>
  <si>
    <t xml:space="preserve"> ㄴ Deactive 1) 폐업</t>
  </si>
  <si>
    <t>MightyFly, Inc.</t>
  </si>
  <si>
    <t>(주)에스투엔터테인먼트</t>
  </si>
  <si>
    <t>Miso</t>
  </si>
  <si>
    <t>Moloco</t>
  </si>
  <si>
    <t>More Labs</t>
  </si>
  <si>
    <t>(주)피플앤스토리</t>
  </si>
  <si>
    <t>Motion2AI</t>
  </si>
  <si>
    <t>NIBBLES PBC</t>
  </si>
  <si>
    <t>Navier</t>
  </si>
  <si>
    <t>주식회사카본사우루스</t>
  </si>
  <si>
    <t>Nitra Inc</t>
  </si>
  <si>
    <t>Norae</t>
  </si>
  <si>
    <t>Nurture</t>
  </si>
  <si>
    <t xml:space="preserve"> ㄴ Deactive 2) 감액_"투자"에만 해당하는 패밀리사</t>
  </si>
  <si>
    <t>Nuvola Technology</t>
  </si>
  <si>
    <t>(주)다노</t>
  </si>
  <si>
    <t>OHTNYC</t>
  </si>
  <si>
    <t>Bib-do-00008</t>
  </si>
  <si>
    <t>OING PTE LTD</t>
  </si>
  <si>
    <t>Okage</t>
  </si>
  <si>
    <t>(주)루트에너지</t>
  </si>
  <si>
    <t>On Off, Inc.</t>
  </si>
  <si>
    <t>OneRule, Inc.</t>
  </si>
  <si>
    <t>Opactor Inc.</t>
  </si>
  <si>
    <t>(주)뤼이드</t>
  </si>
  <si>
    <t>OpenAxis Inc</t>
  </si>
  <si>
    <t>OpenPlan Inc.</t>
  </si>
  <si>
    <t>OptimizerAI, Inc.</t>
  </si>
  <si>
    <t>Orca Software Pte Ltd</t>
  </si>
  <si>
    <t>(주)럭스로보</t>
  </si>
  <si>
    <t>Otetsutabi</t>
  </si>
  <si>
    <t>Ovitz</t>
  </si>
  <si>
    <t>PAKET</t>
  </si>
  <si>
    <t>PAPAMO</t>
  </si>
  <si>
    <t>Bib-do-00009</t>
  </si>
  <si>
    <t>PLAYSNAK INC</t>
  </si>
  <si>
    <t>(주)소리를보는통로</t>
  </si>
  <si>
    <t>PODO LABS</t>
  </si>
  <si>
    <t>SG1-00-00210</t>
  </si>
  <si>
    <t>PREFER PTE. LTD.</t>
  </si>
  <si>
    <t>SG1-00-00208</t>
  </si>
  <si>
    <t>PRESIGHT PTE. LTD.</t>
  </si>
  <si>
    <t>Paraform Inc</t>
  </si>
  <si>
    <t>(주)뉴지스탁</t>
  </si>
  <si>
    <t>Pen Technology Inc.</t>
  </si>
  <si>
    <t>Penrose Studios</t>
  </si>
  <si>
    <t>Pickle, Inc.</t>
  </si>
  <si>
    <t>OC2-40-006</t>
  </si>
  <si>
    <t>(주)글로브포인트</t>
  </si>
  <si>
    <t>Pixell Global Inc.</t>
  </si>
  <si>
    <t>Platoon, Inc.</t>
  </si>
  <si>
    <t xml:space="preserve"> ㄴ Deactive 3) 매각_"투자"에만 해당하는 패밀리사</t>
  </si>
  <si>
    <t>PlayHT, Inc</t>
  </si>
  <si>
    <t>Polymerize</t>
  </si>
  <si>
    <t>Popfizz Corp</t>
  </si>
  <si>
    <t>(주)원더스</t>
  </si>
  <si>
    <t>Pracbiz Pte Ltd</t>
  </si>
  <si>
    <t>Pragma</t>
  </si>
  <si>
    <t>Primer Season 7</t>
  </si>
  <si>
    <t>ProCredit Pte Ltd</t>
  </si>
  <si>
    <t>주식회사 나인와트</t>
  </si>
  <si>
    <t>999-99-60040</t>
  </si>
  <si>
    <t>Project Pluto, Inc.</t>
  </si>
  <si>
    <t>Prompt Driven inc</t>
  </si>
  <si>
    <t>Property Scout Holdings Pte Ltd</t>
  </si>
  <si>
    <t>Pump Billing Inc.</t>
  </si>
  <si>
    <t>한미르(주)</t>
  </si>
  <si>
    <t>PurpleSmartAI, Inc. (d.b.a. Pony)</t>
  </si>
  <si>
    <t>QUILL NOTES INC</t>
  </si>
  <si>
    <t>Queue Q (THAILAND)</t>
  </si>
  <si>
    <t>IL1-00-00044</t>
  </si>
  <si>
    <t>RAPTOR BIO LTD.</t>
  </si>
  <si>
    <t>(주)넥셀</t>
  </si>
  <si>
    <t>Radish Media</t>
  </si>
  <si>
    <t>Rael</t>
  </si>
  <si>
    <t>디쓰리 임팩트 벤처투자조합 제2호</t>
  </si>
  <si>
    <t>US1-00-00686</t>
  </si>
  <si>
    <t>Rainfall,Inc</t>
  </si>
  <si>
    <t>애트니</t>
  </si>
  <si>
    <t>Relixir, Inc.</t>
  </si>
  <si>
    <t>Repurpose Energy</t>
  </si>
  <si>
    <t>Respo</t>
  </si>
  <si>
    <t>Rush Order</t>
  </si>
  <si>
    <t>모드엑스</t>
  </si>
  <si>
    <t>VN1-00-00033</t>
  </si>
  <si>
    <t>SELEX SMART ELECTRIC VEHICLES JOINT STOCK COMPANY</t>
  </si>
  <si>
    <t>Sakana AI K.K.</t>
  </si>
  <si>
    <t>Sava Lakh, Inc.</t>
  </si>
  <si>
    <t>Sirius Technologies Pte Ltd</t>
  </si>
  <si>
    <t>내이루리(주)</t>
  </si>
  <si>
    <t>SkillBench, Inc.</t>
  </si>
  <si>
    <t>Smart Bricks Holdings Ltd</t>
  </si>
  <si>
    <t>Smoking Tiger</t>
  </si>
  <si>
    <t>Social Radio Company, Inc</t>
  </si>
  <si>
    <t>에티포스</t>
  </si>
  <si>
    <t>Solomon Labs Inc.</t>
  </si>
  <si>
    <t>Sool</t>
  </si>
  <si>
    <t>Steel Bot, Inc.</t>
  </si>
  <si>
    <t>스마트 대한민국 라구나 비대면 펀드 제4호</t>
  </si>
  <si>
    <t>Bla-gu-00004</t>
  </si>
  <si>
    <t>Steinfeld Co.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</si>
  <si>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</si>
  <si>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시큐그래프</t>
  </si>
  <si>
    <t>Storia Originals, Inc.</t>
  </si>
  <si>
    <t>Storika, Inc.</t>
  </si>
  <si>
    <t>감액/매각된 입주 패밀리사
'25년 경평에 없었던 기존 패밀리사('25 일자리현황에는 있었음)</t>
  </si>
  <si>
    <t>Bib-do-00002</t>
  </si>
  <si>
    <t>Superb AI, Inc.</t>
  </si>
  <si>
    <t>Sutol Bio, Inc.</t>
  </si>
  <si>
    <t>Swit Technologies Inc</t>
  </si>
  <si>
    <t>부루다콘서트</t>
  </si>
  <si>
    <t>Sylvan Labs, Inc. (f.k.a. LiLiMuk, Inc.)</t>
  </si>
  <si>
    <t>Symmetry Dimensions(舊,Dverse)</t>
  </si>
  <si>
    <t>TEES IT TOGETHER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</si>
  <si>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</si>
  <si>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Active(운용중인 펀드의 영업중인 피투자사)</t>
  </si>
  <si>
    <t>몽가타주식회사</t>
  </si>
  <si>
    <t>THREAD SOLUTIONS INC</t>
  </si>
  <si>
    <t>카카오-신한 제1호 트나이트 투자조합</t>
  </si>
  <si>
    <t>Bkc-ub-00011</t>
  </si>
  <si>
    <t>THUMB TECHNOLOGIES INC</t>
  </si>
  <si>
    <t>Bib-do-00007</t>
  </si>
  <si>
    <t>TIMETREE INC</t>
  </si>
  <si>
    <t>TUNABLE BIOSYSTEMS INC</t>
  </si>
  <si>
    <t>주식회사 로아스</t>
  </si>
  <si>
    <t>Tamade Inc (Flowly)</t>
  </si>
  <si>
    <t>Tapas Media</t>
  </si>
  <si>
    <t>The Librarian</t>
  </si>
  <si>
    <t>바디온</t>
  </si>
  <si>
    <t>스프링캠프-KIF 초기전문 투자조합, 더벤처스 파운더스 커뮤니티 펀드 1</t>
  </si>
  <si>
    <t>The Plug Drink, Inc.</t>
  </si>
  <si>
    <t>Theta One, Inc.</t>
  </si>
  <si>
    <t>Things</t>
  </si>
  <si>
    <t>(주)컨버전연구소</t>
  </si>
  <si>
    <t>Tititada</t>
  </si>
  <si>
    <t>Tokenz</t>
  </si>
  <si>
    <t>Tornyol Systems Inc.</t>
  </si>
  <si>
    <t>핀디랩</t>
  </si>
  <si>
    <t>Traimmu</t>
  </si>
  <si>
    <t>Trillion Labs Inc.</t>
  </si>
  <si>
    <t>Truely Pte. Ltd.</t>
  </si>
  <si>
    <t>Unprompted</t>
  </si>
  <si>
    <t>브로틴</t>
  </si>
  <si>
    <t>V-IC Pte Ltd</t>
  </si>
  <si>
    <t>VEXERE</t>
  </si>
  <si>
    <t>VOICE EVAL SYSTEMS, INC.</t>
  </si>
  <si>
    <t>Viamoss Inc.</t>
  </si>
  <si>
    <t>콘텐츠퍼스트</t>
  </si>
  <si>
    <t>VisionX Technologies</t>
  </si>
  <si>
    <t>Vivident Pte. Ltd.</t>
  </si>
  <si>
    <t>Voicetep</t>
  </si>
  <si>
    <t>펀프레소</t>
  </si>
  <si>
    <t>WHILL</t>
  </si>
  <si>
    <t>Weavel, Inc.</t>
  </si>
  <si>
    <t>Wheel Go Fast, Inc.</t>
  </si>
  <si>
    <t>WhiteCoat</t>
  </si>
  <si>
    <t>Wooltari USA</t>
  </si>
  <si>
    <t>파인넥스주식회사</t>
  </si>
  <si>
    <t xml:space="preserve"> ㄴ Deactive 2) 청산/매각 펀드 포트폴리오</t>
  </si>
  <si>
    <t>Workwise Solutions Inc. (d.b.a. Bandana)</t>
  </si>
  <si>
    <t>XLR Games, Inc.</t>
  </si>
  <si>
    <t>XOAI Technologies Pte Ltd</t>
  </si>
  <si>
    <t>주식회사 클라우다이크(구 ASD KOREA)</t>
  </si>
  <si>
    <t>Bkc-ub-00007</t>
  </si>
  <si>
    <t>YTEAMS PTE LTD</t>
  </si>
  <si>
    <t>YesPlz, Inc</t>
  </si>
  <si>
    <t>Yoneda Labs Inc</t>
  </si>
  <si>
    <t>오리진게임즈</t>
  </si>
  <si>
    <t>Zeabur, Inc.</t>
  </si>
  <si>
    <t>Zeno Moto Corporation</t>
  </si>
  <si>
    <t xml:space="preserve">  * 기타 데이터 제외(사업자번호 미상, 해외가업, 특수목적법인)</t>
  </si>
  <si>
    <t>Zolve Innovations Inc.</t>
  </si>
  <si>
    <t>(주)에그플랜트</t>
  </si>
  <si>
    <t>블루포인트 티핑포인트 벤처투자조합 1호</t>
  </si>
  <si>
    <t>astralQ Inc.</t>
  </si>
  <si>
    <t>Type3* (나)</t>
  </si>
  <si>
    <t>candle</t>
  </si>
  <si>
    <t>chattingcat</t>
  </si>
  <si>
    <t>캡슐코퍼레이션</t>
  </si>
  <si>
    <t>cloudike</t>
  </si>
  <si>
    <t>humans&amp; ai, inc</t>
  </si>
  <si>
    <t>성장사다리펀드1
('13.8월 ~ '24.12월)</t>
  </si>
  <si>
    <t>iQ Surgical, Inc.</t>
  </si>
  <si>
    <t>(주)캐리소프트</t>
  </si>
  <si>
    <t>kodif Inc.</t>
  </si>
  <si>
    <t>museLive Inc</t>
  </si>
  <si>
    <t>은행권일자리펀드
('18.12월 ~ '25.6월)</t>
  </si>
  <si>
    <t>odk meida</t>
  </si>
  <si>
    <t>oneminute</t>
  </si>
  <si>
    <t>㈱CAPER</t>
  </si>
  <si>
    <t>(주)와그</t>
  </si>
  <si>
    <t>누적 일자리 창출(가 + 나)</t>
  </si>
  <si>
    <t>㈱CULTA</t>
  </si>
  <si>
    <t>㈱Dioseve</t>
  </si>
  <si>
    <t>㈱Jamm</t>
  </si>
  <si>
    <t>㈱Kanaglee</t>
  </si>
  <si>
    <t>(주)큐엔티</t>
  </si>
  <si>
    <t>㈱SAMANSA</t>
  </si>
  <si>
    <t>□ 패밀리사 및 Type2 기업 일자리 증감 주요 현황</t>
  </si>
  <si>
    <t>㈱digzyme</t>
  </si>
  <si>
    <t>㈱straya</t>
  </si>
  <si>
    <t>㈱レンズ</t>
  </si>
  <si>
    <t>페이레터(주)</t>
  </si>
  <si>
    <t>글랜스미디어</t>
  </si>
  <si>
    <t>서울리스트랩(주)</t>
  </si>
  <si>
    <t>에이딘로보틱스</t>
  </si>
  <si>
    <t>비에이피제5호 핑크펭귄투자조합</t>
  </si>
  <si>
    <t>999-99-99999</t>
  </si>
  <si>
    <t>인텔리전트 하드웨어</t>
  </si>
  <si>
    <t>콴텍(주)</t>
  </si>
  <si>
    <t>000-00-00000</t>
  </si>
  <si>
    <t>EcoTruck</t>
  </si>
  <si>
    <t>Ediket Inc.</t>
  </si>
  <si>
    <t>Kryptos Biotechnologies</t>
  </si>
  <si>
    <t>트랜스링크-DAY1투자조합V</t>
  </si>
  <si>
    <t>Munice Inc.</t>
  </si>
  <si>
    <t>Pixelic, Inc.</t>
  </si>
  <si>
    <t>(주)트라이패스</t>
  </si>
  <si>
    <t>SkyCool Systems Inc.</t>
  </si>
  <si>
    <t>Wilt Venture Builder Pte. Ltd.</t>
  </si>
  <si>
    <t>영프론트원 크릿 메타버스 펀드</t>
  </si>
  <si>
    <t>빌드블록</t>
  </si>
  <si>
    <t>크로스앵글</t>
  </si>
  <si>
    <t>요쿠스</t>
  </si>
  <si>
    <r>
      <rPr>
        <sz val="11"/>
        <color theme="1"/>
        <rFont val="맑은 고딕"/>
        <family val="3"/>
        <charset val="129"/>
      </rPr>
      <t>패스트</t>
    </r>
    <r>
      <rPr>
        <sz val="11"/>
        <color theme="1"/>
        <rFont val="Calibri"/>
        <family val="2"/>
      </rPr>
      <t xml:space="preserve"> 2022 Seed </t>
    </r>
    <r>
      <rPr>
        <sz val="11"/>
        <color theme="1"/>
        <rFont val="맑은 고딕"/>
        <family val="3"/>
        <charset val="129"/>
      </rPr>
      <t>투자조합</t>
    </r>
  </si>
  <si>
    <t>232-81-02402</t>
  </si>
  <si>
    <t>떼라</t>
  </si>
  <si>
    <r>
      <rPr>
        <sz val="11"/>
        <color theme="1"/>
        <rFont val="Calibri"/>
        <family val="2"/>
      </rPr>
      <t xml:space="preserve">KDBC-FP </t>
    </r>
    <r>
      <rPr>
        <sz val="11"/>
        <color theme="1"/>
        <rFont val="맑은 고딕"/>
        <family val="3"/>
        <charset val="129"/>
      </rPr>
      <t>테크넥스트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투자조합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맑은 고딕"/>
        <family val="3"/>
        <charset val="129"/>
      </rPr>
      <t>호</t>
    </r>
  </si>
  <si>
    <t>998-49-84890</t>
  </si>
  <si>
    <t>PLANETARIUM LABS PTE. LTD.</t>
  </si>
  <si>
    <t>(주)옐로모바일</t>
  </si>
  <si>
    <t>베이스아누아뷰티벤처조합</t>
  </si>
  <si>
    <t>귤메달</t>
  </si>
  <si>
    <t>미디어자몽</t>
  </si>
  <si>
    <t>잘못된 사업자번호</t>
  </si>
  <si>
    <t>프라이머 시즌5</t>
  </si>
  <si>
    <t>프라이머 시즌4</t>
  </si>
  <si>
    <t>(주)비브로스</t>
  </si>
  <si>
    <t>프라이머 프로라타1호</t>
  </si>
  <si>
    <t>열정팩토리</t>
  </si>
  <si>
    <t>주식회사 이벤터스</t>
  </si>
  <si>
    <t>욜카고</t>
  </si>
  <si>
    <t>웨슬리 (Wesley Inc)</t>
  </si>
  <si>
    <t>힐링페이퍼</t>
  </si>
  <si>
    <t>주식회사 마이크로인피니티</t>
  </si>
  <si>
    <t>Hokies(舊,엔에프랩)</t>
  </si>
  <si>
    <t>주식회사 크리에이츠</t>
  </si>
  <si>
    <t>테라바이트랩스(구 엔비져블)</t>
  </si>
  <si>
    <t>(주)엔라이즈</t>
  </si>
  <si>
    <t>인피니소프트</t>
  </si>
  <si>
    <t>어스얼라이언스(주)</t>
  </si>
  <si>
    <t>Deactive or 고용0 기업</t>
  </si>
  <si>
    <t>(주)토룩</t>
  </si>
  <si>
    <t>홀릭스팩토리</t>
  </si>
  <si>
    <t>뱁션</t>
  </si>
  <si>
    <t>머티어리얼사이언스(주)</t>
  </si>
  <si>
    <t>(주)에버스핀</t>
  </si>
  <si>
    <t>버킷플레이스</t>
  </si>
  <si>
    <t>(주)스칸디에듀</t>
  </si>
  <si>
    <t>Golerobotics</t>
  </si>
  <si>
    <t>블루문(구.코인매니저)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</si>
  <si>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</si>
  <si>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 피엠그로우</t>
  </si>
  <si>
    <t>비석세스</t>
  </si>
  <si>
    <t>Zigbang</t>
  </si>
  <si>
    <t>Woowa Brothers</t>
  </si>
  <si>
    <t>(주)원유니버스</t>
  </si>
  <si>
    <t>브레인커머스</t>
  </si>
  <si>
    <t>(주)아이페이지온</t>
  </si>
  <si>
    <t>와이피소프트</t>
  </si>
  <si>
    <t>(주)시웨이브</t>
  </si>
  <si>
    <t>Viva Republica</t>
  </si>
  <si>
    <t>피플앤드테크놀로지</t>
  </si>
  <si>
    <t>테이스트샵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</si>
  <si>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</si>
  <si>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□ 조사 집계 기준</t>
  </si>
  <si>
    <t>마인드퀘이크</t>
  </si>
  <si>
    <t>조사방법</t>
  </si>
  <si>
    <t>조사대상 기간</t>
  </si>
  <si>
    <t>브레이브팝스컴퍼니</t>
  </si>
  <si>
    <t>과거시점 기준</t>
  </si>
  <si>
    <t>최근시점 기준</t>
  </si>
  <si>
    <t>(주)미스터픽</t>
  </si>
  <si>
    <t>‘26년 상반기 까지의
배치·입주·투자·글로벌T1 기업
(파트너트랙 입주 제외)</t>
  </si>
  <si>
    <t>사업자등록번호 조회가 가능한 조사대상 기업의 과거시점 대비 최근시점 고용인원 수를 국민연금공단에 의뢰하여 집계</t>
  </si>
  <si>
    <t>패밀리사 또는 Type2 투자기업 편입 직전월
 - 패밀리사이면서 Type2 투자기업인 경우 둘 중 편입이 빠른 시점의 고용인원 수만 집계(중복제거)
 - ‘25년 단년도 실적 조회시 ‘24년 이전 편입된 기업은 ‘24.12월을 기준으로 함</t>
  </si>
  <si>
    <t>바이탈힌트</t>
  </si>
  <si>
    <t>’26.6월말
 - ‘26.6월 전 Deactive 사유*가 발생한 기업은 각 발생 시기 중 빠른 시점 기준의 고용인원 수를 집계(감액기업은 고용인원 0으로 처리)
   * (패밀리사) 폐업, 감액, 매각
     (Type2) 펀드 매각/청산
 - 단, Deactive 기업이 패밀리사 또는 Type2 투자기업 중 하나로 계속 편입되어 있는 경우에는 ‘25.12월말 시점 기준의 고용인원 수를 집계</t>
  </si>
  <si>
    <t>Type2 투자기업</t>
  </si>
  <si>
    <t>‘25년 12월까지의
출자펀드 투자기업</t>
  </si>
  <si>
    <t>스트림라이저</t>
  </si>
  <si>
    <t>성장사다리펀드1</t>
  </si>
  <si>
    <t>자펀드 투자기업</t>
  </si>
  <si>
    <t>보유기업은 과거 대비 현재 고용인원 수를,
중도 매각기업은 과거 대비 매각 직전의 고용인원 수를 성장금융에 의뢰하여 집계</t>
  </si>
  <si>
    <t>투자 직전월 ~ ‘24.12월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</si>
  <si>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</si>
  <si>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 오더플러스(구 엑스바엑스)</t>
  </si>
  <si>
    <t>은행권일자리펀드</t>
  </si>
  <si>
    <t>투자 직전월 ~ ‘25.6월</t>
  </si>
  <si>
    <t>리니어블</t>
  </si>
  <si>
    <t>Soomgo (숨고)</t>
  </si>
  <si>
    <t>스튜디오씨드코리아주식회사</t>
  </si>
  <si>
    <t>주식회사 이노마드</t>
  </si>
  <si>
    <t>(주)무스마</t>
  </si>
  <si>
    <t>매각</t>
  </si>
  <si>
    <t>파트너</t>
  </si>
  <si>
    <t>2. Type2 투자기업 추출 기준</t>
  </si>
  <si>
    <t>오션스바이오주식회사</t>
  </si>
  <si>
    <r>
      <rPr>
        <sz val="10"/>
        <color rgb="FF000000"/>
        <rFont val="Arial"/>
        <family val="2"/>
      </rPr>
      <t xml:space="preserve"> 1) </t>
    </r>
    <r>
      <rPr>
        <sz val="10"/>
        <color rgb="FF000000"/>
        <rFont val="맑은 고딕"/>
        <family val="3"/>
        <charset val="129"/>
      </rPr>
      <t>펀드팀에서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펀드별</t>
    </r>
    <r>
      <rPr>
        <sz val="10"/>
        <color rgb="FF000000"/>
        <rFont val="Arial"/>
        <family val="2"/>
      </rPr>
      <t xml:space="preserve"> ‘25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온</t>
    </r>
    <r>
      <rPr>
        <sz val="10"/>
        <color rgb="FF000000"/>
        <rFont val="맑은 고딕"/>
        <family val="3"/>
        <charset val="129"/>
      </rPr>
      <t>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운영보고서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집계한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포트폴리오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대상으로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</t>
    </r>
  </si>
  <si>
    <r>
      <rPr>
        <sz val="10"/>
        <color rgb="FF000000"/>
        <rFont val="Arial"/>
        <family val="2"/>
      </rPr>
      <t xml:space="preserve"> 2) </t>
    </r>
    <r>
      <rPr>
        <sz val="10"/>
        <color rgb="FF000000"/>
        <rFont val="맑은 고딕"/>
        <family val="3"/>
        <charset val="129"/>
      </rPr>
      <t>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과거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청산한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아이디어브릿지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문화콘텐츠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포트폴리오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제외</t>
    </r>
  </si>
  <si>
    <t>3. Type3 일자리 데이터 업데이트 시점</t>
  </si>
  <si>
    <t>(주)한일에프에이</t>
  </si>
  <si>
    <r>
      <rPr>
        <sz val="10"/>
        <color rgb="FF0000FF"/>
        <rFont val="맑은 고딕"/>
        <family val="3"/>
        <charset val="129"/>
      </rPr>
      <t>ㅇ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성장사다리</t>
    </r>
    <r>
      <rPr>
        <sz val="10"/>
        <color rgb="FF0000FF"/>
        <rFont val="Arial"/>
        <family val="2"/>
      </rPr>
      <t>1 : ‘25</t>
    </r>
    <r>
      <rPr>
        <sz val="10"/>
        <color rgb="FF0000FF"/>
        <rFont val="맑은 고딕"/>
        <family val="3"/>
        <charset val="129"/>
      </rPr>
      <t>년말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데이터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내년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상반기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중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받을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예정</t>
    </r>
    <r>
      <rPr>
        <sz val="10"/>
        <color rgb="FF0000FF"/>
        <rFont val="Arial"/>
        <family val="2"/>
      </rPr>
      <t>(</t>
    </r>
    <r>
      <rPr>
        <sz val="10"/>
        <color rgb="FF0000FF"/>
        <rFont val="맑은 고딕"/>
        <family val="3"/>
        <charset val="129"/>
      </rPr>
      <t>업데이트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주기</t>
    </r>
    <r>
      <rPr>
        <sz val="10"/>
        <color rgb="FF0000FF"/>
        <rFont val="Arial"/>
        <family val="2"/>
      </rPr>
      <t xml:space="preserve"> 1</t>
    </r>
    <r>
      <rPr>
        <sz val="10"/>
        <color rgb="FF0000FF"/>
        <rFont val="맑은 고딕"/>
        <family val="3"/>
        <charset val="129"/>
      </rPr>
      <t>년</t>
    </r>
    <r>
      <rPr>
        <sz val="10"/>
        <color rgb="FF0000FF"/>
        <rFont val="Arial"/>
        <family val="2"/>
      </rPr>
      <t>)</t>
    </r>
  </si>
  <si>
    <r>
      <rPr>
        <sz val="10"/>
        <color rgb="FF0000FF"/>
        <rFont val="맑은 고딕"/>
        <family val="3"/>
        <charset val="129"/>
      </rPr>
      <t>ㅇ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일자리펀드</t>
    </r>
    <r>
      <rPr>
        <sz val="10"/>
        <color rgb="FF0000FF"/>
        <rFont val="Arial"/>
        <family val="2"/>
      </rPr>
      <t xml:space="preserve"> : '26.6</t>
    </r>
    <r>
      <rPr>
        <sz val="10"/>
        <color rgb="FF0000FF"/>
        <rFont val="맑은 고딕"/>
        <family val="3"/>
        <charset val="129"/>
      </rPr>
      <t>월말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데이터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올해</t>
    </r>
    <r>
      <rPr>
        <sz val="10"/>
        <color rgb="FF0000FF"/>
        <rFont val="Arial"/>
        <family val="2"/>
      </rPr>
      <t xml:space="preserve"> 10~11</t>
    </r>
    <r>
      <rPr>
        <sz val="10"/>
        <color rgb="FF0000FF"/>
        <rFont val="맑은 고딕"/>
        <family val="3"/>
        <charset val="129"/>
      </rPr>
      <t>월에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받을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예정</t>
    </r>
    <r>
      <rPr>
        <sz val="10"/>
        <color rgb="FF0000FF"/>
        <rFont val="Arial"/>
        <family val="2"/>
      </rPr>
      <t>(</t>
    </r>
    <r>
      <rPr>
        <sz val="10"/>
        <color rgb="FF0000FF"/>
        <rFont val="맑은 고딕"/>
        <family val="3"/>
        <charset val="129"/>
      </rPr>
      <t>업데이트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주기</t>
    </r>
    <r>
      <rPr>
        <sz val="10"/>
        <color rgb="FF0000FF"/>
        <rFont val="Arial"/>
        <family val="2"/>
      </rPr>
      <t xml:space="preserve"> 6</t>
    </r>
    <r>
      <rPr>
        <sz val="10"/>
        <color rgb="FF0000FF"/>
        <rFont val="맑은 고딕"/>
        <family val="3"/>
        <charset val="129"/>
      </rPr>
      <t>개월</t>
    </r>
    <r>
      <rPr>
        <sz val="10"/>
        <color rgb="FF0000FF"/>
        <rFont val="Arial"/>
        <family val="2"/>
      </rPr>
      <t>)</t>
    </r>
  </si>
  <si>
    <r>
      <rPr>
        <sz val="10"/>
        <color rgb="FF0000FF"/>
        <rFont val="맑은 고딕"/>
        <family val="3"/>
        <charset val="129"/>
      </rPr>
      <t>ㅇ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성장사다리</t>
    </r>
    <r>
      <rPr>
        <sz val="10"/>
        <color rgb="FF0000FF"/>
        <rFont val="Arial"/>
        <family val="2"/>
      </rPr>
      <t>2 : ’27</t>
    </r>
    <r>
      <rPr>
        <sz val="10"/>
        <color rgb="FF0000FF"/>
        <rFont val="맑은 고딕"/>
        <family val="3"/>
        <charset val="129"/>
      </rPr>
      <t>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하반기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부터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확인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가능할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예정</t>
    </r>
    <r>
      <rPr>
        <sz val="10"/>
        <color rgb="FF0000FF"/>
        <rFont val="Arial"/>
        <family val="2"/>
      </rPr>
      <t>(</t>
    </r>
    <r>
      <rPr>
        <sz val="10"/>
        <color rgb="FF0000FF"/>
        <rFont val="맑은 고딕"/>
        <family val="3"/>
        <charset val="129"/>
      </rPr>
      <t>산업은행에서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조사</t>
    </r>
    <r>
      <rPr>
        <sz val="10"/>
        <color rgb="FF0000FF"/>
        <rFont val="Arial"/>
        <family val="2"/>
      </rPr>
      <t>)</t>
    </r>
  </si>
  <si>
    <t>(주)씨엠아이텍</t>
  </si>
  <si>
    <r>
      <rPr>
        <sz val="10"/>
        <color rgb="FF0000FF"/>
        <rFont val="Arial"/>
        <family val="2"/>
      </rPr>
      <t xml:space="preserve">  - ’27</t>
    </r>
    <r>
      <rPr>
        <sz val="10"/>
        <color rgb="FF0000FF"/>
        <rFont val="맑은 고딕"/>
        <family val="3"/>
        <charset val="129"/>
      </rPr>
      <t>년도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하반기</t>
    </r>
    <r>
      <rPr>
        <sz val="10"/>
        <color rgb="FF0000FF"/>
        <rFont val="Arial"/>
        <family val="2"/>
      </rPr>
      <t xml:space="preserve"> : ’24</t>
    </r>
    <r>
      <rPr>
        <sz val="10"/>
        <color rgb="FF0000FF"/>
        <rFont val="맑은 고딕"/>
        <family val="3"/>
        <charset val="129"/>
      </rPr>
      <t>년도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출자펀드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포트폴리오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대상</t>
    </r>
    <r>
      <rPr>
        <sz val="10"/>
        <color rgb="FF0000FF"/>
        <rFont val="Arial"/>
        <family val="2"/>
      </rPr>
      <t xml:space="preserve"> ‘26</t>
    </r>
    <r>
      <rPr>
        <sz val="10"/>
        <color rgb="FF0000FF"/>
        <rFont val="맑은 고딕"/>
        <family val="3"/>
        <charset val="129"/>
      </rPr>
      <t>년말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기준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데이터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조사</t>
    </r>
  </si>
  <si>
    <r>
      <rPr>
        <sz val="10"/>
        <color rgb="FF0000FF"/>
        <rFont val="Arial"/>
        <family val="2"/>
      </rPr>
      <t xml:space="preserve">  - ‘28</t>
    </r>
    <r>
      <rPr>
        <sz val="10"/>
        <color rgb="FF0000FF"/>
        <rFont val="맑은 고딕"/>
        <family val="3"/>
        <charset val="129"/>
      </rPr>
      <t>년도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하반기</t>
    </r>
    <r>
      <rPr>
        <sz val="10"/>
        <color rgb="FF0000FF"/>
        <rFont val="Arial"/>
        <family val="2"/>
      </rPr>
      <t xml:space="preserve"> : ‘24~’25</t>
    </r>
    <r>
      <rPr>
        <sz val="10"/>
        <color rgb="FF0000FF"/>
        <rFont val="맑은 고딕"/>
        <family val="3"/>
        <charset val="129"/>
      </rPr>
      <t>년도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출자펀드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포트폴리오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대상</t>
    </r>
    <r>
      <rPr>
        <sz val="10"/>
        <color rgb="FF0000FF"/>
        <rFont val="Arial"/>
        <family val="2"/>
      </rPr>
      <t xml:space="preserve"> ’27</t>
    </r>
    <r>
      <rPr>
        <sz val="10"/>
        <color rgb="FF0000FF"/>
        <rFont val="맑은 고딕"/>
        <family val="3"/>
        <charset val="129"/>
      </rPr>
      <t>년말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기준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데이터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조사</t>
    </r>
  </si>
  <si>
    <r>
      <rPr>
        <sz val="10"/>
        <color rgb="FF0000FF"/>
        <rFont val="Arial"/>
        <family val="2"/>
      </rPr>
      <t xml:space="preserve">  - '29</t>
    </r>
    <r>
      <rPr>
        <sz val="10"/>
        <color rgb="FF0000FF"/>
        <rFont val="맑은 고딕"/>
        <family val="3"/>
        <charset val="129"/>
      </rPr>
      <t>년도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하반기</t>
    </r>
    <r>
      <rPr>
        <sz val="10"/>
        <color rgb="FF0000FF"/>
        <rFont val="Arial"/>
        <family val="2"/>
      </rPr>
      <t xml:space="preserve"> : ‘24~’26</t>
    </r>
    <r>
      <rPr>
        <sz val="10"/>
        <color rgb="FF0000FF"/>
        <rFont val="맑은 고딕"/>
        <family val="3"/>
        <charset val="129"/>
      </rPr>
      <t>년도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출자펀드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포트폴리오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대상</t>
    </r>
    <r>
      <rPr>
        <sz val="10"/>
        <color rgb="FF0000FF"/>
        <rFont val="Arial"/>
        <family val="2"/>
      </rPr>
      <t xml:space="preserve"> ’28</t>
    </r>
    <r>
      <rPr>
        <sz val="10"/>
        <color rgb="FF0000FF"/>
        <rFont val="맑은 고딕"/>
        <family val="3"/>
        <charset val="129"/>
      </rPr>
      <t>년말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기준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데이터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조사</t>
    </r>
  </si>
  <si>
    <r>
      <rPr>
        <sz val="10"/>
        <color rgb="FF0000FF"/>
        <rFont val="맑은 고딕"/>
        <family val="3"/>
        <charset val="129"/>
      </rPr>
      <t>ㅇ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핀테크펀드</t>
    </r>
    <r>
      <rPr>
        <sz val="10"/>
        <color rgb="FF0000FF"/>
        <rFont val="Arial"/>
        <family val="2"/>
      </rPr>
      <t xml:space="preserve"> : </t>
    </r>
    <r>
      <rPr>
        <sz val="10"/>
        <color rgb="FF0000FF"/>
        <rFont val="맑은 고딕"/>
        <family val="3"/>
        <charset val="129"/>
      </rPr>
      <t>일자리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지표가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모펀드</t>
    </r>
    <r>
      <rPr>
        <sz val="10"/>
        <color rgb="FF0000FF"/>
        <rFont val="Arial"/>
        <family val="2"/>
      </rPr>
      <t xml:space="preserve"> KPI</t>
    </r>
    <r>
      <rPr>
        <sz val="10"/>
        <color rgb="FF0000FF"/>
        <rFont val="맑은 고딕"/>
        <family val="3"/>
        <charset val="129"/>
      </rPr>
      <t>에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해당되지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않아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일자리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데이터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집계하지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맑은 고딕"/>
        <family val="3"/>
        <charset val="129"/>
      </rPr>
      <t>않음</t>
    </r>
  </si>
  <si>
    <t>큐비트시큐리티주식회사（QubitSecurityInc．）</t>
  </si>
  <si>
    <t>수퍼게이트 주식회사</t>
  </si>
  <si>
    <t>(주)모드하우스</t>
  </si>
  <si>
    <t>넥스세라</t>
  </si>
  <si>
    <t>Bookoob</t>
  </si>
  <si>
    <t>주식회사 루북</t>
  </si>
  <si>
    <t>(주)크리모</t>
  </si>
  <si>
    <t>에이피트바이오(주)</t>
  </si>
  <si>
    <t>매치</t>
  </si>
  <si>
    <t>(주)휴넷플러스</t>
  </si>
  <si>
    <t>주식회사 에스알바이오텍</t>
  </si>
  <si>
    <t>인텔릭스(주)</t>
  </si>
  <si>
    <t>(주)디에이아이오</t>
  </si>
  <si>
    <t>니어스랩</t>
  </si>
  <si>
    <t>(주)에너테크</t>
  </si>
  <si>
    <t>(주)리치코스</t>
  </si>
  <si>
    <t>프렉탈테크놀로지(주)</t>
  </si>
  <si>
    <t>(주)너드게임즈</t>
  </si>
  <si>
    <t>(주)나인코퍼레이션</t>
  </si>
  <si>
    <t>미라텍(주)</t>
  </si>
  <si>
    <t>(주)스페이스솔루션</t>
  </si>
  <si>
    <t>(주)인트로팜텍</t>
  </si>
  <si>
    <t>(주)씨엔티솔루션</t>
  </si>
  <si>
    <t>주식회사 엔씽</t>
  </si>
  <si>
    <t>어픽스</t>
  </si>
  <si>
    <t>(주)문코퍼레이션</t>
  </si>
  <si>
    <t>리오엠엔씨 주식회사</t>
  </si>
  <si>
    <t>(주)악어디지털</t>
  </si>
  <si>
    <t>(주)알앤에스랩</t>
  </si>
  <si>
    <t>뷰노</t>
  </si>
  <si>
    <t>아우어</t>
  </si>
  <si>
    <t>주식회사 모두의셔틀</t>
  </si>
  <si>
    <t>일리오</t>
  </si>
  <si>
    <t>루먼랩(주)</t>
  </si>
  <si>
    <t>주식회사 엔포러스</t>
  </si>
  <si>
    <t>주식회사 프록시헬스케어</t>
  </si>
  <si>
    <t>이와이어라이너</t>
  </si>
  <si>
    <t>모플</t>
  </si>
  <si>
    <t>플러스티브이</t>
  </si>
  <si>
    <t>(주)닷츠코퍼레이션</t>
  </si>
  <si>
    <t>밴디스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</si>
  <si>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</si>
  <si>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주식회사이노바이드(InnovaidCo.)</t>
  </si>
  <si>
    <t>(주)커런시유나이티드</t>
  </si>
  <si>
    <t>(주)디마프</t>
  </si>
  <si>
    <t>팜커넥트주식회사</t>
  </si>
  <si>
    <t>이지템</t>
  </si>
  <si>
    <t>프랑코지</t>
  </si>
  <si>
    <t>주식회사　포휠즈</t>
  </si>
  <si>
    <t>주식회사퍼스트랩</t>
  </si>
  <si>
    <t>bookjam</t>
  </si>
  <si>
    <t>부에노컴퍼니</t>
  </si>
  <si>
    <t>(주)데키스트</t>
  </si>
  <si>
    <t>(주)유커넥</t>
  </si>
  <si>
    <t>릿코퍼레이션(주)</t>
  </si>
  <si>
    <t>메타모빌리티(주)</t>
  </si>
  <si>
    <t>주식회사 아이알엠</t>
  </si>
  <si>
    <t>애니펜(ANIPEN)</t>
  </si>
  <si>
    <t>(주)다날에프엔비</t>
  </si>
  <si>
    <t>Beatpacking</t>
  </si>
  <si>
    <t>파이브잭</t>
  </si>
  <si>
    <t>데일리</t>
  </si>
  <si>
    <t>카닥</t>
  </si>
  <si>
    <t>주식회사 채널코퍼레이션</t>
  </si>
  <si>
    <t>아하앤컴퍼니</t>
  </si>
  <si>
    <t>뉴플로이(舊,푸른밤)</t>
  </si>
  <si>
    <t>Cinamon</t>
  </si>
  <si>
    <t>주식회사맘편한세상</t>
  </si>
  <si>
    <t>주식회사레드윗</t>
  </si>
  <si>
    <t>(주)캐노피</t>
  </si>
  <si>
    <t>주식회사페어리(PairyCo.,Ltd.)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</si>
  <si>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</si>
  <si>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주식회사티켓플레이스</t>
    </r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</si>
  <si>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</si>
  <si>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아테나스랩주식회사</t>
    </r>
  </si>
  <si>
    <t>(주)카드몬스터</t>
  </si>
  <si>
    <t>(주)타이로스코프</t>
  </si>
  <si>
    <t>오비터스(주)</t>
  </si>
  <si>
    <t>(주)피알엠</t>
  </si>
  <si>
    <t>(주)이리온컴퍼니</t>
  </si>
  <si>
    <t>주식회사 지로</t>
  </si>
  <si>
    <t>빅펄(주)</t>
  </si>
  <si>
    <t>패스트파이브(주)</t>
  </si>
  <si>
    <t>(주)비알오지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</si>
  <si>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</si>
  <si>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문다</t>
    </r>
  </si>
  <si>
    <t>주식회사 마케마케</t>
  </si>
  <si>
    <t>스페이스비전에이아이주식회사</t>
  </si>
  <si>
    <t>주식회사 마이스터즈</t>
  </si>
  <si>
    <t>원셀프월드주식회사(1SelfWorldInc.)</t>
  </si>
  <si>
    <t>브링코</t>
  </si>
  <si>
    <t>휴가중</t>
  </si>
  <si>
    <t>(주)에이딘로보틱스</t>
  </si>
  <si>
    <t>더감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</si>
  <si>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</si>
  <si>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주식회사도그메이트</t>
  </si>
  <si>
    <t>(주)자비스앤빌런즈</t>
  </si>
  <si>
    <t>(주)에스엔이바이오</t>
  </si>
  <si>
    <t>그로스핏</t>
  </si>
  <si>
    <t>인비저블아이디어(주)</t>
  </si>
  <si>
    <t>(주)트라이어즈</t>
  </si>
  <si>
    <t>오마이어스</t>
  </si>
  <si>
    <t>(주)누비랩</t>
  </si>
  <si>
    <t>(주)핀다</t>
  </si>
  <si>
    <t>(주)씨지인사이드</t>
  </si>
  <si>
    <t>(주)플레이모어</t>
  </si>
  <si>
    <t>비트로봇</t>
  </si>
  <si>
    <r>
      <rPr>
        <sz val="10"/>
        <color theme="1"/>
        <rFont val="Arial"/>
        <family val="2"/>
      </rPr>
      <t>어라운드어스</t>
    </r>
  </si>
  <si>
    <t>(주)에이블리코퍼레이션</t>
  </si>
  <si>
    <t>배임수픽쳐스(주)</t>
  </si>
  <si>
    <t>25.6월 Type2 포트폴리오 누락기업 추가(소셜벤처 피크닉 1호 투자조합)</t>
  </si>
  <si>
    <t>마인이스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</si>
  <si>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</si>
  <si>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구루미</t>
    </r>
  </si>
  <si>
    <t>(주)루시드랩</t>
  </si>
  <si>
    <t>마코빌</t>
  </si>
  <si>
    <t>트라이문</t>
  </si>
  <si>
    <t>스테이지랩스</t>
  </si>
  <si>
    <t>(주)퍼플랩스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</si>
  <si>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</si>
  <si>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주식회사엔드앤드코리아</t>
    </r>
  </si>
  <si>
    <t>(주)메타텍스쳐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</si>
  <si>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</si>
  <si>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 웨이브온(Wave On Co.,Ltd)</t>
  </si>
  <si>
    <t>주식회사 클라이원트</t>
  </si>
  <si>
    <t>(주)히든트랙</t>
  </si>
  <si>
    <t>아이오푸드</t>
  </si>
  <si>
    <t>이너부스</t>
  </si>
  <si>
    <t>(주)크래쉬컴퍼니</t>
  </si>
  <si>
    <t>(주)인큐티스</t>
  </si>
  <si>
    <t>잇츠팩토리</t>
  </si>
  <si>
    <t>AIEEV inc</t>
  </si>
  <si>
    <t>셀레브레인</t>
  </si>
  <si>
    <t>(주)세컨드유레카</t>
  </si>
  <si>
    <t>주식회사지디에프랩</t>
  </si>
  <si>
    <t>(주)하퍼</t>
  </si>
  <si>
    <t>(주)텍스트팩토리</t>
  </si>
  <si>
    <t>주식회사 김캐디</t>
  </si>
  <si>
    <t>(주)펫프렌즈</t>
  </si>
  <si>
    <t>(주)홉스</t>
  </si>
  <si>
    <t>메멘토</t>
  </si>
  <si>
    <t>인포플러스(주)</t>
  </si>
  <si>
    <t>이프비주식회사</t>
  </si>
  <si>
    <t>(주)삼십구도씨</t>
  </si>
  <si>
    <t>마블러스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</si>
  <si>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</si>
  <si>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케이존</t>
  </si>
  <si>
    <t>공유어장</t>
  </si>
  <si>
    <t>(주)심플사파리</t>
  </si>
  <si>
    <t>주식회사 듀셀</t>
  </si>
  <si>
    <t>(주)다원메닥스</t>
  </si>
  <si>
    <t>벨루가</t>
  </si>
  <si>
    <t>코티에이블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</si>
  <si>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</si>
  <si>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(주)오케이홈</t>
  </si>
  <si>
    <t>브이드림</t>
  </si>
  <si>
    <t>베이직스킨랩(주)</t>
  </si>
  <si>
    <t>(주)팬딩</t>
  </si>
  <si>
    <t>(주)엘라엘커머스</t>
  </si>
  <si>
    <t>(주)홈디</t>
  </si>
  <si>
    <t>주식회사 디에이그라운드</t>
  </si>
  <si>
    <t>어센틱스포츠</t>
  </si>
  <si>
    <t>(주)아이메디텍</t>
  </si>
  <si>
    <t>(주)한국정밀소재산업</t>
  </si>
  <si>
    <t>(주)스텝하우</t>
  </si>
  <si>
    <t>주식회사 오아시스비즈니스</t>
  </si>
  <si>
    <t>소딧</t>
  </si>
  <si>
    <t>노드원(구.이오스노드원)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</si>
  <si>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</si>
  <si>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(주)팀카이</t>
  </si>
  <si>
    <t>(주)지투지바이오</t>
  </si>
  <si>
    <t>(주)웨이브코퍼레이션</t>
  </si>
  <si>
    <t>(주)레몬베이스</t>
  </si>
  <si>
    <t>(주)스매치코퍼레이션</t>
  </si>
  <si>
    <t>(주)리걸케어</t>
  </si>
  <si>
    <t>시그니처레이블주식회사</t>
  </si>
  <si>
    <t>(주)허니비즈</t>
  </si>
  <si>
    <t>(주)두핸즈</t>
  </si>
  <si>
    <t>(유)두도시이야기이공일사</t>
  </si>
  <si>
    <t>주식회사 토브앤바나</t>
  </si>
  <si>
    <t>(주)뤼튼테크놀로지스</t>
  </si>
  <si>
    <t>터넬</t>
  </si>
  <si>
    <t>주식회사 코발트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</si>
  <si>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비엔에이치리서치</t>
    </r>
  </si>
  <si>
    <t>(주)뉴머스</t>
  </si>
  <si>
    <t>(주)코비스테크놀로지</t>
  </si>
  <si>
    <t>(주)여행노트앤투어</t>
  </si>
  <si>
    <t>(주)플록스</t>
  </si>
  <si>
    <t>그레이웨일</t>
  </si>
  <si>
    <t>주식회사 엠큐브테크놀로지</t>
  </si>
  <si>
    <t>(주)디오디</t>
  </si>
  <si>
    <t>(주)테크타카</t>
  </si>
  <si>
    <t>셰프뉴스</t>
  </si>
  <si>
    <t>(주)이파피루스</t>
  </si>
  <si>
    <t>(주)퍼스트에프엔씨</t>
  </si>
  <si>
    <t>(주)오픈갤러리</t>
  </si>
  <si>
    <t>쥬브릭스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</si>
  <si>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</si>
  <si>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주식회사쿠쿠닥스</t>
    </r>
  </si>
  <si>
    <t>스테이즈</t>
  </si>
  <si>
    <t>주식회사 엔츠</t>
  </si>
  <si>
    <t>Myrealtrip</t>
  </si>
  <si>
    <t>주식회사 위시켓</t>
  </si>
  <si>
    <t>펠루</t>
  </si>
  <si>
    <t>노즈워크</t>
  </si>
  <si>
    <t>주식회사 플라잉캣</t>
  </si>
  <si>
    <t>메텔</t>
  </si>
  <si>
    <t>자안그룹(주)</t>
  </si>
  <si>
    <t>(주)카르페</t>
  </si>
  <si>
    <t>(주)비바이노베이션</t>
  </si>
  <si>
    <t>키노톤코리아</t>
  </si>
  <si>
    <t>메이저나인</t>
  </si>
  <si>
    <t>(주)더블유컨셉코리아</t>
  </si>
  <si>
    <t>Memebox</t>
  </si>
  <si>
    <t>(주)스포카</t>
  </si>
  <si>
    <t>더퀸에이엠씨(주)</t>
  </si>
  <si>
    <t>(주)왓챠</t>
  </si>
  <si>
    <t>(주)셀러허브</t>
  </si>
  <si>
    <t>(주)오비이랩</t>
  </si>
  <si>
    <t>케어네이션(주)</t>
  </si>
  <si>
    <t>픽업스캐너</t>
  </si>
  <si>
    <t>에브리클래스</t>
  </si>
  <si>
    <t>위드로봇 주식회사</t>
  </si>
  <si>
    <t>식신(주)</t>
  </si>
  <si>
    <t>더핑크퐁컴퍼니(주)</t>
  </si>
  <si>
    <t>ADOP</t>
  </si>
  <si>
    <t>더치트 주식회사</t>
  </si>
  <si>
    <t>(주)코리아 인스트루먼트</t>
  </si>
  <si>
    <t>주식회사 나노아이오닉스코리아</t>
  </si>
  <si>
    <t>(주)윈텍글로비스</t>
  </si>
  <si>
    <t>(주)스캐터랩</t>
  </si>
  <si>
    <t>아이디어박스</t>
  </si>
  <si>
    <t>바이오메디쿠스(주)</t>
  </si>
  <si>
    <t>더알파랩스</t>
  </si>
  <si>
    <r>
      <rPr>
        <sz val="10"/>
        <color theme="1"/>
        <rFont val="Arial"/>
        <family val="2"/>
      </rPr>
      <t>베이비프렌즈</t>
    </r>
  </si>
  <si>
    <t>주식회사유니컨</t>
  </si>
  <si>
    <t>(주)엔테로바이옴</t>
  </si>
  <si>
    <t>(주)프랙탈에프엔</t>
  </si>
  <si>
    <t>주식회사 리피유</t>
  </si>
  <si>
    <t>스카이워크홀딩스</t>
  </si>
  <si>
    <t>(주)바움디자인시스템즈</t>
  </si>
  <si>
    <t>(주)스토익엔터테인먼트</t>
  </si>
  <si>
    <t>(주)엠지솔루션스</t>
  </si>
  <si>
    <t>뉴튠(주)</t>
  </si>
  <si>
    <t>(주)세나클소프트</t>
  </si>
  <si>
    <t>주식회사 데이터노우즈</t>
  </si>
  <si>
    <t>주식회사유머스트알엔디(UMUSTR&amp;D)</t>
  </si>
  <si>
    <t>(주)라피치</t>
  </si>
  <si>
    <t>(주)야놀자</t>
  </si>
  <si>
    <t>(주)마이크임팩트</t>
  </si>
  <si>
    <t>주식회사마이뮤직테이스트</t>
  </si>
  <si>
    <t>마이돌</t>
  </si>
  <si>
    <t>다섯시삼십분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</si>
  <si>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</si>
  <si>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트레이지</t>
  </si>
  <si>
    <t>메저커머스</t>
  </si>
  <si>
    <t>팝조이(주)</t>
  </si>
  <si>
    <t>코빗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</si>
  <si>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</si>
  <si>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플라이북</t>
  </si>
  <si>
    <t>무한루프</t>
  </si>
  <si>
    <t>올윈에어</t>
  </si>
  <si>
    <t>hyperconnect</t>
  </si>
  <si>
    <t>(주)온헬스넷</t>
  </si>
  <si>
    <t>(주)카이트로닉스</t>
  </si>
  <si>
    <t>(주)지냄</t>
  </si>
  <si>
    <t>어피닛</t>
  </si>
  <si>
    <t>쿼드럭스</t>
  </si>
  <si>
    <t>워시앱코리아</t>
  </si>
  <si>
    <t>(주)마이셀럽스</t>
  </si>
  <si>
    <t>주식회사 에잇퍼센트</t>
  </si>
  <si>
    <t>신발연구소</t>
  </si>
  <si>
    <t>유니드컴즈</t>
  </si>
  <si>
    <t>스테이스윗</t>
  </si>
  <si>
    <t>(주)바른</t>
  </si>
  <si>
    <t>(주)홈리에종</t>
  </si>
  <si>
    <t>(주)텍스타일리</t>
  </si>
  <si>
    <t>(주)라이브하이브</t>
  </si>
  <si>
    <t>(주)사회혁신기업더함</t>
  </si>
  <si>
    <t>주식회사 파이퍼블릭</t>
  </si>
  <si>
    <t>(주)뉴냅스</t>
  </si>
  <si>
    <t>(주)정육각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</si>
  <si>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</si>
  <si>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주식회사어브로딘</t>
  </si>
  <si>
    <t>주식회사두닷두</t>
  </si>
  <si>
    <t>주식회사라이클컴퍼니</t>
  </si>
  <si>
    <t>(주)씨티셀즈</t>
  </si>
  <si>
    <t>주식회사 이미지블</t>
  </si>
  <si>
    <t>위드멤스</t>
  </si>
  <si>
    <t>제이</t>
  </si>
  <si>
    <t>부동산다이어트</t>
  </si>
  <si>
    <t>주식회사 그리네타</t>
  </si>
  <si>
    <t>(주)나노게이트</t>
  </si>
  <si>
    <t>버드뷰</t>
  </si>
  <si>
    <t>(주)퀀텀인텔리전스</t>
  </si>
  <si>
    <t>Z.AI Inc</t>
  </si>
  <si>
    <t>(주)비트코퍼레이션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</si>
  <si>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신한 코그니티브 청년창업 투자조합</t>
    </r>
    <r>
      <rPr>
        <sz val="10"/>
        <color theme="1"/>
        <rFont val="Arial"/>
        <family val="2"/>
      </rPr>
      <t>)</t>
    </r>
  </si>
  <si>
    <t>주식회사 제트론</t>
  </si>
  <si>
    <t>신의직장</t>
  </si>
  <si>
    <t>워커린스페이스</t>
  </si>
  <si>
    <t>제트커머스코퍼레이션</t>
  </si>
  <si>
    <t>(주)토프모빌리티</t>
  </si>
  <si>
    <t>(주)카비랩</t>
  </si>
  <si>
    <t>(주)앨리스 헬스케어</t>
  </si>
  <si>
    <t>에이임팩트(주)</t>
  </si>
  <si>
    <t>주식회사 피트인</t>
  </si>
  <si>
    <t>(주)파트리지시스템즈</t>
  </si>
  <si>
    <t>셔틀타요</t>
  </si>
  <si>
    <t>(주)인플루디오</t>
  </si>
  <si>
    <t>사이오닉에이아이주식회사</t>
  </si>
  <si>
    <t>모니터코퍼레이션(주)</t>
  </si>
  <si>
    <t>(주)앳</t>
  </si>
  <si>
    <t>주식회사자버</t>
  </si>
  <si>
    <t>주식회사 브이원씨</t>
  </si>
  <si>
    <t>주식회사 메디케어텍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</si>
  <si>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</si>
  <si>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블링커스 주식회사</t>
  </si>
  <si>
    <t>디웨일</t>
  </si>
  <si>
    <t>(주)운칠기삼</t>
  </si>
  <si>
    <t>(주)아트블러드</t>
  </si>
  <si>
    <t>스타픽스</t>
  </si>
  <si>
    <t>올세일코퍼레이션</t>
  </si>
  <si>
    <t>(주)빔웍스</t>
  </si>
  <si>
    <t>패션프루트</t>
  </si>
  <si>
    <t>(주)블록오디세이</t>
  </si>
  <si>
    <t>스탠다드프렌즈</t>
  </si>
  <si>
    <t>주식회사팀워크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</si>
  <si>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</si>
  <si>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택스비 주식회사</t>
  </si>
  <si>
    <t>주식회사 랜식</t>
  </si>
  <si>
    <t>유로보틱스(주)</t>
  </si>
  <si>
    <t>주식회사 딥포인트</t>
  </si>
  <si>
    <t>(주)아크론에코</t>
  </si>
  <si>
    <t>Trip Soda</t>
  </si>
  <si>
    <t>주식회사코디미(CodiMeCo.,Ltd.)</t>
  </si>
  <si>
    <t>주식회사펫팜</t>
  </si>
  <si>
    <t>주식회사 스페이스린텍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</si>
  <si>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</si>
  <si>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넥센서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</si>
  <si>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</si>
  <si>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웨이브덱</t>
    </r>
  </si>
  <si>
    <t>주식회사 와카와카</t>
  </si>
  <si>
    <t>아이오</t>
  </si>
  <si>
    <t>핑거앤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</si>
  <si>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</si>
  <si>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주식회사제이앤피메디</t>
  </si>
  <si>
    <t>Lendit</t>
  </si>
  <si>
    <t>아미쿠스렉스</t>
  </si>
  <si>
    <t>(주)히츠</t>
  </si>
  <si>
    <t>지오게임즈</t>
  </si>
  <si>
    <t>멋집</t>
  </si>
  <si>
    <t>오렌지가든</t>
  </si>
  <si>
    <t>(주)하이메디</t>
  </si>
  <si>
    <t>패스티댄</t>
  </si>
  <si>
    <t>(주)크레이버코퍼레이션</t>
  </si>
  <si>
    <t>(주)디지소닉</t>
  </si>
  <si>
    <t>키햐</t>
  </si>
  <si>
    <t>펄스나인(구 무버스)</t>
  </si>
  <si>
    <t>주식회사플랜핏</t>
  </si>
  <si>
    <t>주식회사 트이다</t>
  </si>
  <si>
    <t>(주)딥핑소스</t>
  </si>
  <si>
    <t>7일</t>
  </si>
  <si>
    <t>(주)로앤컴퍼니</t>
  </si>
  <si>
    <t>㈜아이티엘</t>
  </si>
  <si>
    <t>(주)플럼라인생명과학</t>
  </si>
  <si>
    <t>오토위니</t>
  </si>
  <si>
    <t>타운컴퍼니</t>
  </si>
  <si>
    <t>매버릭</t>
  </si>
  <si>
    <t>테라핀테크</t>
  </si>
  <si>
    <t>나투</t>
  </si>
  <si>
    <t>(주)메타파머스</t>
  </si>
  <si>
    <t>(주)칩스케이</t>
  </si>
  <si>
    <t>바이엇(주)</t>
  </si>
  <si>
    <t>케이그라운드아이피 주식회사</t>
  </si>
  <si>
    <t>(주)뷰니브랩</t>
  </si>
  <si>
    <t>주식회사 옐로나이프</t>
  </si>
  <si>
    <t>주식회사리필리</t>
  </si>
  <si>
    <t>뉴메틱</t>
  </si>
  <si>
    <t>(주)코코넛플레이스</t>
  </si>
  <si>
    <t>(주)워키도기</t>
  </si>
  <si>
    <t>(주)플로우닉스</t>
  </si>
  <si>
    <t>주식회사모킹버드</t>
  </si>
  <si>
    <t>포그라운드</t>
  </si>
  <si>
    <r>
      <rPr>
        <sz val="10"/>
        <color theme="1"/>
        <rFont val="Arial"/>
        <family val="2"/>
      </rPr>
      <t>주식회사디스콰이엇</t>
    </r>
  </si>
  <si>
    <t>주식회사 스위트바이오</t>
  </si>
  <si>
    <t>(주)바이오오케스트라</t>
  </si>
  <si>
    <t>주식회사 피큐레잇</t>
  </si>
  <si>
    <t>클라이밋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</si>
  <si>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</si>
  <si>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미션드리븐</t>
  </si>
  <si>
    <t>데일리샷</t>
  </si>
  <si>
    <t>(주)로컬스티치</t>
  </si>
  <si>
    <t>닥터나우</t>
  </si>
  <si>
    <t>주식회사 파인더스</t>
  </si>
  <si>
    <t>주식회사로쉬코리아</t>
  </si>
  <si>
    <t>주식회사 이노밧</t>
  </si>
  <si>
    <t>코코액션클럽</t>
  </si>
  <si>
    <t>틴고랜드</t>
  </si>
  <si>
    <t>파이노버스랩</t>
  </si>
  <si>
    <t>(주)플로틱</t>
  </si>
  <si>
    <t>(주)인비고웍스</t>
  </si>
  <si>
    <t>집펀드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</si>
  <si>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</si>
  <si>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배젠</t>
  </si>
  <si>
    <t>팀오투</t>
  </si>
  <si>
    <t>바이너리브릿지</t>
  </si>
  <si>
    <t>론픽</t>
  </si>
  <si>
    <t>주식회사포스코어(POSCORECo.,Ltd)</t>
  </si>
  <si>
    <t>주식회사씨즈데이터</t>
  </si>
  <si>
    <t>주식회사 이노프렌즈</t>
  </si>
  <si>
    <t>주식회사쓰리빌리언</t>
  </si>
  <si>
    <t>주식회사 바이오리서치에이아이</t>
  </si>
  <si>
    <t>(주)브리딩</t>
  </si>
  <si>
    <t>로랩스</t>
  </si>
  <si>
    <t>SEA(舊.코드브릭)</t>
  </si>
  <si>
    <t>비에이엠코퍼레이션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</si>
  <si>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</si>
  <si>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에바(EVAR)</t>
  </si>
  <si>
    <t>(주)스포트라이트글로벌</t>
  </si>
  <si>
    <t>Mysterico</t>
  </si>
  <si>
    <t>스페이스오디티</t>
  </si>
  <si>
    <t>(주)더카본스튜디오</t>
  </si>
  <si>
    <t>(주)퓨리켐</t>
  </si>
  <si>
    <t>르몽(주)</t>
  </si>
  <si>
    <t>DaL LaLa Network Inc.</t>
  </si>
  <si>
    <t>세컨클로징 펀드 기존 포트폴리오(DGDV Fund Ⅲ E.L.P. Cayman)</t>
  </si>
  <si>
    <t>(주)트리오어</t>
  </si>
  <si>
    <t>(주)티디에스팜</t>
  </si>
  <si>
    <t>Funizen Solutions</t>
  </si>
  <si>
    <t>뉴앤디</t>
  </si>
  <si>
    <t>디샤인</t>
  </si>
  <si>
    <t>주식회사 아이에이치더블유</t>
  </si>
  <si>
    <t>(주)캐시멜로</t>
  </si>
  <si>
    <t>The Kooky Factory</t>
  </si>
  <si>
    <t>이노디테크(주)</t>
  </si>
  <si>
    <t>주식회사 인피닛블록</t>
  </si>
  <si>
    <t>(주)원모먼트</t>
  </si>
  <si>
    <t>주식회사테솔로</t>
  </si>
  <si>
    <t>(주)캔테라피</t>
  </si>
  <si>
    <t>지와이네트웍스</t>
  </si>
  <si>
    <t>23세기아이들</t>
  </si>
  <si>
    <t>나인하이어</t>
  </si>
  <si>
    <t>Volla Inc</t>
  </si>
  <si>
    <t>주식회사텍스트웨이</t>
  </si>
  <si>
    <t>주식회사 인투스페이스</t>
  </si>
  <si>
    <t>(주)쓰리세컨즈</t>
  </si>
  <si>
    <t>(주)카찹하이케어코리아</t>
  </si>
  <si>
    <t>세진식품(주)</t>
  </si>
  <si>
    <t>블루네트웍스</t>
  </si>
  <si>
    <t>(주)쓰리디컨트롤즈</t>
  </si>
  <si>
    <t>(주)무빈</t>
  </si>
  <si>
    <t>세컨클로징 펀드 기존 포트폴리오(Krew Capital Venture Fund I)</t>
  </si>
  <si>
    <t>(주)리하이</t>
  </si>
  <si>
    <t>(주)코드잇</t>
  </si>
  <si>
    <t>바이오아쳐스</t>
  </si>
  <si>
    <t>주식회사 블록웨이브랩스</t>
  </si>
  <si>
    <t>솔탑</t>
  </si>
  <si>
    <t>(주)엔솔바이오사이언스</t>
  </si>
  <si>
    <t>(주)하우빌드</t>
  </si>
  <si>
    <t>주식회사 파인에스엔에스</t>
  </si>
  <si>
    <t>(주)수젠텍</t>
  </si>
  <si>
    <t>아이엠랩</t>
  </si>
  <si>
    <t>(주)키두</t>
  </si>
  <si>
    <t>폴스타게임즈</t>
  </si>
  <si>
    <t>모바</t>
  </si>
  <si>
    <t>주식회사엘핀</t>
  </si>
  <si>
    <t>터울</t>
  </si>
  <si>
    <t>(주)비디오팩토리</t>
  </si>
  <si>
    <t>비즈(주)</t>
  </si>
  <si>
    <t>안드로메다</t>
  </si>
  <si>
    <t>(주)비주얼캠프</t>
  </si>
  <si>
    <t>브룩허스트거라지</t>
  </si>
  <si>
    <t>(주)펠레메드</t>
  </si>
  <si>
    <t>퍼플에이아이(주)</t>
  </si>
  <si>
    <t>(주)완드</t>
  </si>
  <si>
    <t>(주)퍼플랩스헬스케어</t>
  </si>
  <si>
    <t>Boarding Pass</t>
  </si>
  <si>
    <t>주식회사더블유쓰리컴퍼니(w3company)</t>
  </si>
  <si>
    <t>(주)두번째바다</t>
  </si>
  <si>
    <t>똑똑의사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</si>
  <si>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</si>
  <si>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감액</t>
  </si>
  <si>
    <t>스마트포캐스트</t>
  </si>
  <si>
    <t>주식회사 기가에떼</t>
  </si>
  <si>
    <t>주식회사 에이비스</t>
  </si>
  <si>
    <t>디스코(주)</t>
  </si>
  <si>
    <t>티밸류와이즈</t>
  </si>
  <si>
    <t>(주)도시곳간</t>
  </si>
  <si>
    <t>(주)인텔리시스</t>
  </si>
  <si>
    <t>(주)아이이에스지</t>
  </si>
  <si>
    <t>닛픽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</si>
  <si>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</si>
  <si>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마인드로직주식회사(MindlogicInc.)</t>
  </si>
  <si>
    <t>아이씨주식회사</t>
  </si>
  <si>
    <t>주식회사 쿼리파이</t>
  </si>
  <si>
    <t>주식회사디플에이치알(DeepLeHRInc.)</t>
  </si>
  <si>
    <t>히릿소프트</t>
  </si>
  <si>
    <t>VC Soft</t>
  </si>
  <si>
    <t>GroupBy HR</t>
  </si>
  <si>
    <t>주식회사스튜디오랩</t>
  </si>
  <si>
    <t>주식회사티슈오피스</t>
  </si>
  <si>
    <t>주식회사 위허들링</t>
  </si>
  <si>
    <t>(주)앵커노드</t>
  </si>
  <si>
    <t>(주)바이브라</t>
  </si>
  <si>
    <t>주식회사해브어</t>
  </si>
  <si>
    <t>(주)메테오바이오텍</t>
  </si>
  <si>
    <t>(주)다이브스튜디오스</t>
  </si>
  <si>
    <t>주식회사스트레인지플래닛</t>
  </si>
  <si>
    <t>(주)파네시아</t>
  </si>
  <si>
    <t>스토어카메라</t>
  </si>
  <si>
    <t>주식회사 탈로스</t>
  </si>
  <si>
    <t>코스모비 주식회사</t>
  </si>
  <si>
    <t>룩코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</si>
  <si>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</si>
  <si>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주식회사윌림</t>
  </si>
  <si>
    <t>이브이앤솔루션 주식회사</t>
  </si>
  <si>
    <t>허니픽</t>
  </si>
  <si>
    <t>주식회사 플코스킨</t>
  </si>
  <si>
    <t>주식회사 팀와이퍼</t>
  </si>
  <si>
    <t>주식회사세븐픽쳐스</t>
  </si>
  <si>
    <t>(주)니도컴퍼니</t>
  </si>
  <si>
    <t>아일라애니웨어</t>
  </si>
  <si>
    <t>(주)하이픈</t>
  </si>
  <si>
    <t>데이티움(주)</t>
  </si>
  <si>
    <t>(주)언박서즈</t>
  </si>
  <si>
    <t>레인버드지오(주)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</si>
  <si>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</si>
  <si>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스튜디오비사이드</t>
  </si>
  <si>
    <t>이웃벤처</t>
  </si>
  <si>
    <t>(주)코너</t>
  </si>
  <si>
    <t>메타파스</t>
  </si>
  <si>
    <t>(주)비에스지머티리얼즈</t>
  </si>
  <si>
    <t>주식회사 모두싸인</t>
  </si>
  <si>
    <t>(주)디알코퍼레이션</t>
  </si>
  <si>
    <t>(주)퓨쳐스콜레</t>
  </si>
  <si>
    <t>메이즈 주식회사</t>
  </si>
  <si>
    <t>아이디언스</t>
  </si>
  <si>
    <t>(주)브릿지웍스</t>
  </si>
  <si>
    <t>아워박스 주식회사</t>
  </si>
  <si>
    <t>주식회사코뱃(KOBAT)</t>
  </si>
  <si>
    <t>(주)유로테크</t>
  </si>
  <si>
    <t>APGreen</t>
  </si>
  <si>
    <t>브이에스피</t>
  </si>
  <si>
    <t>(주)데브언리밋</t>
  </si>
  <si>
    <t>엔스푼즈</t>
  </si>
  <si>
    <t>(주)쓰리랩스</t>
  </si>
  <si>
    <t>주식회사메디프레소</t>
  </si>
  <si>
    <t>엔브이엠</t>
  </si>
  <si>
    <t>(주)아이앤나</t>
  </si>
  <si>
    <t>주식회사 메디띵스</t>
  </si>
  <si>
    <t>(주)씨드앤</t>
  </si>
  <si>
    <t>(주)카펜스트리트</t>
  </si>
  <si>
    <t>(주)크로스포인트테라퓨틱스</t>
  </si>
  <si>
    <t>주식회사 엔플로우</t>
  </si>
  <si>
    <t>(주)임팩티브에이아이</t>
  </si>
  <si>
    <t>초록이에스지</t>
  </si>
  <si>
    <t>딥벨리데이션</t>
  </si>
  <si>
    <t>리자드스무디(주)</t>
  </si>
  <si>
    <t>주식회사포엔</t>
  </si>
  <si>
    <t>패러블엔터테인먼트</t>
  </si>
  <si>
    <t>KASA NETWORK(舊.카사코리아)</t>
  </si>
  <si>
    <t>주식회사 테이크원컴퍼니</t>
  </si>
  <si>
    <t>주식회사 콜리</t>
  </si>
  <si>
    <t>스타노스</t>
  </si>
  <si>
    <t>농업회사법인 (주)수지스링크</t>
  </si>
  <si>
    <t>킨도프(주)</t>
  </si>
  <si>
    <t>링크솔루션</t>
  </si>
  <si>
    <t>애즈위메이크</t>
  </si>
  <si>
    <t>(주)엔도핀</t>
  </si>
  <si>
    <t>(주)스테이빌리티</t>
  </si>
  <si>
    <t>(주)당근마켓</t>
  </si>
  <si>
    <t>(주)타브실리콘</t>
  </si>
  <si>
    <t>Nanonae</t>
  </si>
  <si>
    <t>(주)아이피나우</t>
  </si>
  <si>
    <t>달리셔스주식회사</t>
  </si>
  <si>
    <t>(주)엔벨롭스</t>
  </si>
  <si>
    <t>라이프샐러드(주)</t>
  </si>
  <si>
    <t>농업회사법인 새봄팜스(주)</t>
  </si>
  <si>
    <t>바이올렛페이(주)</t>
  </si>
  <si>
    <t>(주)엔닷라이트</t>
  </si>
  <si>
    <t>주식회사 비브리지</t>
  </si>
  <si>
    <t>픽홈</t>
  </si>
  <si>
    <t>(주)제틱에이아이</t>
  </si>
  <si>
    <t>주식회사에벤에셀케이(abenecelInc.)</t>
  </si>
  <si>
    <t>주식회사제로엑스플로우</t>
  </si>
  <si>
    <t>렌트리주식회사(RentreInc.)</t>
  </si>
  <si>
    <t>매스아이사</t>
  </si>
  <si>
    <t>(주)비에스리서치</t>
  </si>
  <si>
    <t>블리몽키즈</t>
  </si>
  <si>
    <t>오토텔릭바이오(주)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</si>
  <si>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</si>
  <si>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폼즈</t>
    </r>
  </si>
  <si>
    <r>
      <rPr>
        <sz val="10"/>
        <color theme="1"/>
        <rFont val="Arial"/>
        <family val="2"/>
      </rPr>
      <t>팀러너스</t>
    </r>
  </si>
  <si>
    <r>
      <rPr>
        <sz val="10"/>
        <color theme="1"/>
        <rFont val="Arial"/>
        <family val="2"/>
      </rPr>
      <t>코엠고</t>
    </r>
  </si>
  <si>
    <t>케이워크파트너스</t>
  </si>
  <si>
    <t>주식회사에이엠매니지먼트</t>
  </si>
  <si>
    <t>백엔드엑스</t>
  </si>
  <si>
    <t>(주)큐제네틱스</t>
  </si>
  <si>
    <t>아도바</t>
  </si>
  <si>
    <t>원투웨어</t>
  </si>
  <si>
    <t>(주)어스에이트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</si>
  <si>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</si>
  <si>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(주)팩토리얼</t>
  </si>
  <si>
    <t>주식회사오프널(OPENULLInc.)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</si>
  <si>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</si>
  <si>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주식회사꽃팜</t>
    </r>
  </si>
  <si>
    <t>브로컬리컴퍼니</t>
  </si>
  <si>
    <t>(주)잼잼테라퓨틱스</t>
  </si>
  <si>
    <t>주식회사애디터</t>
  </si>
  <si>
    <t>수퍼빈(주)</t>
  </si>
  <si>
    <t>ATLO dba Atto</t>
  </si>
  <si>
    <t>한국교육파트너스 주식회사</t>
  </si>
  <si>
    <r>
      <rPr>
        <sz val="10"/>
        <color theme="1"/>
        <rFont val="Arial"/>
        <family val="2"/>
      </rPr>
      <t>커넥트히어로</t>
    </r>
  </si>
  <si>
    <t>깃플</t>
  </si>
  <si>
    <t>학생독립만세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</si>
  <si>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</si>
  <si>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디앤디프라퍼티솔루션</t>
  </si>
  <si>
    <t>팀삼층</t>
  </si>
  <si>
    <t>(주)피알지에스앤텍</t>
  </si>
  <si>
    <t>(주)큐라티스</t>
  </si>
  <si>
    <t>(주)오프라이트</t>
  </si>
  <si>
    <t>주식회사 갭텍</t>
  </si>
  <si>
    <r>
      <rPr>
        <sz val="10"/>
        <color theme="1"/>
        <rFont val="Arial"/>
        <family val="2"/>
      </rPr>
      <t xml:space="preserve">Type2 </t>
    </r>
    <r>
      <rPr>
        <sz val="10"/>
        <color theme="1"/>
        <rFont val="맑은 고딕"/>
        <family val="3"/>
        <charset val="129"/>
      </rPr>
      <t>포트폴리오 누락기업 반영</t>
    </r>
  </si>
  <si>
    <t>(주)해양드론기술</t>
  </si>
  <si>
    <t>리저브홀딩스</t>
  </si>
  <si>
    <t>레드로켓</t>
  </si>
  <si>
    <t>(주)넵튠클라우드</t>
  </si>
  <si>
    <t>라이브러리컴퍼니</t>
  </si>
  <si>
    <t>메디컬아이피(주)</t>
  </si>
  <si>
    <t>스터디짐</t>
  </si>
  <si>
    <t>주식회사 펄스애드</t>
  </si>
  <si>
    <t>(주)비티이</t>
  </si>
  <si>
    <t>(주)키노라이츠</t>
  </si>
  <si>
    <t>주식회사 플리크라운지</t>
  </si>
  <si>
    <t>(주)셀쿠아</t>
  </si>
  <si>
    <t>주식회사 로닉</t>
  </si>
  <si>
    <t>빌리오</t>
  </si>
  <si>
    <t>콜버스랩</t>
  </si>
  <si>
    <t>주식회사인베트</t>
  </si>
  <si>
    <t>(주)포스포</t>
  </si>
  <si>
    <t>주식회사 포벨</t>
  </si>
  <si>
    <t>(주)파로스아이바이오</t>
  </si>
  <si>
    <t>주식회사익스토리</t>
  </si>
  <si>
    <t>잼이지</t>
  </si>
  <si>
    <t>(주)유니테이크홀딩스</t>
  </si>
  <si>
    <t>주식회사 오퍼스엠</t>
  </si>
  <si>
    <t>(주)진씨커</t>
  </si>
  <si>
    <t>주식회사 프롬서울</t>
  </si>
  <si>
    <t>(주)메이크포유</t>
  </si>
  <si>
    <t>(주)컨포트랩</t>
  </si>
  <si>
    <t>더블유아일랜드</t>
  </si>
  <si>
    <t>레이저쎌(주)</t>
  </si>
  <si>
    <t>휴멜로(주)</t>
  </si>
  <si>
    <t>(주)바이오드</t>
  </si>
  <si>
    <t>퀸라이브</t>
  </si>
  <si>
    <t>(주)틱택코리아</t>
  </si>
  <si>
    <t>주식회사 리퀴드네이션</t>
  </si>
  <si>
    <t>(주)나노솔루션</t>
  </si>
  <si>
    <t>(주)에스오에스랩</t>
  </si>
  <si>
    <t>주식회사맞추다(MACHUDAInc.)</t>
  </si>
  <si>
    <t>TainAI</t>
  </si>
  <si>
    <t>주식회사 카바조</t>
  </si>
  <si>
    <t>주식회사 리프라이즈</t>
  </si>
  <si>
    <t>주식회사놀잇</t>
  </si>
  <si>
    <t>주식회사 캐스팅 엔</t>
  </si>
  <si>
    <t>(주)엠에스엘</t>
  </si>
  <si>
    <t>(주)펑션투웰브</t>
  </si>
  <si>
    <t>언더덕(주)</t>
  </si>
  <si>
    <t>어반랩스(주)</t>
  </si>
  <si>
    <t>(주)해빛</t>
  </si>
  <si>
    <t>(주)베스트이노베이션</t>
  </si>
  <si>
    <t>주식회사스트림뮤직</t>
  </si>
  <si>
    <t>(주)코애귤런트테라퓨틱스</t>
  </si>
  <si>
    <t>(주)액트투챕터원</t>
  </si>
  <si>
    <t>차케어</t>
  </si>
  <si>
    <t>거북선컴퍼니</t>
  </si>
  <si>
    <t>주식회사 아웃컴</t>
  </si>
  <si>
    <t>(주)더클로젯컴퍼니</t>
  </si>
  <si>
    <t>(주)커스텀마인드</t>
  </si>
  <si>
    <t>빅바이오</t>
  </si>
  <si>
    <t>비스타로보틱스</t>
  </si>
  <si>
    <t>주식회사링크플릭스</t>
  </si>
  <si>
    <t>(주)노틸러스</t>
  </si>
  <si>
    <t>주식회사제제미미</t>
  </si>
  <si>
    <t>(주)모아이게임즈</t>
  </si>
  <si>
    <t>더재미</t>
  </si>
  <si>
    <t>주식회사룰루랩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</si>
  <si>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</si>
  <si>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 스냅볼트</t>
  </si>
  <si>
    <t>주식회사스페이스와이</t>
  </si>
  <si>
    <t>(주)스마트레이더시스템</t>
  </si>
  <si>
    <t>주식회사 필름플레이스코리아</t>
  </si>
  <si>
    <t>텐시티</t>
  </si>
  <si>
    <t>에이치충전연구소</t>
  </si>
  <si>
    <t>(주)더플랜잇</t>
  </si>
  <si>
    <t>웨이브로드</t>
  </si>
  <si>
    <t>씨드모젠</t>
  </si>
  <si>
    <t>(주)덴트로닉</t>
  </si>
  <si>
    <t>주식회사브레디스헬스케어</t>
  </si>
  <si>
    <t>(주)세미에이아이</t>
  </si>
  <si>
    <t>플라잉노트</t>
  </si>
  <si>
    <t>멀티스케일인스트루먼트 주식회사</t>
  </si>
  <si>
    <t>패션을부탁해</t>
  </si>
  <si>
    <t>주식회사 비욘드캡처</t>
  </si>
  <si>
    <t>(주)페르세우스</t>
  </si>
  <si>
    <t>(주)팀쇼퍼블</t>
  </si>
  <si>
    <t>주식회사 에이디수산</t>
  </si>
  <si>
    <t>피스피스스튜디오</t>
  </si>
  <si>
    <t>솔라스틱</t>
  </si>
  <si>
    <t>(주)스킨그랩</t>
  </si>
  <si>
    <t>(주)미스터아빠</t>
  </si>
  <si>
    <t>(주)언어발전소</t>
  </si>
  <si>
    <t>(주)젠데이터</t>
  </si>
  <si>
    <t>(주)스무디</t>
  </si>
  <si>
    <t>주식회사 로플랫</t>
  </si>
  <si>
    <t>(주)부스터즈</t>
  </si>
  <si>
    <t>(주)모카시스템</t>
  </si>
  <si>
    <t>클래스101</t>
  </si>
  <si>
    <t>(주)비즈레시피</t>
  </si>
  <si>
    <t>(주)디버</t>
  </si>
  <si>
    <t>(주)쿨베어스</t>
  </si>
  <si>
    <t>딜리버스</t>
  </si>
  <si>
    <t>(주)디써클</t>
  </si>
  <si>
    <t>맵시</t>
  </si>
  <si>
    <t>센시 주식회사</t>
  </si>
  <si>
    <t>서지넥스</t>
  </si>
  <si>
    <t>브이픽스메디칼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</si>
  <si>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</si>
  <si>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오누이</t>
    </r>
  </si>
  <si>
    <t>(주)리옵스</t>
  </si>
  <si>
    <t>버틀러</t>
  </si>
  <si>
    <t>주식회사 오내피플</t>
  </si>
  <si>
    <t>아몬디</t>
  </si>
  <si>
    <t>(주)데이터씨</t>
  </si>
  <si>
    <t>AIDEN LAB</t>
  </si>
  <si>
    <t>브이로거</t>
  </si>
  <si>
    <t>(주)롸잇</t>
  </si>
  <si>
    <t>(주)모션랩스</t>
  </si>
  <si>
    <t>주식회사슬로웨이브(slowaveInc.)</t>
  </si>
  <si>
    <t>주식회사한국부동산데이터연구소</t>
  </si>
  <si>
    <t>(주)엔티</t>
  </si>
  <si>
    <t>(주)매스어답션</t>
  </si>
  <si>
    <t>(주)페퍼게임즈</t>
  </si>
  <si>
    <t>주식회사 클로저랩스</t>
  </si>
  <si>
    <t>큐어스트림</t>
  </si>
  <si>
    <t>홈앤코(주)</t>
  </si>
  <si>
    <t>주식회사 어펙션</t>
  </si>
  <si>
    <t>Theta One</t>
  </si>
  <si>
    <t>(주)그린다</t>
  </si>
  <si>
    <t>미띵스</t>
  </si>
  <si>
    <t>엑소시스템즈</t>
  </si>
  <si>
    <t>(주)타임퍼센트</t>
  </si>
  <si>
    <t>어썸레이 주식회사</t>
  </si>
  <si>
    <t>로켓뷰</t>
  </si>
  <si>
    <t>소바젠(주)</t>
  </si>
  <si>
    <t>(주)센티넬이노베이션</t>
  </si>
  <si>
    <t>(주)프나시어</t>
  </si>
  <si>
    <t>주식회사 엘엔디씨</t>
  </si>
  <si>
    <t>42컴퍼니</t>
  </si>
  <si>
    <t>라트바이오</t>
  </si>
  <si>
    <t>LimoTaxi</t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</si>
  <si>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플레이팅</t>
    </r>
  </si>
  <si>
    <t>클래스유</t>
  </si>
  <si>
    <t>(주)바이버스</t>
  </si>
  <si>
    <t>(주)뽀득</t>
  </si>
  <si>
    <t>(주)지키다</t>
  </si>
  <si>
    <t>Barun Hangjung (K-Visa)</t>
  </si>
  <si>
    <t>㈜닥터키친</t>
  </si>
  <si>
    <t>주식회사 하이퍼클라우드</t>
  </si>
  <si>
    <t>에픽코퍼레이션</t>
  </si>
  <si>
    <t>주식회사에피소든</t>
  </si>
  <si>
    <t>새솔테크(주)</t>
  </si>
  <si>
    <t>(주)델타엑스</t>
  </si>
  <si>
    <t>엑소반도체</t>
  </si>
  <si>
    <t>주식회사 파인유얼뷰티</t>
  </si>
  <si>
    <t>피트메디</t>
  </si>
  <si>
    <t>25년말 기준 사업자번호 없었으나 추가되어 조사대상으로 편입</t>
  </si>
  <si>
    <t>(주)웨이버스</t>
  </si>
  <si>
    <t>(주)코멘토</t>
  </si>
  <si>
    <t>핸들</t>
  </si>
  <si>
    <t>뭉클랩</t>
  </si>
  <si>
    <t>지오인터넷</t>
  </si>
  <si>
    <t>플러피덕</t>
  </si>
  <si>
    <t>(주)스윕</t>
  </si>
  <si>
    <t>위버딩 주식회사</t>
  </si>
  <si>
    <t>메타솔(주)</t>
  </si>
  <si>
    <t>유뱃</t>
  </si>
  <si>
    <t>(주)북아이피스</t>
  </si>
  <si>
    <t>먼치팩토리</t>
  </si>
  <si>
    <t>렉스소프트</t>
  </si>
  <si>
    <t>주식회사 뻔치</t>
  </si>
  <si>
    <t>(주)스프린트</t>
  </si>
  <si>
    <t>(주)메디팔</t>
  </si>
  <si>
    <t>포스트랩(주)</t>
  </si>
  <si>
    <t>(주)이스트엔드</t>
  </si>
  <si>
    <t>(주)메가플랜</t>
  </si>
  <si>
    <t>(주)리콘랩스</t>
  </si>
  <si>
    <t>(주)마음주의</t>
  </si>
  <si>
    <t>(주)로웨인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</si>
  <si>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</si>
  <si>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큐심플러스</t>
  </si>
  <si>
    <t>인프랩</t>
  </si>
  <si>
    <t>(주)에스씨에스</t>
  </si>
  <si>
    <t>주식회사 리코</t>
  </si>
  <si>
    <t>리트모코퍼레이션</t>
  </si>
  <si>
    <t>위드포인츠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</si>
  <si>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</si>
  <si>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EO Studio</t>
  </si>
  <si>
    <t>서울다이나믹스(주)</t>
  </si>
  <si>
    <t>(주)엠모니터</t>
  </si>
  <si>
    <t>주식회사 한국증권대차</t>
  </si>
  <si>
    <t>(주)대영합섬</t>
  </si>
  <si>
    <t>오아시스브이알</t>
  </si>
  <si>
    <t>아주엠씨엠(주)</t>
  </si>
  <si>
    <t>팔루썸니</t>
  </si>
  <si>
    <t>주식회사문리버</t>
  </si>
  <si>
    <t>캐리마텍</t>
  </si>
  <si>
    <t>더블이글</t>
  </si>
  <si>
    <t>주식회사 피지티</t>
  </si>
  <si>
    <t>지비엠</t>
  </si>
  <si>
    <t>(주)테이렌</t>
  </si>
  <si>
    <t>유유유유유</t>
  </si>
  <si>
    <t>주식회사 콜로세움코퍼레이션</t>
  </si>
  <si>
    <t>메타맵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</si>
  <si>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</si>
  <si>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 셀리아즈</t>
  </si>
  <si>
    <t>(주)스텝페이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</si>
  <si>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</si>
  <si>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올라핀테크</t>
  </si>
  <si>
    <t>지엑스씨</t>
  </si>
  <si>
    <t>에이투지</t>
  </si>
  <si>
    <t>주식회사피에로컴퍼니</t>
  </si>
  <si>
    <t>(주)히든뉴스</t>
  </si>
  <si>
    <t>주식회사 하이퍼그로스</t>
  </si>
  <si>
    <t>(주)인게니움테라퓨틱스</t>
  </si>
  <si>
    <t>(주)큰삼촌컴퍼니</t>
  </si>
  <si>
    <t>(주)리버트리(구.(주)대양정보)</t>
  </si>
  <si>
    <t>주식회사 파봇</t>
  </si>
  <si>
    <t>해긴</t>
  </si>
  <si>
    <t>주식회사 나노시스템즈</t>
  </si>
  <si>
    <t>(주)와이엘피</t>
  </si>
  <si>
    <t>주식회사플루언트</t>
  </si>
  <si>
    <t>주식회사 콘스탄트</t>
  </si>
  <si>
    <t>주식회사 에이아이웍스</t>
  </si>
  <si>
    <t>픽스나우</t>
  </si>
  <si>
    <t>유니메오</t>
  </si>
  <si>
    <t>투어라이브</t>
  </si>
  <si>
    <t>빔스튜디오</t>
  </si>
  <si>
    <t>주식회사 글루진테라퓨틱스</t>
  </si>
  <si>
    <t>코워크위더스(주)</t>
  </si>
  <si>
    <t>주식회사 무니스</t>
  </si>
  <si>
    <t>샤플앤컴퍼니</t>
  </si>
  <si>
    <t>(주)보스반도체</t>
  </si>
  <si>
    <t>(주)리피드</t>
  </si>
  <si>
    <t>주식회사어글리랩</t>
  </si>
  <si>
    <t>(주)리베스트</t>
  </si>
  <si>
    <t>팀아일랜드</t>
  </si>
  <si>
    <t>(주)파란에너지</t>
  </si>
  <si>
    <t>Salesmap</t>
  </si>
  <si>
    <t>비앤디알에스(주)</t>
  </si>
  <si>
    <t>어메이징브루잉컴퍼니</t>
  </si>
  <si>
    <t>(주)트레져러</t>
  </si>
  <si>
    <t>트랜스버스</t>
  </si>
  <si>
    <t>레이지소사이어티</t>
  </si>
  <si>
    <t>잇그린</t>
  </si>
  <si>
    <t>주식회사 카본엑스</t>
  </si>
  <si>
    <t>(주)오픈업</t>
  </si>
  <si>
    <t>주식회사 큐엠아이티</t>
  </si>
  <si>
    <t>커피팅주식회사(CoffeetingInc.)</t>
  </si>
  <si>
    <t>(주)리하베스트</t>
  </si>
  <si>
    <t>(주)엔큐라젠</t>
  </si>
  <si>
    <t>(주)엔엑스디</t>
  </si>
  <si>
    <t>모자키</t>
  </si>
  <si>
    <t>(주)젠아</t>
  </si>
  <si>
    <t>주식회사 하이드로엑스팬드</t>
  </si>
  <si>
    <t>네오네시아</t>
  </si>
  <si>
    <t>엑소퍼트</t>
  </si>
  <si>
    <t>주식회사 테파로보틱스</t>
  </si>
  <si>
    <t>소프트랜더스</t>
  </si>
  <si>
    <t>(주)위힐드</t>
  </si>
  <si>
    <t>핸드허그</t>
  </si>
  <si>
    <t>(주)부루구루</t>
  </si>
  <si>
    <t>오픈리서치</t>
  </si>
  <si>
    <t>한국금융솔루션</t>
  </si>
  <si>
    <t>인터그래비티테크놀로지스 주식회사</t>
  </si>
  <si>
    <t>주식회사 에스티비벤처스</t>
  </si>
  <si>
    <t>주식회사브이피피랩(VPPLAB Corp.)</t>
  </si>
  <si>
    <t>(주)뉴빌리티</t>
  </si>
  <si>
    <t>(주)꼬끼오컴퍼니</t>
  </si>
  <si>
    <t>조인트</t>
  </si>
  <si>
    <t>주식회사 루모스</t>
  </si>
  <si>
    <t>주식회사드랩</t>
  </si>
  <si>
    <t>주식회사핏펫(FitPet)</t>
  </si>
  <si>
    <t>위클리셔츠0529</t>
  </si>
  <si>
    <t>(주)마이크로발란스</t>
  </si>
  <si>
    <t>(주)캔랩</t>
  </si>
  <si>
    <t>주식회사플룸디(PLUME.DInc.)</t>
  </si>
  <si>
    <t>(주)에임퓨처</t>
  </si>
  <si>
    <t>(주)오브어스</t>
  </si>
  <si>
    <t>주식회사 버핏서울</t>
  </si>
  <si>
    <t>아키소스템바이오스트래티지스</t>
  </si>
  <si>
    <t>주식회사 하이퍼라운지</t>
  </si>
  <si>
    <t>파이프트리 주식회사(Paiptree Inc.)</t>
  </si>
  <si>
    <t>디에이엘컴퍼니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</si>
  <si>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</si>
  <si>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어딩(구 리브햇)</t>
  </si>
  <si>
    <t>(주)홀리데이로보틱스</t>
  </si>
  <si>
    <t>히어박스</t>
  </si>
  <si>
    <t>케이비엘러먼트</t>
  </si>
  <si>
    <t>주식회사더트라이브</t>
  </si>
  <si>
    <t>(주)위플랫</t>
  </si>
  <si>
    <t>메라키플레이스</t>
  </si>
  <si>
    <t>(주)큐클릭</t>
  </si>
  <si>
    <t>페롤레드</t>
  </si>
  <si>
    <t>(주)모노리스</t>
  </si>
  <si>
    <t>(주)비엘큐</t>
  </si>
  <si>
    <t>벳플럭스</t>
  </si>
  <si>
    <t>디에스 주식회사</t>
  </si>
  <si>
    <t>주식회사레지에나</t>
  </si>
  <si>
    <t>주식회사 엔씨에프테크</t>
  </si>
  <si>
    <t>(주)에이머슬리</t>
  </si>
  <si>
    <t>주식회사 핀즐</t>
  </si>
  <si>
    <t>모두닥</t>
  </si>
  <si>
    <t>(주)팀프레시</t>
  </si>
  <si>
    <t>파워테스크</t>
  </si>
  <si>
    <t>(주)오큐티</t>
  </si>
  <si>
    <t>(주)코넥스트</t>
  </si>
  <si>
    <t>오믈렛</t>
  </si>
  <si>
    <t>주식회사인에디트(inedictCorp.)</t>
  </si>
  <si>
    <t>Bolta</t>
  </si>
  <si>
    <t>파인디지털헬스 주식회사</t>
  </si>
  <si>
    <t>세븐포인트원(Seven Point One)</t>
  </si>
  <si>
    <t>Exosphere Labs</t>
  </si>
  <si>
    <t>SECA</t>
  </si>
  <si>
    <t>주식회사허슬러즈</t>
  </si>
  <si>
    <t>주식회사 팡세</t>
  </si>
  <si>
    <t>바트</t>
  </si>
  <si>
    <t>(주)노다랩</t>
  </si>
  <si>
    <t>브런트(주)</t>
  </si>
  <si>
    <t>알고리즘랩스</t>
  </si>
  <si>
    <t>(주)뷰런테크놀로지</t>
  </si>
  <si>
    <t>컨두잇</t>
  </si>
  <si>
    <r>
      <rPr>
        <sz val="10"/>
        <color theme="1"/>
        <rFont val="맑은 고딕"/>
        <family val="3"/>
        <charset val="129"/>
      </rPr>
      <t>주식회사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지티지오(구 고피자)</t>
    </r>
  </si>
  <si>
    <t>주식회사크리밋</t>
  </si>
  <si>
    <t>주식회사 올라운드닥터스</t>
  </si>
  <si>
    <t>주식회사 캐비지</t>
  </si>
  <si>
    <t>이에스티</t>
  </si>
  <si>
    <t>아이리스코퍼레이션(주)</t>
  </si>
  <si>
    <t>BIGC</t>
  </si>
  <si>
    <t>주식회사도비스튜디오</t>
  </si>
  <si>
    <t>반려생활</t>
  </si>
  <si>
    <t>(주)이너보틀</t>
  </si>
  <si>
    <t>(주)루트릭스</t>
  </si>
  <si>
    <t>주식회사 오렌지필드</t>
  </si>
  <si>
    <t>프로메디우스 주식회사</t>
  </si>
  <si>
    <t>래티스주식회사</t>
  </si>
  <si>
    <t>(주)이노서스</t>
  </si>
  <si>
    <t>(주)라움랩스</t>
  </si>
  <si>
    <t>세라트젠</t>
  </si>
  <si>
    <t>주식회사에스프레소북</t>
  </si>
  <si>
    <t>(주)콥틱</t>
  </si>
  <si>
    <t>주식회사 엘알에이치알</t>
  </si>
  <si>
    <t>리얼라이저블주식회사(realizable)</t>
  </si>
  <si>
    <t>주식회사 바이오소닉스</t>
  </si>
  <si>
    <t>토폴로그</t>
  </si>
  <si>
    <t>(주)라이온로보틱스</t>
  </si>
  <si>
    <t>디자인앤프랙티스(주)</t>
  </si>
  <si>
    <t>(주)더자람컴퍼니</t>
  </si>
  <si>
    <t>에픽카</t>
  </si>
  <si>
    <t>씨드로닉스(주)</t>
  </si>
  <si>
    <t>마이프랜차이즈</t>
  </si>
  <si>
    <t>시놀(주)</t>
  </si>
  <si>
    <t>리스틀리</t>
  </si>
  <si>
    <t>(주)바나나파츠</t>
  </si>
  <si>
    <t>공기와물</t>
  </si>
  <si>
    <t>제스트</t>
  </si>
  <si>
    <t>(주)리플라</t>
  </si>
  <si>
    <t>르호사</t>
  </si>
  <si>
    <t>(주)솜씨당컴퍼니</t>
  </si>
  <si>
    <t>뉴타입인더스트리즈 주식회사</t>
  </si>
  <si>
    <t>(주)클라우드앤</t>
  </si>
  <si>
    <t>(주)모라니크</t>
  </si>
  <si>
    <t>본작</t>
  </si>
  <si>
    <t>(주)드랍더비트</t>
  </si>
  <si>
    <t>(주)트레드링스</t>
  </si>
  <si>
    <t>주식회사 카텍에이치</t>
  </si>
  <si>
    <t>로그스택</t>
  </si>
  <si>
    <t>주식회사네이앤컴퍼니</t>
  </si>
  <si>
    <t>알고케어 주식회사</t>
  </si>
  <si>
    <t>쉬프트</t>
  </si>
  <si>
    <t>주식회사넥스트그라운드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</si>
  <si>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</si>
  <si>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(주)웨이브라이프스타일테크</t>
  </si>
  <si>
    <t>셰빌리티</t>
  </si>
  <si>
    <t>에스엔디스플레이</t>
  </si>
  <si>
    <t>Glorang Inc.</t>
  </si>
  <si>
    <t>스파크펫</t>
  </si>
  <si>
    <t>(주)몰리턴</t>
  </si>
  <si>
    <t>주식회사 이플로우</t>
  </si>
  <si>
    <t>주식회사로보버티컬(RoboVerticalCo.,Ltd.)</t>
  </si>
  <si>
    <t>포자랩스</t>
  </si>
  <si>
    <t>템프체인(주)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</si>
  <si>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</si>
  <si>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NexusAI</t>
  </si>
  <si>
    <t>알티비피얼라이언스(주)</t>
  </si>
  <si>
    <t>퍼플러스</t>
  </si>
  <si>
    <t>호라이존테크놀로지 주식회사</t>
  </si>
  <si>
    <t>(주)프릿지크루</t>
  </si>
  <si>
    <t>주식회사하이(Haii)</t>
  </si>
  <si>
    <t>엔바이오스</t>
  </si>
  <si>
    <t>(주)지팜</t>
  </si>
  <si>
    <t>더대박컴퍼니</t>
  </si>
  <si>
    <t>알페스 주식회사</t>
  </si>
  <si>
    <t>(주)예지엑스</t>
  </si>
  <si>
    <t>(주)이모코그</t>
  </si>
  <si>
    <t>(주)클라우드타입</t>
  </si>
  <si>
    <t>중원(주)</t>
  </si>
  <si>
    <t>(주)솔버엑스</t>
  </si>
  <si>
    <t>(주)디원더</t>
  </si>
  <si>
    <t>리얼니즈</t>
  </si>
  <si>
    <t>(주)쭉</t>
  </si>
  <si>
    <t>(주)밸리스</t>
  </si>
  <si>
    <t>주식회사 소셜빈</t>
  </si>
  <si>
    <t>(주)캘러스컴퍼니</t>
  </si>
  <si>
    <t>리벨리온(주)</t>
  </si>
  <si>
    <t>큰삼촌컴퍼니</t>
  </si>
  <si>
    <t>(주)티에이치케이컴퍼니</t>
  </si>
  <si>
    <t>（주）니더</t>
  </si>
  <si>
    <t>주식회사 홈핏</t>
  </si>
  <si>
    <t>코넥시오에이치(주)</t>
  </si>
  <si>
    <t>아폴로스튜디오코리아</t>
  </si>
  <si>
    <t>주식회사 아이쿠카</t>
  </si>
  <si>
    <t>(주)애프터컴퍼니</t>
  </si>
  <si>
    <t>주식회사 스위치원</t>
  </si>
  <si>
    <t>주식회사 엔에프</t>
  </si>
  <si>
    <t>휴이노</t>
  </si>
  <si>
    <t>주식회사 딥스마텍</t>
  </si>
  <si>
    <t>(주)아이디어오션</t>
  </si>
  <si>
    <t>WRD</t>
  </si>
  <si>
    <t>굳건</t>
  </si>
  <si>
    <t>체인라이트닝컴퍼니</t>
  </si>
  <si>
    <t>TPC internet(주식회사티피씨인터넷)</t>
  </si>
  <si>
    <t>(주)티지소사이어티</t>
  </si>
  <si>
    <t>쉐어트리츠</t>
  </si>
  <si>
    <t>주식회사 웍스메이트</t>
  </si>
  <si>
    <t>주식회사 브라이트퀀텀</t>
  </si>
  <si>
    <t>(주)딜리헙</t>
  </si>
  <si>
    <t>디지털네이티브스(주)</t>
  </si>
  <si>
    <t>글림미디어그룹</t>
  </si>
  <si>
    <t>공사박사</t>
  </si>
  <si>
    <t>피카디(주)</t>
  </si>
  <si>
    <t>에스디티 (구 시그마델타테크놀로지)</t>
  </si>
  <si>
    <t>농업회사법인 뉴룩(주)</t>
  </si>
  <si>
    <t>(주)뉴닉</t>
  </si>
  <si>
    <t>(주)삼분의일</t>
  </si>
  <si>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2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>골프프렌즈</t>
    </r>
  </si>
  <si>
    <t>이번에 패밀리사로 산입</t>
  </si>
  <si>
    <t>리터놀 주식회사</t>
  </si>
  <si>
    <t>(주)와이펫</t>
  </si>
  <si>
    <t>런치랩</t>
  </si>
  <si>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2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>에잇컵스</t>
    </r>
  </si>
  <si>
    <t>(주)루나써클</t>
  </si>
  <si>
    <t>주식회사 모인</t>
  </si>
  <si>
    <t>주식회사오알엔피</t>
  </si>
  <si>
    <t>클레브레인주식회사</t>
  </si>
  <si>
    <t>라틀라스</t>
  </si>
  <si>
    <t>에그번에듀케이션</t>
  </si>
  <si>
    <t>셀미트</t>
  </si>
  <si>
    <t>(주)포트래이</t>
  </si>
  <si>
    <t>(주)모두의회계</t>
  </si>
  <si>
    <t>(주)팀모노리스</t>
  </si>
  <si>
    <t>(주)피치에이아이</t>
  </si>
  <si>
    <t>폴슨</t>
  </si>
  <si>
    <t>이지메이션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</si>
  <si>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</si>
  <si>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 더플레이토</t>
  </si>
  <si>
    <t>UH2SA Company</t>
  </si>
  <si>
    <t>마이플레이컴퍼니</t>
  </si>
  <si>
    <t>주식회사유동산</t>
  </si>
  <si>
    <t>주식회사이노스페이스</t>
  </si>
  <si>
    <t>(주)비에이블컴퍼니</t>
  </si>
  <si>
    <t>인포마이닝</t>
  </si>
  <si>
    <t>(주)슬릭코퍼레이션</t>
  </si>
  <si>
    <t>테이스팅앨범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</si>
  <si>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</si>
  <si>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스튜디오 키코</t>
  </si>
  <si>
    <t>리솔</t>
  </si>
  <si>
    <t>Robros</t>
  </si>
  <si>
    <t>주식회사 시큐어링크</t>
  </si>
  <si>
    <t>주식회사 클리카</t>
  </si>
  <si>
    <t>백스다임</t>
  </si>
  <si>
    <t>(주)온더룩</t>
  </si>
  <si>
    <t>(주)그루비엑스</t>
  </si>
  <si>
    <t>주식회사 비엔에스알</t>
  </si>
  <si>
    <t>주식회사써밋츠</t>
  </si>
  <si>
    <t>주식회사노벨라스튜디오</t>
  </si>
  <si>
    <t>주식회사파프리카데이터랩</t>
  </si>
  <si>
    <t>(주)아폴론</t>
  </si>
  <si>
    <t>(주)슈가힐</t>
  </si>
  <si>
    <t>브라이튼코퍼레이션</t>
  </si>
  <si>
    <t>주식회사앰버로드</t>
  </si>
  <si>
    <t>주식회사나인투식스</t>
  </si>
  <si>
    <t>(주)플라스탈</t>
  </si>
  <si>
    <t>(주)플레코</t>
  </si>
  <si>
    <t>농업회사법인 주식회사 파이토리서치</t>
  </si>
  <si>
    <t>(주)지구인컴퍼니</t>
  </si>
  <si>
    <t>주식회사프레시고메이</t>
  </si>
  <si>
    <t>ImpriMed</t>
  </si>
  <si>
    <t>휴젝트(HUJECT)</t>
  </si>
  <si>
    <t>(주)메텍홀딩스</t>
  </si>
  <si>
    <t>(주)시그널케어</t>
  </si>
  <si>
    <t>리벨리온</t>
  </si>
  <si>
    <t>주식회사넥스트에디션</t>
  </si>
  <si>
    <t>코너마켓</t>
  </si>
  <si>
    <t>주식회사 티아이</t>
  </si>
  <si>
    <t>(주)도구공간</t>
  </si>
  <si>
    <t>서북</t>
  </si>
  <si>
    <t>Hydrogen Butterfly</t>
  </si>
  <si>
    <t>알에스리햅 (1차)</t>
  </si>
  <si>
    <t>(주)스프링소프트</t>
  </si>
  <si>
    <t>로보아르테</t>
  </si>
  <si>
    <t>이스턴에디션</t>
  </si>
  <si>
    <t>(주)다다닥헬스케어</t>
  </si>
  <si>
    <t>(주)인덴트코퍼레이션</t>
  </si>
  <si>
    <t>주식회사 위즈페이스</t>
  </si>
  <si>
    <t>주식회사블루비커</t>
  </si>
  <si>
    <t>트라이얼인포매틱스</t>
  </si>
  <si>
    <t>모바일퉁</t>
  </si>
  <si>
    <t>(주)젠셀메드</t>
  </si>
  <si>
    <t>주식회사테일러타운</t>
  </si>
  <si>
    <t>(주)캐낸다</t>
  </si>
  <si>
    <t>주식회사메이아이</t>
  </si>
  <si>
    <t>(주)알링크</t>
  </si>
  <si>
    <t>텔레픽스(주)</t>
  </si>
  <si>
    <t>알테아</t>
  </si>
  <si>
    <t>주식회사티알</t>
  </si>
  <si>
    <t>주식회사 스타셸</t>
  </si>
  <si>
    <t>네메시스(주)</t>
  </si>
  <si>
    <t>유니유니(uniuni)</t>
  </si>
  <si>
    <t>(주)메텔</t>
  </si>
  <si>
    <t>비썸</t>
  </si>
  <si>
    <t>(주)바오밥에이바이오</t>
  </si>
  <si>
    <t>주식회사 테스트뱅크</t>
  </si>
  <si>
    <t>젤리랩</t>
  </si>
  <si>
    <t>주식회사마이셀(MYCELInc.)</t>
  </si>
  <si>
    <t>페이지콜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</si>
  <si>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</si>
  <si>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집토스</t>
  </si>
  <si>
    <t>(주)와이어즈</t>
  </si>
  <si>
    <t>위베어소프트</t>
  </si>
  <si>
    <t>(주)더넥사</t>
  </si>
  <si>
    <t>지엔에이컴퍼니</t>
  </si>
  <si>
    <t>Pyloneer</t>
  </si>
  <si>
    <t>투바이오스</t>
  </si>
  <si>
    <t>주식회사세이프틱스</t>
  </si>
  <si>
    <t>라이즈이엔엠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</si>
  <si>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</si>
  <si>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브이아이코리아주식회사</t>
  </si>
  <si>
    <t>헤드리스주식회사</t>
  </si>
  <si>
    <t>(주)가디언에이아이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</si>
  <si>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</si>
  <si>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한경에이셀(에이셀테크놀로지스)</t>
  </si>
  <si>
    <t>주식회사 비욘드허니컴</t>
  </si>
  <si>
    <t>에이엠시지</t>
  </si>
  <si>
    <t>(주)코코베리</t>
  </si>
  <si>
    <t>이노파마</t>
  </si>
  <si>
    <t>두어스</t>
  </si>
  <si>
    <t>(주)모니랩</t>
  </si>
  <si>
    <t>주식회사와들</t>
  </si>
  <si>
    <t>지나이너</t>
  </si>
  <si>
    <t>주식회사 부엔까미노</t>
  </si>
  <si>
    <t>주식회사 하이어엑스(HIGHERX)</t>
  </si>
  <si>
    <t>주식회사오늘식탁</t>
  </si>
  <si>
    <t>웰로</t>
  </si>
  <si>
    <t>주식회사 비트바이트</t>
  </si>
  <si>
    <t>주식회사마들렌메모리</t>
  </si>
  <si>
    <t>주식회사 케어닥</t>
  </si>
  <si>
    <t>이포트</t>
  </si>
  <si>
    <t>스티비(주)</t>
  </si>
  <si>
    <t>Waiker Inc</t>
  </si>
  <si>
    <t>The Dimention Company Co., Ltd.(prev.Yeogiwoori)</t>
  </si>
  <si>
    <t>(주)피알티엔</t>
  </si>
  <si>
    <t>더도니</t>
  </si>
  <si>
    <t>주식회사비즈니스캔버스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</si>
  <si>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</si>
  <si>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벌스워크(주)</t>
  </si>
  <si>
    <t>(주)라스트스프링</t>
  </si>
  <si>
    <t>(주)큐프럼머티리얼즈</t>
  </si>
  <si>
    <t>(주)솔리온</t>
  </si>
  <si>
    <t>하비풀</t>
  </si>
  <si>
    <t>코스모스엔터테인먼트(주)</t>
  </si>
  <si>
    <t>Aria Studio Inc</t>
  </si>
  <si>
    <t>노예스런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</si>
  <si>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</si>
  <si>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텐디</t>
  </si>
  <si>
    <t>(주)로켓툴즈</t>
  </si>
  <si>
    <t>(주)모라이</t>
  </si>
  <si>
    <t>모리</t>
  </si>
  <si>
    <t>주식회사 소프트스퀘어드</t>
  </si>
  <si>
    <t>(주)마지막삼십분</t>
  </si>
  <si>
    <t>(주)랜딩</t>
  </si>
  <si>
    <t>프로바랩스 주식회사</t>
  </si>
  <si>
    <t>주식회사 웰스가이드</t>
  </si>
  <si>
    <t>픽스</t>
  </si>
  <si>
    <t>(주)도프</t>
  </si>
  <si>
    <t>한국공장지붕태양광지주(주)</t>
  </si>
  <si>
    <t>(주)미니스쿨</t>
  </si>
  <si>
    <t>주식회사인쇼츠</t>
  </si>
  <si>
    <t>Megameta</t>
  </si>
  <si>
    <t>그린베이스</t>
  </si>
  <si>
    <t>비브이엠티(주)</t>
  </si>
  <si>
    <t>(주)코그니카</t>
  </si>
  <si>
    <t>메디프로젠</t>
  </si>
  <si>
    <t>농업회사법인 주식회사 머쉬앤</t>
  </si>
  <si>
    <t>레디로버스트머신(주)</t>
  </si>
  <si>
    <t>(주)276홀딩스</t>
  </si>
  <si>
    <t>리브라이블리 주식회사</t>
  </si>
  <si>
    <t>만드로 주식회사</t>
  </si>
  <si>
    <t>(주)올거나이즈코리아</t>
  </si>
  <si>
    <t>Contents Holdings</t>
  </si>
  <si>
    <t>주식회사한국신용데이터</t>
  </si>
  <si>
    <t>(주)왈</t>
  </si>
  <si>
    <t>주식회사 남도마켓</t>
  </si>
  <si>
    <t>피스오브무드</t>
  </si>
  <si>
    <t>스윙비주식회사(Swingvy,Inc.)</t>
  </si>
  <si>
    <t>스플랩</t>
  </si>
  <si>
    <t>에너지엑스(주)</t>
  </si>
  <si>
    <t>직지디지털</t>
  </si>
  <si>
    <t>(주)리보디스</t>
  </si>
  <si>
    <t>주식회사 픽셀릭코리아</t>
  </si>
  <si>
    <t>팀 리미티드</t>
  </si>
  <si>
    <t>프라이베이</t>
  </si>
  <si>
    <t>(주)에이아이지먼트</t>
  </si>
  <si>
    <t>넥스트메이커스</t>
  </si>
  <si>
    <t>(주)인플라이크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</si>
  <si>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</si>
  <si>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(주)뉴로티엑스</t>
  </si>
  <si>
    <t>브랫빌리지</t>
  </si>
  <si>
    <t>스타일메이트</t>
  </si>
  <si>
    <t>Dalpha</t>
  </si>
  <si>
    <t>(주)모티프드라이브</t>
  </si>
  <si>
    <t>주식회사 웨이크</t>
  </si>
  <si>
    <t>(주)반달소프트</t>
  </si>
  <si>
    <t>LibertyLabs</t>
  </si>
  <si>
    <t>Belinker</t>
  </si>
  <si>
    <t>(주)심플리바이오</t>
  </si>
  <si>
    <t>드래프타입</t>
  </si>
  <si>
    <t>주식회사비자플로</t>
  </si>
  <si>
    <t>(주)에이랩스</t>
  </si>
  <si>
    <t>(주)테이블매니저</t>
  </si>
  <si>
    <t>(주)핑거플러스</t>
  </si>
  <si>
    <t>지앤바이오솔루션</t>
  </si>
  <si>
    <t>누리하우스주식회사</t>
  </si>
  <si>
    <t>주식회사트라이큐빅스코리아</t>
  </si>
  <si>
    <t>블루닷엔터테인먼트</t>
  </si>
  <si>
    <t>(주)스낵포</t>
  </si>
  <si>
    <t>텐비</t>
  </si>
  <si>
    <t>(주)스트레스솔루션</t>
  </si>
  <si>
    <t>헤이뷰티</t>
  </si>
  <si>
    <t>주식회사 아헤스</t>
  </si>
  <si>
    <t>G2GLOBAL CO.</t>
  </si>
  <si>
    <t>(주)에이아이에스</t>
  </si>
  <si>
    <t>(주)스페이스티</t>
  </si>
  <si>
    <t>(주)스테이지파이브</t>
  </si>
  <si>
    <t>엑스트라이버</t>
  </si>
  <si>
    <t>(주)파로스마린</t>
  </si>
  <si>
    <t>하와이컴퍼니주식회사</t>
  </si>
  <si>
    <t>(주)고퍼소프트</t>
  </si>
  <si>
    <t>주식회사임프레시보코리아</t>
  </si>
  <si>
    <t>(주)컨샐러드</t>
  </si>
  <si>
    <t>에이슨</t>
  </si>
  <si>
    <t>슈퍼갈땐슈퍼맨</t>
  </si>
  <si>
    <t>주식회사 딥인사이트</t>
  </si>
  <si>
    <t>(주)콤스(KOMS lnc.)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</si>
  <si>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</si>
  <si>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(주)제로더</t>
  </si>
  <si>
    <t>주식회사오늘의웹툰</t>
  </si>
  <si>
    <t>(주)펄송</t>
  </si>
  <si>
    <t>스냅태그 주식회사</t>
  </si>
  <si>
    <t>쿠파</t>
  </si>
  <si>
    <t>라라컴퍼니</t>
  </si>
  <si>
    <t>(주)데이블</t>
  </si>
  <si>
    <t>카페노노</t>
  </si>
  <si>
    <t>주식회사 뷰전</t>
  </si>
  <si>
    <t>퍼즈메디 주식회사</t>
  </si>
  <si>
    <t>(주)디세로스</t>
  </si>
  <si>
    <t>(주)볼드나인</t>
  </si>
  <si>
    <t>바이앤어스</t>
  </si>
  <si>
    <t>제이아이씨글로벌</t>
  </si>
  <si>
    <t>스매시주식회사(smaxhCorp.)</t>
  </si>
  <si>
    <t>주식회사탈잉</t>
  </si>
  <si>
    <t>(주)더널리</t>
  </si>
  <si>
    <t>와이텐플러스</t>
  </si>
  <si>
    <t>(주)레플리</t>
  </si>
  <si>
    <t>에스터데이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</si>
  <si>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</si>
  <si>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마이오렌지 주식회사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</si>
  <si>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</si>
  <si>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주식회사틸다(TildaCorp.)</t>
  </si>
  <si>
    <t>컨피그인텔리전스코리아(주)</t>
  </si>
  <si>
    <t>Trillionaire</t>
  </si>
  <si>
    <t>아들러주식회사</t>
  </si>
  <si>
    <t>(주)휴마트컴퍼니</t>
  </si>
  <si>
    <t>라플라스테크놀로지스</t>
  </si>
  <si>
    <t>이온어스(주)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</si>
  <si>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</si>
  <si>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(주)하이어다이버시티</t>
  </si>
  <si>
    <t>제이제이앤컴퍼니스</t>
  </si>
  <si>
    <t>(주)미니소코리아</t>
  </si>
  <si>
    <t>브이젠주식회사</t>
  </si>
  <si>
    <t>코인덱스</t>
  </si>
  <si>
    <t>(주)에스엠랩</t>
  </si>
  <si>
    <t>(주)위커밋</t>
  </si>
  <si>
    <t>주식회사자란다</t>
  </si>
  <si>
    <t>주식회사 브릿지코드</t>
  </si>
  <si>
    <t>주식회사위미트</t>
  </si>
  <si>
    <t>(주)솔메딕스</t>
  </si>
  <si>
    <t>바카티오</t>
  </si>
  <si>
    <t>(주)트라이펄게임즈</t>
  </si>
  <si>
    <t>(주)제너디어스</t>
  </si>
  <si>
    <t>플다</t>
  </si>
  <si>
    <t>어헤드코리아</t>
  </si>
  <si>
    <t>주식회사 리버스마운틴</t>
  </si>
  <si>
    <t>(주)크로커스</t>
  </si>
  <si>
    <t>포스타입</t>
  </si>
  <si>
    <t>주식회사세븐미어캣</t>
  </si>
  <si>
    <t>주식회사 어드바이저로렌</t>
  </si>
  <si>
    <t>(주)맥킨리라이스</t>
  </si>
  <si>
    <t>주식회사 자이스웍스/JaisWorks Inc.</t>
  </si>
  <si>
    <t>베이직파이브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</si>
  <si>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</si>
  <si>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(주)반장창고</t>
  </si>
  <si>
    <t>(주)오늘의이야기</t>
  </si>
  <si>
    <t>주식회사진지한컴퍼니</t>
  </si>
  <si>
    <t>헬프미법률사무소</t>
  </si>
  <si>
    <t>(주)아론</t>
  </si>
  <si>
    <t>큐롬바이오사이언스</t>
  </si>
  <si>
    <t>루센트블록</t>
  </si>
  <si>
    <t>주식회사플라스크(PLASKCO.,Ltd.)</t>
  </si>
  <si>
    <t>(주)딜사이트</t>
  </si>
  <si>
    <t>마이샵클라우드</t>
  </si>
  <si>
    <t>스텝랩</t>
  </si>
  <si>
    <r>
      <rPr>
        <sz val="10"/>
        <color theme="1"/>
        <rFont val="맑은 고딕"/>
        <family val="3"/>
        <charset val="129"/>
      </rPr>
      <t>제이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맑은 고딕"/>
        <family val="3"/>
        <charset val="129"/>
      </rPr>
      <t>농업회사법인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</si>
  <si>
    <t>(주)와들</t>
  </si>
  <si>
    <t>피움랩스</t>
  </si>
  <si>
    <t>(주)멤스</t>
  </si>
  <si>
    <t>리오랩</t>
  </si>
  <si>
    <t>스티팝주식회사(Stipop)</t>
  </si>
  <si>
    <t>(주)정리습관</t>
  </si>
  <si>
    <t>주식회사 헤세드릿지</t>
  </si>
  <si>
    <t>(주)디에프에스</t>
  </si>
  <si>
    <t>올리브인터내셔널</t>
  </si>
  <si>
    <t>(주)맵스</t>
  </si>
  <si>
    <t>주식회사오더체크</t>
  </si>
  <si>
    <t>(주)아치서울</t>
  </si>
  <si>
    <t>주식회사 심플플래닛</t>
  </si>
  <si>
    <t>(주)아이피에스바이오</t>
  </si>
  <si>
    <t>주식회사 위밋모빌리티</t>
  </si>
  <si>
    <t>주식회사 우주로테크</t>
  </si>
  <si>
    <t>(주)렌지드</t>
  </si>
  <si>
    <t>주식회사잇더컴퍼니</t>
  </si>
  <si>
    <t>(주)토글캠퍼스</t>
  </si>
  <si>
    <t>주식회사 파인더스에이아이</t>
  </si>
  <si>
    <t>부톡</t>
  </si>
  <si>
    <t>나노캡(주)</t>
  </si>
  <si>
    <t>주식회사커널로그(ConalogCo.,Ltd.)</t>
  </si>
  <si>
    <t>이지앤모어</t>
  </si>
  <si>
    <t>주식회사위스피온</t>
  </si>
  <si>
    <t>(주)에이유</t>
  </si>
  <si>
    <t>이사크루</t>
  </si>
  <si>
    <t>(주)디엔데</t>
  </si>
  <si>
    <t>주식회사 사이클로이드</t>
  </si>
  <si>
    <t>아이디어허브</t>
  </si>
  <si>
    <t>신지게임즈</t>
  </si>
  <si>
    <t>티제이랩스</t>
  </si>
  <si>
    <t>벨테라퓨틱스(주)</t>
  </si>
  <si>
    <t>주식회사카이헬스</t>
  </si>
  <si>
    <t>주식회사꾸러기수비대</t>
  </si>
  <si>
    <t>주식회사알피</t>
  </si>
  <si>
    <t>파나나스튜디오</t>
  </si>
  <si>
    <t>오픈포맷(주)</t>
  </si>
  <si>
    <t>KSV eSports International dba Gen.G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</si>
  <si>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</si>
  <si>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비마이프렌즈(bemyfriends)</t>
  </si>
  <si>
    <t>이어가다</t>
  </si>
  <si>
    <t>주식회사 메딜리티</t>
  </si>
  <si>
    <t>주식회사바인드</t>
  </si>
  <si>
    <t>스페이스빔</t>
  </si>
  <si>
    <t>New Wave Commerce (Lewkin)</t>
  </si>
  <si>
    <t>(주)유림테크</t>
  </si>
  <si>
    <t>(주)그리네플</t>
  </si>
  <si>
    <t>액트노바</t>
  </si>
  <si>
    <t>(주)노마드크라운</t>
  </si>
  <si>
    <t>Veramore</t>
  </si>
  <si>
    <t>주식회사 그레이박스</t>
  </si>
  <si>
    <t>업스테이지</t>
  </si>
  <si>
    <t>타이디비(주)</t>
  </si>
  <si>
    <t>고이장례연구소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</si>
  <si>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</si>
  <si>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(주)파이온코퍼레이션</t>
  </si>
  <si>
    <t>(주)뉴다이브</t>
  </si>
  <si>
    <t>아이오크롭스</t>
  </si>
  <si>
    <t>차일디</t>
  </si>
  <si>
    <t>아스타</t>
  </si>
  <si>
    <t>주식회사 블리츠다이나믹스</t>
  </si>
  <si>
    <t>(주)체프</t>
  </si>
  <si>
    <t>지앨에스 주식회사</t>
  </si>
  <si>
    <t>일리미스테라퓨틱스(주)</t>
  </si>
  <si>
    <t>(주)생활연구소</t>
  </si>
  <si>
    <t>주식회사 제이엠웨이브</t>
  </si>
  <si>
    <t>(주)딥사이드</t>
  </si>
  <si>
    <t>(주)에이바이오머티리얼즈</t>
  </si>
  <si>
    <t>주식회사한달어스</t>
  </si>
  <si>
    <t>(주)에이슬립</t>
  </si>
  <si>
    <t>주식회사어웨이크코퍼레이션</t>
  </si>
  <si>
    <t>주식회사디하이브(DHiveCorp.)</t>
  </si>
  <si>
    <t>(주)린치핀브라더스</t>
  </si>
  <si>
    <t>(주)팩토스퀘어</t>
  </si>
  <si>
    <t>포페런츠</t>
  </si>
  <si>
    <t>Big Strider</t>
  </si>
  <si>
    <t>(주)라포랩스</t>
  </si>
  <si>
    <t>필로토주식회사</t>
  </si>
  <si>
    <t>주식회사세샤트</t>
  </si>
  <si>
    <t>글로우</t>
  </si>
  <si>
    <t>주식회사 인슈딜</t>
  </si>
  <si>
    <t>마카롱팩토리</t>
  </si>
  <si>
    <t>엑스크루</t>
  </si>
  <si>
    <t>룩인사이트</t>
  </si>
  <si>
    <t>(주)비트센싱</t>
  </si>
  <si>
    <t>파이온일렉트릭(주)</t>
  </si>
  <si>
    <t>두빗</t>
  </si>
  <si>
    <t>(주)리얼드로우</t>
  </si>
  <si>
    <t>주식회사 오피스(O-PEACE)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</si>
  <si>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키위스튜디오</t>
    </r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</si>
  <si>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소셜벤처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</t>
    </r>
    <r>
      <rPr>
        <sz val="10"/>
        <color theme="1"/>
        <rFont val="Arial"/>
        <family val="2"/>
      </rPr>
      <t>)</t>
    </r>
  </si>
  <si>
    <t>(주)트렌비</t>
  </si>
  <si>
    <t>파토스</t>
  </si>
  <si>
    <t>(주)모션투에이아이코리아</t>
  </si>
  <si>
    <t>(주)플랭</t>
  </si>
  <si>
    <t>딥메트릭스</t>
  </si>
  <si>
    <t>(주)티센바이오팜</t>
  </si>
  <si>
    <t>스무디</t>
  </si>
  <si>
    <t>벤틀스페이스</t>
  </si>
  <si>
    <t>주식회사메디노드</t>
  </si>
  <si>
    <t>에크네</t>
  </si>
  <si>
    <t>(주)퓨리오사에이아이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</si>
  <si>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유진테크원</t>
    </r>
  </si>
  <si>
    <t>플레이팅코퍼레이션</t>
  </si>
  <si>
    <t>(주)지오그리드</t>
  </si>
  <si>
    <t>그랜터</t>
  </si>
  <si>
    <t>주식회사 퍼스퍼트</t>
  </si>
  <si>
    <t>래블업 주식회사</t>
  </si>
  <si>
    <t>Flare Labs</t>
  </si>
  <si>
    <t>딥퓨전에이아이(주)</t>
  </si>
  <si>
    <t>그래비티랩스</t>
  </si>
  <si>
    <t>주식회사워시스왓</t>
  </si>
  <si>
    <t>아이디웨어</t>
  </si>
  <si>
    <t>(주)디든로보틱스</t>
  </si>
  <si>
    <t>(주)아루</t>
  </si>
  <si>
    <t>알엑스 주식회사</t>
  </si>
  <si>
    <t>(주)포스백스</t>
  </si>
  <si>
    <t>(주)패러데이다이나믹스</t>
  </si>
  <si>
    <t>위즈진(주)</t>
  </si>
  <si>
    <t>(주)에스씨바이오</t>
  </si>
  <si>
    <t>커리어데이주식회사</t>
  </si>
  <si>
    <t>(주)엠디바이오팜</t>
  </si>
  <si>
    <t>네트로피(주)</t>
  </si>
  <si>
    <t>(주)외식인</t>
  </si>
  <si>
    <t>(주)구하다 (TEMCO 양도 )</t>
  </si>
  <si>
    <t>(주)모빌린트</t>
  </si>
  <si>
    <t>주식회사 엔도로보틱스</t>
  </si>
  <si>
    <t>애티스랩 (1차)</t>
  </si>
  <si>
    <t>식스티헤르츠(주)</t>
  </si>
  <si>
    <t>주식회사오픈에셋(OpenAssetInc.)</t>
  </si>
  <si>
    <t>(주)더부즈</t>
  </si>
  <si>
    <t>주식회사툰스퀘어(Toonsquare)</t>
  </si>
  <si>
    <t>페블스퀘어</t>
  </si>
  <si>
    <t>(주)프레시지</t>
  </si>
  <si>
    <t>더스윙</t>
  </si>
  <si>
    <t>(주)에이트테크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</si>
  <si>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</si>
  <si>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 브레인유</t>
  </si>
  <si>
    <t>(주)소셜인베스팅랩</t>
  </si>
  <si>
    <t>(주)그리너지</t>
  </si>
  <si>
    <t>이공이공</t>
  </si>
  <si>
    <t>이너시아</t>
  </si>
  <si>
    <t>주식회사 포켓잭스</t>
  </si>
  <si>
    <t>트릴리언랩스</t>
  </si>
  <si>
    <t>(주)베슬에이아이코리아</t>
  </si>
  <si>
    <t>캥스터즈</t>
  </si>
  <si>
    <t>주식회사플리퍼코퍼레이션</t>
  </si>
  <si>
    <t>블루바이블루</t>
  </si>
  <si>
    <t>주식회사 모핀</t>
  </si>
  <si>
    <t>(주)콩스튜디오코리아</t>
  </si>
  <si>
    <t>(주)레몬트리</t>
  </si>
  <si>
    <t>주식회사 메디아크</t>
  </si>
  <si>
    <t>(주)매이드</t>
  </si>
  <si>
    <t>(주)무인탐사연구소</t>
  </si>
  <si>
    <t>뉴라이즌(NEWRIZON)</t>
  </si>
  <si>
    <t>주식회사이십사점오</t>
  </si>
  <si>
    <t>주식회사 도르코퍼레이션</t>
  </si>
  <si>
    <t>(주)그로잉랩</t>
  </si>
  <si>
    <t>주식회사에이치투케이</t>
  </si>
  <si>
    <t>마젠트</t>
  </si>
  <si>
    <t>페이워크</t>
  </si>
  <si>
    <t>별따러가자</t>
  </si>
  <si>
    <t>(주)서울로보틱스</t>
  </si>
  <si>
    <t>슬래시 비 슬래시(Slash B Slash)</t>
  </si>
  <si>
    <t>띵스플로우</t>
  </si>
  <si>
    <t>비욘드알 주식회사</t>
  </si>
  <si>
    <t>주식회사 긱플래너</t>
  </si>
  <si>
    <t>(주)세컨핸즈</t>
  </si>
  <si>
    <t>(주)신드롬즈</t>
  </si>
  <si>
    <t>□ 누적실적 비교</t>
    <phoneticPr fontId="36" type="noConversion"/>
  </si>
  <si>
    <t>기업당 평균 창출인원</t>
    <phoneticPr fontId="36" type="noConversion"/>
  </si>
  <si>
    <t xml:space="preserve">  * 기타 데이터 제외(사업자번호 미상, 해외기업)</t>
    <phoneticPr fontId="36" type="noConversion"/>
  </si>
  <si>
    <r>
      <t>25</t>
    </r>
    <r>
      <rPr>
        <b/>
        <sz val="10"/>
        <color rgb="FF000000"/>
        <rFont val="맑은 고딕"/>
        <family val="3"/>
        <charset val="129"/>
      </rPr>
      <t>년 대비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2"/>
        <charset val="129"/>
      </rPr>
      <t>현재</t>
    </r>
    <phoneticPr fontId="36" type="noConversion"/>
  </si>
  <si>
    <t>Deactive_(폐업, 감액, 매각기업)</t>
    <phoneticPr fontId="36" type="noConversion"/>
  </si>
  <si>
    <t>Deactive_(폐업, 청산/매각펀드 포트폴리오 기업)</t>
    <phoneticPr fontId="36" type="noConversion"/>
  </si>
  <si>
    <t>Type2(Active+Deactive)</t>
    <phoneticPr fontId="36" type="noConversion"/>
  </si>
  <si>
    <t>패밀리사(Active+Deactive)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</si>
</sst>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_);[Red]\(0\)"/>
    <numFmt numFmtId="177" formatCode="yyyy\-mm\-dd"/>
    <numFmt numFmtId="178" formatCode="yyyy/mm/dd;;"/>
    <numFmt numFmtId="179" formatCode="_(* #,##0&quot;개사&quot;_);_(* \(#,##0&quot;개사&quot;\);_(* &quot;-&quot;_);_(@_)"/>
    <numFmt numFmtId="180" formatCode="_(* #,##0&quot;명&quot;_);_(* \(#,##0&quot;명&quot;\);_(* &quot;-&quot;_);_(@_)"/>
    <numFmt numFmtId="181" formatCode="0000000000"/>
    <numFmt numFmtId="182" formatCode="_(* #,##0.0&quot;명&quot;_);_(* \(#,##0.0&quot;명&quot;\);_(* &quot;-&quot;_);_(@_)"/>
    <numFmt numFmtId="183" formatCode="_(* #,##0&quot;개사▲&quot;_);_(* #,##0&quot;개사▼&quot;_);_(* &quot;-&quot;_);_(@_)"/>
    <numFmt numFmtId="184" formatCode="0_ "/>
    <numFmt numFmtId="185" formatCode="_(* 0.0%&quot;▲&quot;_);_(* 0.0%&quot;▼&quot;_);_(* &quot;-&quot;_);_(@_)"/>
    <numFmt numFmtId="186" formatCode="_(* #,##0&quot;명▲&quot;_);_(* #,##0&quot;명▼&quot;_);_(* &quot;-&quot;_);_(@_)"/>
    <numFmt numFmtId="187" formatCode="_(* #,##0.0&quot;명▲&quot;_);_(* #,##0.0&quot;명▼&quot;_);_(* &quot;-&quot;_);_(@_)"/>
    <numFmt numFmtId="188" formatCode="0%;\-0%"/>
    <numFmt numFmtId="189" formatCode="_-* #,##0_-;\-* #,##0_-;_-* &quot;-&quot;_-;_-@"/>
  </numFmts>
  <fonts count="41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Malgun Gothic"/>
      <family val="3"/>
      <charset val="129"/>
    </font>
    <font>
      <b/>
      <sz val="16"/>
      <color rgb="FF000000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2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4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0"/>
      <name val="Arial"/>
      <family val="2"/>
    </font>
    <font>
      <sz val="10"/>
      <color rgb="FFFF0000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8"/>
      <name val="Arial"/>
      <family val="3"/>
      <charset val="129"/>
      <scheme val="minor"/>
    </font>
    <font>
      <sz val="10"/>
      <color theme="0" tint="-0.249977111117893"/>
      <name val="Malgun Gothic"/>
      <family val="3"/>
      <charset val="129"/>
    </font>
    <font>
      <sz val="10"/>
      <color theme="0" tint="-0.249977111117893"/>
      <name val="Arial"/>
      <family val="2"/>
    </font>
    <font>
      <b/>
      <sz val="10"/>
      <color rgb="FF000000"/>
      <name val="맑은 고딕"/>
      <family val="2"/>
      <charset val="129"/>
    </font>
    <font>
      <b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3CEFA"/>
        <bgColor rgb="FFB3CEFA"/>
      </patternFill>
    </fill>
    <fill>
      <patternFill patternType="solid">
        <fgColor rgb="FFFDE49A"/>
        <bgColor rgb="FFFDE49A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D8D8D8"/>
        <bgColor rgb="FFD8D8D8"/>
      </patternFill>
    </fill>
    <fill>
      <patternFill patternType="solid">
        <fgColor rgb="FFD2F1DA"/>
        <bgColor rgb="FFD2F1DA"/>
      </patternFill>
    </fill>
    <fill>
      <patternFill patternType="solid">
        <fgColor rgb="FFA6E3B6"/>
        <bgColor rgb="FFA6E3B6"/>
      </patternFill>
    </fill>
    <fill>
      <patternFill patternType="solid">
        <fgColor rgb="FFFEE1CC"/>
        <bgColor rgb="FFFEE1CC"/>
      </patternFill>
    </fill>
    <fill>
      <patternFill patternType="solid">
        <fgColor rgb="FFD9F1F3"/>
        <bgColor rgb="FFD9F1F3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BD5D5"/>
        <bgColor rgb="FFFBD5D5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AD9D6"/>
        <bgColor rgb="FFFAD9D6"/>
      </patternFill>
    </fill>
    <fill>
      <patternFill patternType="solid">
        <fgColor rgb="FFFCE4D6"/>
        <bgColor rgb="FFFCE4D6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6" fontId="10" fillId="0" borderId="0" xfId="0" applyNumberFormat="1" applyFont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4" fillId="0" borderId="0" xfId="0" applyFont="1"/>
    <xf numFmtId="177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78" fontId="4" fillId="0" borderId="0" xfId="0" applyNumberFormat="1" applyFont="1"/>
    <xf numFmtId="176" fontId="1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vertical="center"/>
    </xf>
    <xf numFmtId="177" fontId="10" fillId="0" borderId="0" xfId="0" applyNumberFormat="1" applyFont="1" applyAlignment="1">
      <alignment horizontal="center"/>
    </xf>
    <xf numFmtId="181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76" fontId="10" fillId="0" borderId="0" xfId="0" applyNumberFormat="1" applyFont="1" applyAlignment="1">
      <alignment horizontal="left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0" fillId="0" borderId="0" xfId="0" quotePrefix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0" xfId="0" quotePrefix="1" applyFont="1"/>
    <xf numFmtId="0" fontId="2" fillId="8" borderId="10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10" borderId="1" xfId="0" quotePrefix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84" fontId="3" fillId="0" borderId="0" xfId="0" applyNumberFormat="1" applyFont="1" applyAlignment="1">
      <alignment horizontal="right" vertical="center"/>
    </xf>
    <xf numFmtId="184" fontId="3" fillId="0" borderId="0" xfId="0" applyNumberFormat="1" applyFont="1" applyAlignment="1">
      <alignment vertical="center"/>
    </xf>
    <xf numFmtId="184" fontId="17" fillId="0" borderId="0" xfId="0" applyNumberFormat="1" applyFont="1"/>
    <xf numFmtId="0" fontId="2" fillId="0" borderId="0" xfId="0" applyFont="1" applyAlignment="1">
      <alignment vertical="center"/>
    </xf>
    <xf numFmtId="184" fontId="6" fillId="0" borderId="0" xfId="0" applyNumberFormat="1" applyFont="1" applyAlignment="1">
      <alignment vertical="center"/>
    </xf>
    <xf numFmtId="0" fontId="14" fillId="0" borderId="0" xfId="0" applyFont="1"/>
    <xf numFmtId="0" fontId="18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9" fillId="12" borderId="18" xfId="0" applyFont="1" applyFill="1" applyBorder="1" applyAlignment="1">
      <alignment horizontal="center" vertical="center" wrapText="1"/>
    </xf>
    <xf numFmtId="184" fontId="10" fillId="0" borderId="0" xfId="0" applyNumberFormat="1" applyFont="1" applyAlignment="1">
      <alignment vertical="center"/>
    </xf>
    <xf numFmtId="0" fontId="9" fillId="12" borderId="19" xfId="0" applyFont="1" applyFill="1" applyBorder="1" applyAlignment="1">
      <alignment horizontal="center" vertical="center" wrapText="1"/>
    </xf>
    <xf numFmtId="3" fontId="9" fillId="13" borderId="19" xfId="0" applyNumberFormat="1" applyFont="1" applyFill="1" applyBorder="1" applyAlignment="1">
      <alignment vertical="center" wrapText="1"/>
    </xf>
    <xf numFmtId="3" fontId="9" fillId="13" borderId="20" xfId="0" applyNumberFormat="1" applyFont="1" applyFill="1" applyBorder="1" applyAlignment="1">
      <alignment vertical="center" wrapText="1"/>
    </xf>
    <xf numFmtId="37" fontId="9" fillId="13" borderId="19" xfId="0" applyNumberFormat="1" applyFont="1" applyFill="1" applyBorder="1" applyAlignment="1">
      <alignment vertical="center" wrapText="1"/>
    </xf>
    <xf numFmtId="188" fontId="9" fillId="13" borderId="21" xfId="0" applyNumberFormat="1" applyFont="1" applyFill="1" applyBorder="1" applyAlignment="1">
      <alignment vertical="center" wrapText="1"/>
    </xf>
    <xf numFmtId="3" fontId="9" fillId="14" borderId="19" xfId="0" applyNumberFormat="1" applyFont="1" applyFill="1" applyBorder="1" applyAlignment="1">
      <alignment vertical="center" wrapText="1"/>
    </xf>
    <xf numFmtId="3" fontId="9" fillId="14" borderId="20" xfId="0" applyNumberFormat="1" applyFont="1" applyFill="1" applyBorder="1" applyAlignment="1">
      <alignment vertical="center" wrapText="1"/>
    </xf>
    <xf numFmtId="37" fontId="9" fillId="14" borderId="19" xfId="0" applyNumberFormat="1" applyFont="1" applyFill="1" applyBorder="1" applyAlignment="1">
      <alignment vertical="center" wrapText="1"/>
    </xf>
    <xf numFmtId="188" fontId="9" fillId="14" borderId="21" xfId="0" applyNumberFormat="1" applyFont="1" applyFill="1" applyBorder="1" applyAlignment="1">
      <alignment vertical="center" wrapText="1"/>
    </xf>
    <xf numFmtId="3" fontId="10" fillId="0" borderId="19" xfId="0" applyNumberFormat="1" applyFont="1" applyBorder="1" applyAlignment="1">
      <alignment vertical="center" wrapText="1"/>
    </xf>
    <xf numFmtId="3" fontId="10" fillId="0" borderId="2" xfId="0" applyNumberFormat="1" applyFont="1" applyBorder="1" applyAlignment="1">
      <alignment vertical="center" wrapText="1"/>
    </xf>
    <xf numFmtId="37" fontId="10" fillId="0" borderId="19" xfId="0" applyNumberFormat="1" applyFont="1" applyBorder="1" applyAlignment="1">
      <alignment vertical="center" wrapText="1"/>
    </xf>
    <xf numFmtId="188" fontId="10" fillId="0" borderId="4" xfId="0" applyNumberFormat="1" applyFont="1" applyBorder="1" applyAlignment="1">
      <alignment vertical="center" wrapText="1"/>
    </xf>
    <xf numFmtId="177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3" fontId="9" fillId="15" borderId="19" xfId="0" applyNumberFormat="1" applyFont="1" applyFill="1" applyBorder="1" applyAlignment="1">
      <alignment vertical="center" wrapText="1"/>
    </xf>
    <xf numFmtId="3" fontId="9" fillId="15" borderId="20" xfId="0" applyNumberFormat="1" applyFont="1" applyFill="1" applyBorder="1" applyAlignment="1">
      <alignment vertical="center" wrapText="1"/>
    </xf>
    <xf numFmtId="37" fontId="9" fillId="15" borderId="19" xfId="0" applyNumberFormat="1" applyFont="1" applyFill="1" applyBorder="1" applyAlignment="1">
      <alignment vertical="center" wrapText="1"/>
    </xf>
    <xf numFmtId="188" fontId="9" fillId="15" borderId="21" xfId="0" applyNumberFormat="1" applyFont="1" applyFill="1" applyBorder="1" applyAlignment="1">
      <alignment vertical="center" wrapText="1"/>
    </xf>
    <xf numFmtId="3" fontId="10" fillId="0" borderId="19" xfId="0" applyNumberFormat="1" applyFont="1" applyBorder="1" applyAlignment="1">
      <alignment horizontal="right" vertical="center" wrapText="1"/>
    </xf>
    <xf numFmtId="189" fontId="10" fillId="0" borderId="19" xfId="0" applyNumberFormat="1" applyFont="1" applyBorder="1" applyAlignment="1">
      <alignment horizontal="right" vertical="center" wrapText="1"/>
    </xf>
    <xf numFmtId="189" fontId="10" fillId="0" borderId="19" xfId="0" applyNumberFormat="1" applyFont="1" applyBorder="1" applyAlignment="1">
      <alignment vertical="center" wrapText="1"/>
    </xf>
    <xf numFmtId="3" fontId="9" fillId="16" borderId="19" xfId="0" applyNumberFormat="1" applyFont="1" applyFill="1" applyBorder="1" applyAlignment="1">
      <alignment vertical="center" wrapText="1"/>
    </xf>
    <xf numFmtId="3" fontId="9" fillId="16" borderId="20" xfId="0" applyNumberFormat="1" applyFont="1" applyFill="1" applyBorder="1" applyAlignment="1">
      <alignment vertical="center" wrapText="1"/>
    </xf>
    <xf numFmtId="37" fontId="9" fillId="16" borderId="19" xfId="0" applyNumberFormat="1" applyFont="1" applyFill="1" applyBorder="1" applyAlignment="1">
      <alignment vertical="center" wrapText="1"/>
    </xf>
    <xf numFmtId="188" fontId="9" fillId="16" borderId="21" xfId="0" applyNumberFormat="1" applyFont="1" applyFill="1" applyBorder="1" applyAlignment="1">
      <alignment vertical="center" wrapText="1"/>
    </xf>
    <xf numFmtId="3" fontId="19" fillId="0" borderId="19" xfId="0" applyNumberFormat="1" applyFont="1" applyBorder="1" applyAlignment="1">
      <alignment vertical="center" wrapText="1"/>
    </xf>
    <xf numFmtId="3" fontId="19" fillId="0" borderId="2" xfId="0" applyNumberFormat="1" applyFont="1" applyBorder="1" applyAlignment="1">
      <alignment vertical="center" wrapText="1"/>
    </xf>
    <xf numFmtId="37" fontId="19" fillId="0" borderId="19" xfId="0" applyNumberFormat="1" applyFont="1" applyBorder="1" applyAlignment="1">
      <alignment vertical="center" wrapText="1"/>
    </xf>
    <xf numFmtId="188" fontId="19" fillId="0" borderId="4" xfId="0" applyNumberFormat="1" applyFont="1" applyBorder="1" applyAlignment="1">
      <alignment vertical="center" wrapText="1"/>
    </xf>
    <xf numFmtId="3" fontId="11" fillId="17" borderId="19" xfId="0" applyNumberFormat="1" applyFont="1" applyFill="1" applyBorder="1" applyAlignment="1">
      <alignment vertical="center" wrapText="1"/>
    </xf>
    <xf numFmtId="3" fontId="11" fillId="17" borderId="20" xfId="0" applyNumberFormat="1" applyFont="1" applyFill="1" applyBorder="1" applyAlignment="1">
      <alignment vertical="center" wrapText="1"/>
    </xf>
    <xf numFmtId="37" fontId="11" fillId="17" borderId="19" xfId="0" applyNumberFormat="1" applyFont="1" applyFill="1" applyBorder="1" applyAlignment="1">
      <alignment vertical="center" wrapText="1"/>
    </xf>
    <xf numFmtId="188" fontId="11" fillId="17" borderId="21" xfId="0" applyNumberFormat="1" applyFont="1" applyFill="1" applyBorder="1" applyAlignment="1">
      <alignment vertical="center" wrapText="1"/>
    </xf>
    <xf numFmtId="0" fontId="21" fillId="0" borderId="0" xfId="0" applyFont="1" applyAlignment="1">
      <alignment vertical="center"/>
    </xf>
    <xf numFmtId="0" fontId="3" fillId="18" borderId="1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21" fillId="0" borderId="0" xfId="0" applyFont="1" applyAlignment="1">
      <alignment horizontal="center" vertical="center"/>
    </xf>
    <xf numFmtId="0" fontId="10" fillId="0" borderId="0" xfId="0" quotePrefix="1" applyFont="1" applyAlignment="1">
      <alignment vertical="center" wrapText="1"/>
    </xf>
    <xf numFmtId="184" fontId="2" fillId="0" borderId="0" xfId="0" applyNumberFormat="1" applyFont="1"/>
    <xf numFmtId="177" fontId="21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/>
    </xf>
    <xf numFmtId="189" fontId="7" fillId="0" borderId="0" xfId="0" applyNumberFormat="1" applyFont="1" applyAlignment="1">
      <alignment vertical="center"/>
    </xf>
    <xf numFmtId="189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10" fillId="13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2" fillId="0" borderId="25" xfId="0" applyFont="1" applyBorder="1"/>
    <xf numFmtId="0" fontId="0" fillId="0" borderId="0" xfId="0"/>
    <xf numFmtId="0" fontId="12" fillId="0" borderId="26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6" xfId="0" applyFont="1" applyBorder="1"/>
    <xf numFmtId="0" fontId="10" fillId="0" borderId="2" xfId="0" applyFont="1" applyBorder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10" fillId="19" borderId="5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1" fillId="17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0" fillId="13" borderId="23" xfId="0" applyFont="1" applyFill="1" applyBorder="1" applyAlignment="1">
      <alignment horizontal="left" vertical="center" wrapText="1"/>
    </xf>
    <xf numFmtId="0" fontId="12" fillId="0" borderId="23" xfId="0" applyFont="1" applyBorder="1"/>
    <xf numFmtId="0" fontId="12" fillId="0" borderId="17" xfId="0" applyFont="1" applyBorder="1"/>
    <xf numFmtId="0" fontId="4" fillId="16" borderId="23" xfId="0" applyFont="1" applyFill="1" applyBorder="1" applyAlignment="1">
      <alignment horizontal="left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left" vertical="center" wrapText="1"/>
    </xf>
    <xf numFmtId="0" fontId="10" fillId="14" borderId="24" xfId="0" applyFont="1" applyFill="1" applyBorder="1" applyAlignment="1">
      <alignment horizontal="center" vertical="center" wrapText="1"/>
    </xf>
    <xf numFmtId="0" fontId="9" fillId="16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0" fontId="9" fillId="14" borderId="2" xfId="0" applyFont="1" applyFill="1" applyBorder="1" applyAlignment="1">
      <alignment horizontal="left" vertical="center" wrapText="1"/>
    </xf>
    <xf numFmtId="0" fontId="9" fillId="12" borderId="2" xfId="0" quotePrefix="1" applyFont="1" applyFill="1" applyBorder="1" applyAlignment="1">
      <alignment horizontal="center" vertical="center" wrapText="1"/>
    </xf>
    <xf numFmtId="3" fontId="9" fillId="13" borderId="2" xfId="0" applyNumberFormat="1" applyFont="1" applyFill="1" applyBorder="1" applyAlignment="1">
      <alignment vertical="center" wrapText="1"/>
    </xf>
    <xf numFmtId="0" fontId="12" fillId="0" borderId="22" xfId="0" applyFont="1" applyBorder="1"/>
    <xf numFmtId="3" fontId="9" fillId="14" borderId="2" xfId="0" applyNumberFormat="1" applyFont="1" applyFill="1" applyBorder="1" applyAlignment="1">
      <alignment vertical="center" wrapText="1"/>
    </xf>
    <xf numFmtId="3" fontId="10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22" fillId="12" borderId="2" xfId="0" applyFont="1" applyFill="1" applyBorder="1" applyAlignment="1">
      <alignment horizontal="center" vertical="center" wrapText="1"/>
    </xf>
    <xf numFmtId="3" fontId="4" fillId="0" borderId="25" xfId="0" applyNumberFormat="1" applyFont="1" applyBorder="1" applyAlignment="1">
      <alignment vertical="center" wrapText="1"/>
    </xf>
    <xf numFmtId="0" fontId="12" fillId="0" borderId="1" xfId="0" applyFont="1" applyBorder="1"/>
    <xf numFmtId="3" fontId="11" fillId="0" borderId="25" xfId="0" applyNumberFormat="1" applyFont="1" applyBorder="1" applyAlignment="1">
      <alignment vertical="center" wrapText="1"/>
    </xf>
    <xf numFmtId="3" fontId="9" fillId="15" borderId="2" xfId="0" applyNumberFormat="1" applyFont="1" applyFill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0" fontId="3" fillId="0" borderId="0" xfId="0" applyFont="1" applyAlignment="1">
      <alignment horizontal="right"/>
    </xf>
    <xf numFmtId="0" fontId="9" fillId="15" borderId="2" xfId="0" applyFont="1" applyFill="1" applyBorder="1" applyAlignment="1">
      <alignment horizontal="left" vertical="center" wrapText="1"/>
    </xf>
    <xf numFmtId="0" fontId="10" fillId="15" borderId="24" xfId="0" applyFont="1" applyFill="1" applyBorder="1" applyAlignment="1">
      <alignment horizontal="left" vertical="center" wrapText="1"/>
    </xf>
    <xf numFmtId="0" fontId="4" fillId="0" borderId="2" xfId="0" quotePrefix="1" applyFont="1" applyBorder="1" applyAlignment="1">
      <alignment horizontal="center" vertical="center"/>
    </xf>
    <xf numFmtId="179" fontId="2" fillId="8" borderId="2" xfId="0" applyNumberFormat="1" applyFont="1" applyFill="1" applyBorder="1" applyAlignment="1">
      <alignment horizontal="center" vertical="center"/>
    </xf>
    <xf numFmtId="180" fontId="2" fillId="8" borderId="2" xfId="0" applyNumberFormat="1" applyFont="1" applyFill="1" applyBorder="1" applyAlignment="1">
      <alignment horizontal="center" vertical="center"/>
    </xf>
    <xf numFmtId="180" fontId="14" fillId="8" borderId="2" xfId="0" applyNumberFormat="1" applyFont="1" applyFill="1" applyBorder="1" applyAlignment="1">
      <alignment horizontal="center" vertical="center"/>
    </xf>
    <xf numFmtId="182" fontId="14" fillId="8" borderId="2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1" fillId="5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179" fontId="2" fillId="7" borderId="2" xfId="0" applyNumberFormat="1" applyFont="1" applyFill="1" applyBorder="1" applyAlignment="1">
      <alignment horizontal="center" vertical="center"/>
    </xf>
    <xf numFmtId="180" fontId="2" fillId="7" borderId="2" xfId="0" applyNumberFormat="1" applyFont="1" applyFill="1" applyBorder="1" applyAlignment="1">
      <alignment horizontal="center" vertical="center"/>
    </xf>
    <xf numFmtId="180" fontId="14" fillId="7" borderId="2" xfId="0" applyNumberFormat="1" applyFont="1" applyFill="1" applyBorder="1" applyAlignment="1">
      <alignment horizontal="center" vertical="center"/>
    </xf>
    <xf numFmtId="182" fontId="14" fillId="7" borderId="2" xfId="0" applyNumberFormat="1" applyFont="1" applyFill="1" applyBorder="1" applyAlignment="1">
      <alignment horizontal="center" vertical="center"/>
    </xf>
    <xf numFmtId="0" fontId="37" fillId="0" borderId="2" xfId="0" applyFont="1" applyBorder="1" applyAlignment="1">
      <alignment horizontal="left" vertical="center" wrapText="1"/>
    </xf>
    <xf numFmtId="0" fontId="38" fillId="0" borderId="3" xfId="0" applyFont="1" applyBorder="1"/>
    <xf numFmtId="0" fontId="38" fillId="0" borderId="4" xfId="0" applyFont="1" applyBorder="1"/>
    <xf numFmtId="3" fontId="37" fillId="0" borderId="19" xfId="0" applyNumberFormat="1" applyFont="1" applyBorder="1" applyAlignment="1">
      <alignment vertical="center" wrapText="1"/>
    </xf>
    <xf numFmtId="3" fontId="37" fillId="0" borderId="2" xfId="0" applyNumberFormat="1" applyFont="1" applyBorder="1" applyAlignment="1">
      <alignment vertical="center" wrapText="1"/>
    </xf>
    <xf numFmtId="37" fontId="37" fillId="0" borderId="19" xfId="0" applyNumberFormat="1" applyFont="1" applyBorder="1" applyAlignment="1">
      <alignment vertical="center" wrapText="1"/>
    </xf>
    <xf numFmtId="188" fontId="37" fillId="0" borderId="4" xfId="0" applyNumberFormat="1" applyFont="1" applyBorder="1" applyAlignment="1">
      <alignment vertical="center" wrapText="1"/>
    </xf>
    <xf numFmtId="3" fontId="37" fillId="0" borderId="2" xfId="0" applyNumberFormat="1" applyFont="1" applyBorder="1" applyAlignment="1">
      <alignment vertical="center" wrapText="1"/>
    </xf>
    <xf numFmtId="3" fontId="37" fillId="0" borderId="19" xfId="0" applyNumberFormat="1" applyFont="1" applyBorder="1" applyAlignment="1">
      <alignment horizontal="right" vertical="center" wrapText="1"/>
    </xf>
    <xf numFmtId="0" fontId="14" fillId="6" borderId="2" xfId="0" applyFont="1" applyFill="1" applyBorder="1" applyAlignment="1">
      <alignment horizontal="center" vertical="center"/>
    </xf>
    <xf numFmtId="0" fontId="40" fillId="0" borderId="3" xfId="0" applyFont="1" applyBorder="1"/>
    <xf numFmtId="0" fontId="40" fillId="0" borderId="4" xfId="0" applyFont="1" applyBorder="1"/>
    <xf numFmtId="183" fontId="14" fillId="6" borderId="11" xfId="0" applyNumberFormat="1" applyFont="1" applyFill="1" applyBorder="1" applyAlignment="1">
      <alignment horizontal="right" vertical="center"/>
    </xf>
    <xf numFmtId="185" fontId="14" fillId="6" borderId="12" xfId="0" applyNumberFormat="1" applyFont="1" applyFill="1" applyBorder="1" applyAlignment="1">
      <alignment horizontal="right" vertical="center"/>
    </xf>
    <xf numFmtId="186" fontId="14" fillId="6" borderId="11" xfId="0" applyNumberFormat="1" applyFont="1" applyFill="1" applyBorder="1" applyAlignment="1">
      <alignment horizontal="right" vertical="center"/>
    </xf>
    <xf numFmtId="187" fontId="14" fillId="6" borderId="1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ometax.go.kr/websquare/websquare.html?w2xPath=/ui/pp/index_pp.xml&amp;tmIdx=43&amp;tm2lIdx=4306000000&amp;tm3lIdx=4306080000" TargetMode="External"/><Relationship Id="rId2" Type="http://schemas.openxmlformats.org/officeDocument/2006/relationships/hyperlink" Target="https://docs.google.com/spreadsheets/d/1aowpVr5dWfl13xEbOCSxlDxVHfjqBIftSob_Ou_vzkg/edit?usp=sharing" TargetMode="External"/><Relationship Id="rId1" Type="http://schemas.openxmlformats.org/officeDocument/2006/relationships/hyperlink" Target="https://docs.google.com/spreadsheets/d/1ys-m8-2GKedgEtluyLaZcVbAlNoj6D3vToYE4BaIKZ8/edit?usp=sharing" TargetMode="External"/><Relationship Id="rId6" Type="http://schemas.openxmlformats.org/officeDocument/2006/relationships/hyperlink" Target="https://www.cretop.com/" TargetMode="External"/><Relationship Id="rId5" Type="http://schemas.openxmlformats.org/officeDocument/2006/relationships/hyperlink" Target="https://thevc.kr/" TargetMode="External"/><Relationship Id="rId4" Type="http://schemas.openxmlformats.org/officeDocument/2006/relationships/hyperlink" Target="https://data.nps.or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P21" sqref="P21"/>
    </sheetView>
  </sheetViews>
  <sheetFormatPr defaultColWidth="12.6328125" defaultRowHeight="15" customHeight="1" outlineLevelRow="1"/>
  <cols>
    <col min="1" max="1" width="1.6328125" customWidth="1"/>
    <col min="2" max="3" width="3.08984375" customWidth="1"/>
    <col min="4" max="4" width="11.6328125" customWidth="1"/>
    <col min="5" max="6" width="11.26953125" customWidth="1"/>
    <col min="7" max="7" width="11.453125" customWidth="1"/>
    <col min="8" max="8" width="9.26953125" customWidth="1"/>
    <col min="9" max="9" width="10.7265625" customWidth="1"/>
    <col min="10" max="11" width="12.36328125" customWidth="1"/>
    <col min="12" max="13" width="10" customWidth="1"/>
    <col min="14" max="14" width="11.7265625" customWidth="1"/>
    <col min="15" max="16" width="7.453125" customWidth="1"/>
    <col min="17" max="18" width="9.1796875" customWidth="1"/>
    <col min="19" max="26" width="7.6328125" customWidth="1"/>
  </cols>
  <sheetData>
    <row r="1" spans="1:18" ht="31.5" customHeight="1">
      <c r="A1" s="8"/>
      <c r="B1" s="187" t="s">
        <v>2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8" ht="1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8" ht="15.75" customHeight="1">
      <c r="A3" s="8"/>
      <c r="B3" s="188" t="s">
        <v>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</row>
    <row r="4" spans="1:18" ht="17.5">
      <c r="A4" s="8"/>
      <c r="B4" s="16" t="s">
        <v>2211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22.5" customHeight="1">
      <c r="A5" s="8"/>
      <c r="B5" s="189" t="s">
        <v>7</v>
      </c>
      <c r="C5" s="140"/>
      <c r="D5" s="141"/>
      <c r="E5" s="189" t="s">
        <v>15</v>
      </c>
      <c r="F5" s="141"/>
      <c r="G5" s="189" t="s">
        <v>17</v>
      </c>
      <c r="H5" s="141"/>
      <c r="I5" s="189" t="s">
        <v>18</v>
      </c>
      <c r="J5" s="141"/>
      <c r="K5" s="189" t="s">
        <v>22</v>
      </c>
      <c r="L5" s="141"/>
      <c r="M5" s="189" t="s">
        <v>2212</v>
      </c>
      <c r="N5" s="141"/>
      <c r="O5" s="14"/>
      <c r="P5" s="14"/>
      <c r="Q5" s="14"/>
      <c r="R5" s="14"/>
    </row>
    <row r="6" spans="1:18" ht="22.5" customHeight="1">
      <c r="A6" s="8"/>
      <c r="B6" s="190" t="s">
        <v>25</v>
      </c>
      <c r="C6" s="131"/>
      <c r="D6" s="132"/>
      <c r="E6" s="191">
        <v>5179</v>
      </c>
      <c r="F6" s="141"/>
      <c r="G6" s="192">
        <v>214090</v>
      </c>
      <c r="H6" s="141"/>
      <c r="I6" s="192">
        <v>337095</v>
      </c>
      <c r="J6" s="141"/>
      <c r="K6" s="193">
        <f t="shared" ref="K6:K13" si="0">I6-G6</f>
        <v>123005</v>
      </c>
      <c r="L6" s="141"/>
      <c r="M6" s="194">
        <f t="shared" ref="M6:M13" si="1">K6/E6</f>
        <v>23.750724078007337</v>
      </c>
      <c r="N6" s="141"/>
      <c r="O6" s="14"/>
      <c r="P6" s="14"/>
      <c r="Q6" s="14"/>
      <c r="R6" s="14"/>
    </row>
    <row r="7" spans="1:18" ht="22.5" hidden="1" customHeight="1" outlineLevel="1">
      <c r="A7" s="8"/>
      <c r="B7" s="40"/>
      <c r="C7" s="181" t="s">
        <v>8</v>
      </c>
      <c r="D7" s="141"/>
      <c r="E7" s="162">
        <v>436</v>
      </c>
      <c r="F7" s="141"/>
      <c r="G7" s="163">
        <v>2578</v>
      </c>
      <c r="H7" s="141"/>
      <c r="I7" s="163">
        <v>6487</v>
      </c>
      <c r="J7" s="141"/>
      <c r="K7" s="163">
        <f t="shared" si="0"/>
        <v>3909</v>
      </c>
      <c r="L7" s="141"/>
      <c r="M7" s="164">
        <f t="shared" si="1"/>
        <v>8.9655963302752291</v>
      </c>
      <c r="N7" s="141"/>
      <c r="O7" s="14"/>
      <c r="P7" s="14"/>
      <c r="Q7" s="14"/>
      <c r="R7" s="14"/>
    </row>
    <row r="8" spans="1:18" ht="22.5" hidden="1" customHeight="1" outlineLevel="1">
      <c r="A8" s="8"/>
      <c r="B8" s="43"/>
      <c r="C8" s="181" t="s">
        <v>14</v>
      </c>
      <c r="D8" s="141"/>
      <c r="E8" s="162">
        <v>1120</v>
      </c>
      <c r="F8" s="141"/>
      <c r="G8" s="163">
        <v>16563</v>
      </c>
      <c r="H8" s="141"/>
      <c r="I8" s="163">
        <v>34365</v>
      </c>
      <c r="J8" s="141"/>
      <c r="K8" s="163">
        <f t="shared" si="0"/>
        <v>17802</v>
      </c>
      <c r="L8" s="141"/>
      <c r="M8" s="164">
        <f t="shared" si="1"/>
        <v>15.894642857142857</v>
      </c>
      <c r="N8" s="141"/>
      <c r="O8" s="14"/>
      <c r="P8" s="14"/>
      <c r="Q8" s="14"/>
      <c r="R8" s="14"/>
    </row>
    <row r="9" spans="1:18" ht="22.5" hidden="1" customHeight="1" outlineLevel="1">
      <c r="A9" s="8"/>
      <c r="B9" s="44"/>
      <c r="C9" s="161" t="s">
        <v>80</v>
      </c>
      <c r="D9" s="141"/>
      <c r="E9" s="162">
        <v>3760</v>
      </c>
      <c r="F9" s="141"/>
      <c r="G9" s="163">
        <v>195751</v>
      </c>
      <c r="H9" s="141"/>
      <c r="I9" s="163">
        <v>299556</v>
      </c>
      <c r="J9" s="141"/>
      <c r="K9" s="163">
        <f t="shared" si="0"/>
        <v>103805</v>
      </c>
      <c r="L9" s="141"/>
      <c r="M9" s="164">
        <f t="shared" si="1"/>
        <v>27.607712765957448</v>
      </c>
      <c r="N9" s="141"/>
      <c r="O9" s="14"/>
      <c r="P9" s="14"/>
      <c r="Q9" s="14"/>
      <c r="R9" s="14"/>
    </row>
    <row r="10" spans="1:18" ht="22.5" customHeight="1" collapsed="1">
      <c r="A10" s="8"/>
      <c r="B10" s="186" t="s">
        <v>91</v>
      </c>
      <c r="C10" s="131"/>
      <c r="D10" s="132"/>
      <c r="E10" s="182">
        <f>I46</f>
        <v>5327</v>
      </c>
      <c r="F10" s="141"/>
      <c r="G10" s="183">
        <f>J46</f>
        <v>218475</v>
      </c>
      <c r="H10" s="141"/>
      <c r="I10" s="183">
        <f>K46</f>
        <v>342146</v>
      </c>
      <c r="J10" s="141"/>
      <c r="K10" s="184">
        <f t="shared" si="0"/>
        <v>123671</v>
      </c>
      <c r="L10" s="141"/>
      <c r="M10" s="185">
        <f t="shared" si="1"/>
        <v>23.215881359113947</v>
      </c>
      <c r="N10" s="141"/>
      <c r="O10" s="14"/>
      <c r="P10" s="14"/>
      <c r="Q10" s="14"/>
      <c r="R10" s="14"/>
    </row>
    <row r="11" spans="1:18" ht="22.5" hidden="1" customHeight="1" outlineLevel="1">
      <c r="A11" s="8"/>
      <c r="B11" s="48"/>
      <c r="C11" s="181" t="s">
        <v>8</v>
      </c>
      <c r="D11" s="141"/>
      <c r="E11" s="162">
        <f>I30</f>
        <v>501</v>
      </c>
      <c r="F11" s="141"/>
      <c r="G11" s="163">
        <f>J30</f>
        <v>3804</v>
      </c>
      <c r="H11" s="141"/>
      <c r="I11" s="163">
        <f>K30</f>
        <v>8084</v>
      </c>
      <c r="J11" s="141"/>
      <c r="K11" s="163">
        <f t="shared" si="0"/>
        <v>4280</v>
      </c>
      <c r="L11" s="141"/>
      <c r="M11" s="164">
        <f t="shared" si="1"/>
        <v>8.5429141716566868</v>
      </c>
      <c r="N11" s="141"/>
      <c r="O11" s="14"/>
      <c r="P11" s="14"/>
      <c r="Q11" s="14"/>
      <c r="R11" s="14"/>
    </row>
    <row r="12" spans="1:18" ht="22.5" hidden="1" customHeight="1" outlineLevel="1">
      <c r="A12" s="8"/>
      <c r="B12" s="54"/>
      <c r="C12" s="161" t="s">
        <v>14</v>
      </c>
      <c r="D12" s="141"/>
      <c r="E12" s="162">
        <f>I37</f>
        <v>1234</v>
      </c>
      <c r="F12" s="141"/>
      <c r="G12" s="163">
        <f>J37</f>
        <v>20047</v>
      </c>
      <c r="H12" s="141"/>
      <c r="I12" s="163">
        <f>K37</f>
        <v>38681</v>
      </c>
      <c r="J12" s="141"/>
      <c r="K12" s="163">
        <f t="shared" si="0"/>
        <v>18634</v>
      </c>
      <c r="L12" s="141"/>
      <c r="M12" s="164">
        <f t="shared" si="1"/>
        <v>15.100486223662886</v>
      </c>
      <c r="N12" s="141"/>
      <c r="O12" s="14"/>
      <c r="P12" s="14"/>
      <c r="Q12" s="14"/>
      <c r="R12" s="14"/>
    </row>
    <row r="13" spans="1:18" ht="48.75" hidden="1" customHeight="1" outlineLevel="1">
      <c r="A13" s="8"/>
      <c r="B13" s="58"/>
      <c r="C13" s="154" t="s">
        <v>143</v>
      </c>
      <c r="D13" s="141"/>
      <c r="E13" s="162">
        <f>I43</f>
        <v>3760</v>
      </c>
      <c r="F13" s="141"/>
      <c r="G13" s="163">
        <f>J43</f>
        <v>195751</v>
      </c>
      <c r="H13" s="141"/>
      <c r="I13" s="163">
        <f>K43</f>
        <v>299556</v>
      </c>
      <c r="J13" s="141"/>
      <c r="K13" s="163">
        <f t="shared" si="0"/>
        <v>103805</v>
      </c>
      <c r="L13" s="141"/>
      <c r="M13" s="164">
        <f t="shared" si="1"/>
        <v>27.607712765957448</v>
      </c>
      <c r="N13" s="141"/>
      <c r="O13" s="14"/>
      <c r="P13" s="14"/>
      <c r="Q13" s="14"/>
      <c r="R13" s="14"/>
    </row>
    <row r="14" spans="1:18" ht="22.5" customHeight="1" collapsed="1">
      <c r="A14" s="8"/>
      <c r="B14" s="204" t="s">
        <v>2214</v>
      </c>
      <c r="C14" s="205"/>
      <c r="D14" s="206"/>
      <c r="E14" s="207">
        <f>E10-E6</f>
        <v>148</v>
      </c>
      <c r="F14" s="208">
        <f>(E10-E6)/E6</f>
        <v>2.8576945356246379E-2</v>
      </c>
      <c r="G14" s="209">
        <f>G10-G6</f>
        <v>4385</v>
      </c>
      <c r="H14" s="208">
        <f>(G10-G6)/G6</f>
        <v>2.048204026344061E-2</v>
      </c>
      <c r="I14" s="209">
        <f>I10-I6</f>
        <v>5051</v>
      </c>
      <c r="J14" s="208">
        <f>(I10-I6)/I6</f>
        <v>1.4983906613862561E-2</v>
      </c>
      <c r="K14" s="209">
        <f>K10-K6</f>
        <v>666</v>
      </c>
      <c r="L14" s="208">
        <f>(K10-K6)/K6</f>
        <v>5.4144140482094228E-3</v>
      </c>
      <c r="M14" s="210">
        <f>M10-M6</f>
        <v>-0.53484271889339041</v>
      </c>
      <c r="N14" s="208">
        <f>(M10-M6)/M6</f>
        <v>-2.2519006878979463E-2</v>
      </c>
      <c r="O14" s="14"/>
      <c r="P14" s="14"/>
      <c r="Q14" s="14"/>
      <c r="R14" s="14"/>
    </row>
    <row r="15" spans="1:18" ht="3.75" customHeight="1">
      <c r="A15" s="8"/>
      <c r="B15" s="72"/>
      <c r="C15" s="14"/>
      <c r="D15" s="14"/>
      <c r="E15" s="72"/>
      <c r="F15" s="72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ht="18" customHeight="1">
      <c r="A16" s="8"/>
      <c r="B16" s="74" t="s">
        <v>194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8" customHeight="1">
      <c r="A17" s="8"/>
      <c r="B17" s="72" t="s">
        <v>196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18" customHeight="1">
      <c r="A18" s="8"/>
      <c r="B18" s="72" t="s">
        <v>198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ht="18" customHeight="1">
      <c r="A19" s="8"/>
      <c r="B19" s="72" t="s">
        <v>201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18" customHeight="1">
      <c r="A20" s="8"/>
      <c r="B20" s="72" t="s">
        <v>204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8" ht="18" customHeight="1">
      <c r="A21" s="8"/>
      <c r="B21" s="72" t="s">
        <v>207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8" ht="18" customHeight="1">
      <c r="A22" s="8"/>
      <c r="B22" s="72" t="s">
        <v>209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8" ht="18" customHeight="1">
      <c r="A23" s="8"/>
      <c r="B23" s="8" t="s">
        <v>211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8" ht="18" customHeight="1">
      <c r="A24" s="8"/>
      <c r="B24" s="8" t="s">
        <v>212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8" ht="12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8" ht="17.5">
      <c r="A26" s="8"/>
      <c r="B26" s="75" t="s">
        <v>217</v>
      </c>
      <c r="C26" s="21"/>
      <c r="D26" s="21"/>
      <c r="E26" s="21"/>
      <c r="F26" s="21"/>
      <c r="G26" s="21"/>
      <c r="H26" s="21"/>
      <c r="I26" s="21"/>
      <c r="J26" s="21"/>
      <c r="K26" s="21"/>
      <c r="L26" s="76"/>
      <c r="M26" s="31"/>
      <c r="N26" s="31"/>
      <c r="O26" s="31"/>
      <c r="P26" s="31"/>
      <c r="Q26" s="178" t="s">
        <v>219</v>
      </c>
      <c r="R26" s="134"/>
    </row>
    <row r="27" spans="1:18" ht="12" customHeight="1">
      <c r="A27" s="8"/>
      <c r="B27" s="155" t="s">
        <v>7</v>
      </c>
      <c r="C27" s="131"/>
      <c r="D27" s="131"/>
      <c r="E27" s="131"/>
      <c r="F27" s="131"/>
      <c r="G27" s="131"/>
      <c r="H27" s="132"/>
      <c r="I27" s="156" t="s">
        <v>223</v>
      </c>
      <c r="J27" s="148" t="s">
        <v>118</v>
      </c>
      <c r="K27" s="140"/>
      <c r="L27" s="140"/>
      <c r="M27" s="141"/>
      <c r="N27" s="166" t="s">
        <v>225</v>
      </c>
      <c r="O27" s="140"/>
      <c r="P27" s="140"/>
      <c r="Q27" s="140"/>
      <c r="R27" s="141"/>
    </row>
    <row r="28" spans="1:18" ht="30" customHeight="1">
      <c r="A28" s="8"/>
      <c r="B28" s="136"/>
      <c r="C28" s="137"/>
      <c r="D28" s="137"/>
      <c r="E28" s="137"/>
      <c r="F28" s="137"/>
      <c r="G28" s="137"/>
      <c r="H28" s="138"/>
      <c r="I28" s="152"/>
      <c r="J28" s="77" t="s">
        <v>232</v>
      </c>
      <c r="K28" s="77" t="s">
        <v>234</v>
      </c>
      <c r="L28" s="77" t="s">
        <v>235</v>
      </c>
      <c r="M28" s="79" t="s">
        <v>236</v>
      </c>
      <c r="N28" s="77" t="s">
        <v>232</v>
      </c>
      <c r="O28" s="148" t="s">
        <v>234</v>
      </c>
      <c r="P28" s="141"/>
      <c r="Q28" s="77" t="s">
        <v>235</v>
      </c>
      <c r="R28" s="79" t="s">
        <v>236</v>
      </c>
    </row>
    <row r="29" spans="1:18" ht="21.75" customHeight="1">
      <c r="A29" s="8"/>
      <c r="B29" s="157" t="s">
        <v>238</v>
      </c>
      <c r="C29" s="131"/>
      <c r="D29" s="131"/>
      <c r="E29" s="131"/>
      <c r="F29" s="131"/>
      <c r="G29" s="131"/>
      <c r="H29" s="132"/>
      <c r="I29" s="80">
        <f t="array" ref="I29">SUMPRODUCT(--((데이터시트!$B$16:$B$1584&lt;&gt;"")+(데이터시트!$G$16:$G$1584&lt;&gt;"")&gt;0))</f>
        <v>1567</v>
      </c>
      <c r="J29" s="80">
        <f t="array" ref="J29">SUMPRODUCT(--((데이터시트!$B$16:$B$1584&lt;&gt;"")+(데이터시트!$G$16:$G$1584&lt;&gt;"")&gt;0),데이터시트!$P$16:$P$1584)</f>
        <v>22724</v>
      </c>
      <c r="K29" s="81">
        <f t="array" ref="K29">SUMPRODUCT(--((데이터시트!$B$16:$B$1584&lt;&gt;"")+(데이터시트!$G$16:$G$1584&lt;&gt;"")&gt;0),데이터시트!$R$16:$R$1584)</f>
        <v>42590</v>
      </c>
      <c r="L29" s="82">
        <f t="shared" ref="L29:L46" si="2">IFERROR(K29-J29,"-")</f>
        <v>19866</v>
      </c>
      <c r="M29" s="83">
        <f t="shared" ref="M29:M46" si="3">IFERROR(L29/J29,"-")</f>
        <v>0.87422988910403099</v>
      </c>
      <c r="N29" s="80">
        <f t="array" ref="N29">SUMPRODUCT(--((데이터시트!$B$16:$B$1583&lt;&gt;"")+(데이터시트!$G$16:$G$1583&lt;&gt;"")&gt;0),데이터시트!$Y$16:$Y$1583)</f>
        <v>41415</v>
      </c>
      <c r="O29" s="167">
        <f t="array" ref="O29">SUMPRODUCT(--(((데이터시트!$B$16:$B$1583&lt;&gt;"")+(데이터시트!$G$16:$G$1583&lt;&gt;"")&gt;0)),데이터시트!$Z$16:$Z$1583)</f>
        <v>41835</v>
      </c>
      <c r="P29" s="168"/>
      <c r="Q29" s="82">
        <f t="shared" ref="Q29:Q42" si="4">IFERROR(O29-N29,"-")</f>
        <v>420</v>
      </c>
      <c r="R29" s="83">
        <f t="shared" ref="R29:R42" si="5">IFERROR(Q29/N29,"-")</f>
        <v>1.0141253169141615E-2</v>
      </c>
    </row>
    <row r="30" spans="1:18" ht="21.75" customHeight="1">
      <c r="A30" s="8"/>
      <c r="B30" s="150"/>
      <c r="C30" s="165" t="s">
        <v>2218</v>
      </c>
      <c r="D30" s="140"/>
      <c r="E30" s="140"/>
      <c r="F30" s="140"/>
      <c r="G30" s="140"/>
      <c r="H30" s="141"/>
      <c r="I30" s="84">
        <f t="shared" ref="I30:K30" si="6">I31+I32</f>
        <v>501</v>
      </c>
      <c r="J30" s="84">
        <f t="shared" si="6"/>
        <v>3804</v>
      </c>
      <c r="K30" s="85">
        <f t="shared" si="6"/>
        <v>8084</v>
      </c>
      <c r="L30" s="86">
        <f t="shared" si="2"/>
        <v>4280</v>
      </c>
      <c r="M30" s="87">
        <f t="shared" si="3"/>
        <v>1.1251314405888539</v>
      </c>
      <c r="N30" s="84">
        <f t="shared" ref="N30:O30" si="7">N31+N32+N36</f>
        <v>7986</v>
      </c>
      <c r="O30" s="169">
        <f t="shared" si="7"/>
        <v>8037</v>
      </c>
      <c r="P30" s="168"/>
      <c r="Q30" s="86">
        <f t="shared" si="4"/>
        <v>51</v>
      </c>
      <c r="R30" s="87">
        <f t="shared" si="5"/>
        <v>6.386175807663411E-3</v>
      </c>
    </row>
    <row r="31" spans="1:18" ht="21.75" customHeight="1">
      <c r="A31" s="8"/>
      <c r="B31" s="151"/>
      <c r="C31" s="158"/>
      <c r="D31" s="145" t="s">
        <v>323</v>
      </c>
      <c r="E31" s="140"/>
      <c r="F31" s="140"/>
      <c r="G31" s="140"/>
      <c r="H31" s="141"/>
      <c r="I31" s="88">
        <f>COUNTIF(데이터시트!$B$16:$B$1583,"Active")+COUNTIF(데이터시트!$B$16:$B$1583,"Active(입주)")</f>
        <v>417</v>
      </c>
      <c r="J31" s="88">
        <f>SUMIF(데이터시트!$B$16:$B$1583,"Active",데이터시트!$P$16:$P$1583)+SUMIF(데이터시트!$B$16:$B$1583,"Active(입주)",데이터시트!$P$16:$P$1583)</f>
        <v>3544</v>
      </c>
      <c r="K31" s="89">
        <f>SUMIF(데이터시트!$B$16:$B$1583,"Active",데이터시트!$R$16:$R$1583)+SUMIF(데이터시트!$B$16:$B$1583,"Active(입주)",데이터시트!$R$16:$R$1583)</f>
        <v>7597</v>
      </c>
      <c r="L31" s="90">
        <f t="shared" si="2"/>
        <v>4053</v>
      </c>
      <c r="M31" s="91">
        <f t="shared" si="3"/>
        <v>1.1436230248306998</v>
      </c>
      <c r="N31" s="88">
        <f>SUMIF(데이터시트!$B$16:$B$1583,"Active",데이터시트!$Y$16:$Y$1583)+SUMIF(데이터시트!$B$16:$B$1583,"Active(입주)",데이터시트!$Y$16:$Y$1583)</f>
        <v>7575</v>
      </c>
      <c r="O31" s="170">
        <f>SUMIF(데이터시트!$B$16:$B$1583,"Active",데이터시트!$Z$16:$Z$1583)+SUMIF(데이터시트!$B$16:$B$1583,"Active(입주)",데이터시트!$Z$16:$Z$1583)</f>
        <v>7597</v>
      </c>
      <c r="P31" s="141"/>
      <c r="Q31" s="90">
        <f t="shared" si="4"/>
        <v>22</v>
      </c>
      <c r="R31" s="91">
        <f t="shared" si="5"/>
        <v>2.9042904290429044E-3</v>
      </c>
    </row>
    <row r="32" spans="1:18" ht="21.75" customHeight="1">
      <c r="A32" s="8"/>
      <c r="B32" s="151"/>
      <c r="C32" s="151"/>
      <c r="D32" s="145" t="s">
        <v>2215</v>
      </c>
      <c r="E32" s="140"/>
      <c r="F32" s="140"/>
      <c r="G32" s="140"/>
      <c r="H32" s="141"/>
      <c r="I32" s="88">
        <f>COUNTIF(데이터시트!$B$16:$B$1583,"폐업")+COUNTIF(데이터시트!$B$16:$B$1583,"감액")+COUNTIF(데이터시트!$B$16:$B$1583,"매각")</f>
        <v>84</v>
      </c>
      <c r="J32" s="88">
        <f>SUMIF(데이터시트!$B$16:$B$1583,"폐업",데이터시트!$P$16:$P$1583)+SUMIF(데이터시트!$B$16:$B$1583,"감액",데이터시트!$P$16:$P$1583)+SUMIF(데이터시트!$B$16:$B$1583,"매각",데이터시트!$P$16:$P$1583)</f>
        <v>260</v>
      </c>
      <c r="K32" s="89">
        <f>SUMIF(데이터시트!$B$16:$B$1583,"폐업",데이터시트!$R$16:$R$1583)+SUMIF(데이터시트!$B$16:$B$1583,"감액",데이터시트!$R$16:$R$1583)+SUMIF(데이터시트!$B$16:$B$1583,"매각",데이터시트!$R$16:$R$1583)</f>
        <v>487</v>
      </c>
      <c r="L32" s="90">
        <f t="shared" si="2"/>
        <v>227</v>
      </c>
      <c r="M32" s="91">
        <f t="shared" si="3"/>
        <v>0.87307692307692308</v>
      </c>
      <c r="N32" s="88">
        <f>SUMIF(데이터시트!$B$16:$B$1583,"폐업",데이터시트!$Y$16:$Y$1583)+SUMIF(데이터시트!$B$16:$B$1583,"감액",데이터시트!$Y$16:$Y$1583)+SUMIF(데이터시트!$B$16:$B$1583,"매각",데이터시트!$Y$16:$Y$1583)</f>
        <v>411</v>
      </c>
      <c r="O32" s="170">
        <f>SUMIF(데이터시트!$B$16:$B$1583,"폐업",데이터시트!$Z$16:$Z$1583)+SUMIF(데이터시트!$B$16:$B$1583,"감액",데이터시트!$Z$16:$Z$1583)+SUMIF(데이터시트!$B$16:$B$1583,"매각",데이터시트!$Z$16:$Z$1583)</f>
        <v>440</v>
      </c>
      <c r="P32" s="140"/>
      <c r="Q32" s="90">
        <f t="shared" si="4"/>
        <v>29</v>
      </c>
      <c r="R32" s="91">
        <f t="shared" si="5"/>
        <v>7.0559610705596104E-2</v>
      </c>
    </row>
    <row r="33" spans="1:19" ht="21.75" hidden="1" customHeight="1" outlineLevel="1">
      <c r="A33" s="8"/>
      <c r="B33" s="151"/>
      <c r="C33" s="151"/>
      <c r="D33" s="145" t="s">
        <v>376</v>
      </c>
      <c r="E33" s="140"/>
      <c r="F33" s="140"/>
      <c r="G33" s="140"/>
      <c r="H33" s="141"/>
      <c r="I33" s="88">
        <f>COUNTIFS(데이터시트!$B$16:$B$1583,"&lt;&gt;",데이터시트!$T$16:$T$1583,"&lt;&gt;")</f>
        <v>79</v>
      </c>
      <c r="J33" s="88">
        <f>SUMIFS(데이터시트!$P$16:$P$1583,데이터시트!$B$16:$B$1583,"&lt;&gt;",데이터시트!$T$16:$T$1583,"&lt;&gt;")</f>
        <v>214</v>
      </c>
      <c r="K33" s="89">
        <f>SUMIFS(데이터시트!$R$16:$R$1583,데이터시트!$B$16:$B$1583,"&lt;&gt;",데이터시트!$T$16:$T$1583,"&lt;&gt;")</f>
        <v>41</v>
      </c>
      <c r="L33" s="90">
        <f t="shared" si="2"/>
        <v>-173</v>
      </c>
      <c r="M33" s="91">
        <f t="shared" si="3"/>
        <v>-0.80841121495327106</v>
      </c>
      <c r="N33" s="88">
        <f>SUMIFS(데이터시트!$Y$16:$Y$1583,데이터시트!$B$16:$B$1583,"&lt;&gt;",데이터시트!$T$16:$T$1583,"&lt;&gt;")</f>
        <v>6</v>
      </c>
      <c r="O33" s="170">
        <f>SUMIFS(데이터시트!$Z$16:$Z$1583,데이터시트!$B$16:$B$1583,"&lt;&gt;",데이터시트!$T$16:$T$1583,"&lt;&gt;")</f>
        <v>0</v>
      </c>
      <c r="P33" s="141"/>
      <c r="Q33" s="90">
        <f t="shared" si="4"/>
        <v>-6</v>
      </c>
      <c r="R33" s="91">
        <f t="shared" si="5"/>
        <v>-1</v>
      </c>
    </row>
    <row r="34" spans="1:19" ht="21.75" hidden="1" customHeight="1" outlineLevel="1">
      <c r="A34" s="8"/>
      <c r="B34" s="151"/>
      <c r="C34" s="151"/>
      <c r="D34" s="145" t="s">
        <v>390</v>
      </c>
      <c r="E34" s="140"/>
      <c r="F34" s="140"/>
      <c r="G34" s="140"/>
      <c r="H34" s="141"/>
      <c r="I34" s="88">
        <f>COUNTIFS(데이터시트!$B$16:$B$1583,"&lt;&gt;",데이터시트!$D$16:$D$1583,"&lt;&gt;",데이터시트!$C$16:$C$1583,"",데이터시트!$E$16:$E$1583,"",데이터시트!$F$16:$F$1583,"",데이터시트!$U$16:$U$1583,"&lt;&gt;")</f>
        <v>9</v>
      </c>
      <c r="J34" s="88">
        <f>SUMIFS(데이터시트!$P$16:$P$1583,데이터시트!$B$16:$B$1583,"&lt;&gt;",데이터시트!$D$16:$D$1583,"&lt;&gt;",데이터시트!$C$16:$C$1583,"",데이터시트!$E$16:$E$1583,"",데이터시트!$F$16:$F$1583,"",데이터시트!$U$16:$U$1583,"&lt;&gt;")</f>
        <v>37</v>
      </c>
      <c r="K34" s="89">
        <f>SUMIFS(데이터시트!$R$16:$R$1583,데이터시트!$B$16:$B$1583,"&lt;&gt;",데이터시트!$D$16:$D$1583,"&lt;&gt;",데이터시트!$C$16:$C$1583,"",데이터시트!$E$16:$E$1583,"",데이터시트!$F$16:$F$1583,"",데이터시트!$U$16:$U$1583,"&lt;&gt;")</f>
        <v>60</v>
      </c>
      <c r="L34" s="90">
        <f t="shared" si="2"/>
        <v>23</v>
      </c>
      <c r="M34" s="91">
        <f t="shared" si="3"/>
        <v>0.6216216216216216</v>
      </c>
      <c r="N34" s="88">
        <f>SUMIFS(데이터시트!$Y$16:$Y$1583,데이터시트!$B$16:$B$1583,"&lt;&gt;",데이터시트!$D$16:$D$1583,"&lt;&gt;",데이터시트!$C$16:$C$1583,"",데이터시트!$E$16:$E$1583,"",데이터시트!$F$16:$F$1583,"",데이터시트!$U$16:$U$1583,"&lt;&gt;")</f>
        <v>36</v>
      </c>
      <c r="O34" s="170">
        <f>SUMIFS(데이터시트!$Z$16:$Z$1583,데이터시트!$B$16:$B$1583,"&lt;&gt;",데이터시트!$D$16:$D$1583,"&lt;&gt;",데이터시트!$C$16:$C$1583,"",데이터시트!$E$16:$E$1583,"",데이터시트!$F$16:$F$1583,"",데이터시트!$U$16:$U$1583,"&lt;&gt;")</f>
        <v>60</v>
      </c>
      <c r="P34" s="141"/>
      <c r="Q34" s="90">
        <f t="shared" si="4"/>
        <v>24</v>
      </c>
      <c r="R34" s="91">
        <f t="shared" si="5"/>
        <v>0.66666666666666663</v>
      </c>
    </row>
    <row r="35" spans="1:19" ht="21.75" hidden="1" customHeight="1" outlineLevel="1">
      <c r="A35" s="8"/>
      <c r="B35" s="151"/>
      <c r="C35" s="151"/>
      <c r="D35" s="145" t="s">
        <v>428</v>
      </c>
      <c r="E35" s="140"/>
      <c r="F35" s="140"/>
      <c r="G35" s="140"/>
      <c r="H35" s="141"/>
      <c r="I35" s="88">
        <f>COUNTIFS(데이터시트!$B$16:$B$1583,"&lt;&gt;",데이터시트!$D$16:$D$1583,"&lt;&gt;",데이터시트!$C$16:$C$1583,"",데이터시트!$E$16:$E$1583,"",데이터시트!$F$16:$F$1583,"",데이터시트!$V$16:$V$1583,"&lt;&gt;")</f>
        <v>12</v>
      </c>
      <c r="J35" s="88">
        <f>SUMIFS(데이터시트!$P$16:$P$1583,데이터시트!$B$16:$B$1583,"&lt;&gt;",데이터시트!$D$16:$D$1583,"&lt;&gt;",데이터시트!$C$16:$C$1583,"",데이터시트!$E$16:$E$1583,"",데이터시트!$F$16:$F$1583,"",데이터시트!$V$16:$V$1583,"&lt;&gt;")</f>
        <v>65</v>
      </c>
      <c r="K35" s="89">
        <f>SUMIFS(데이터시트!$R$16:$R$1583,데이터시트!$B$16:$B$1583,"&lt;&gt;",데이터시트!$D$16:$D$1583,"&lt;&gt;",데이터시트!$C$16:$C$1583,"",데이터시트!$E$16:$E$1583,"",데이터시트!$F$16:$F$1583,"",데이터시트!$V$16:$V$1583,"&lt;&gt;")</f>
        <v>487</v>
      </c>
      <c r="L35" s="90">
        <f t="shared" si="2"/>
        <v>422</v>
      </c>
      <c r="M35" s="91">
        <f t="shared" si="3"/>
        <v>6.4923076923076923</v>
      </c>
      <c r="N35" s="88">
        <f>SUMIFS(데이터시트!$Y$16:$Y$1583,데이터시트!$B$16:$B$1583,"&lt;&gt;",데이터시트!$D$16:$D$1583,"&lt;&gt;",데이터시트!$C$16:$C$1583,"",데이터시트!$E$16:$E$1583,"",데이터시트!$F$16:$F$1583,"",데이터시트!$V$16:$V$1583,"&lt;&gt;")</f>
        <v>405</v>
      </c>
      <c r="O35" s="170">
        <f>SUMIFS(데이터시트!$Z$16:$Z$1583,데이터시트!$B$16:$B$1583,"&lt;&gt;",데이터시트!$D$16:$D$1583,"&lt;&gt;",데이터시트!$C$16:$C$1583,"",데이터시트!$E$16:$E$1583,"",데이터시트!$F$16:$F$1583,"",데이터시트!$V$16:$V$1583,"&lt;&gt;")</f>
        <v>440</v>
      </c>
      <c r="P35" s="141"/>
      <c r="Q35" s="90">
        <f t="shared" si="4"/>
        <v>35</v>
      </c>
      <c r="R35" s="91">
        <f t="shared" si="5"/>
        <v>8.6419753086419748E-2</v>
      </c>
    </row>
    <row r="36" spans="1:19" ht="21.75" customHeight="1" collapsed="1">
      <c r="A36" s="8"/>
      <c r="B36" s="151"/>
      <c r="C36" s="152"/>
      <c r="D36" s="195" t="s">
        <v>2213</v>
      </c>
      <c r="E36" s="196"/>
      <c r="F36" s="196"/>
      <c r="G36" s="196"/>
      <c r="H36" s="197"/>
      <c r="I36" s="198">
        <f>COUNTA('검색불가(336개사_26년 6월)'!$B$5:$B$340)</f>
        <v>6</v>
      </c>
      <c r="J36" s="198">
        <v>0</v>
      </c>
      <c r="K36" s="199">
        <v>0</v>
      </c>
      <c r="L36" s="200">
        <f t="shared" si="2"/>
        <v>0</v>
      </c>
      <c r="M36" s="201" t="str">
        <f t="shared" si="3"/>
        <v>-</v>
      </c>
      <c r="N36" s="198">
        <v>0</v>
      </c>
      <c r="O36" s="202">
        <v>0</v>
      </c>
      <c r="P36" s="197"/>
      <c r="Q36" s="200">
        <f t="shared" si="4"/>
        <v>0</v>
      </c>
      <c r="R36" s="201" t="str">
        <f t="shared" si="5"/>
        <v>-</v>
      </c>
    </row>
    <row r="37" spans="1:19" ht="21.75" customHeight="1">
      <c r="A37" s="8"/>
      <c r="B37" s="151"/>
      <c r="C37" s="179" t="s">
        <v>2217</v>
      </c>
      <c r="D37" s="140"/>
      <c r="E37" s="140"/>
      <c r="F37" s="140"/>
      <c r="G37" s="140"/>
      <c r="H37" s="141"/>
      <c r="I37" s="96">
        <f t="shared" ref="I37:K37" si="8">I38+I39</f>
        <v>1234</v>
      </c>
      <c r="J37" s="96">
        <f t="shared" si="8"/>
        <v>20047</v>
      </c>
      <c r="K37" s="97">
        <f t="shared" si="8"/>
        <v>38681</v>
      </c>
      <c r="L37" s="98">
        <f t="shared" si="2"/>
        <v>18634</v>
      </c>
      <c r="M37" s="99">
        <f t="shared" si="3"/>
        <v>0.92951563825011219</v>
      </c>
      <c r="N37" s="96">
        <f t="shared" ref="N37:O37" si="9">N38+N39+N42</f>
        <v>37435</v>
      </c>
      <c r="O37" s="176">
        <f t="shared" si="9"/>
        <v>37973</v>
      </c>
      <c r="P37" s="168"/>
      <c r="Q37" s="98">
        <f t="shared" si="4"/>
        <v>538</v>
      </c>
      <c r="R37" s="99">
        <f t="shared" si="5"/>
        <v>1.4371577400828102E-2</v>
      </c>
    </row>
    <row r="38" spans="1:19" ht="21.75" customHeight="1">
      <c r="A38" s="8"/>
      <c r="B38" s="151"/>
      <c r="C38" s="180"/>
      <c r="D38" s="145" t="s">
        <v>492</v>
      </c>
      <c r="E38" s="140"/>
      <c r="F38" s="140"/>
      <c r="G38" s="140"/>
      <c r="H38" s="141"/>
      <c r="I38" s="100">
        <f>COUNTIF(데이터시트!$G$16:$G$1583,"Active")</f>
        <v>1094</v>
      </c>
      <c r="J38" s="88">
        <f>SUMIF(데이터시트!$G$16:$G$1583,"Active",데이터시트!$P$16:$P$1583)</f>
        <v>18747</v>
      </c>
      <c r="K38" s="89">
        <f>SUMIF(데이터시트!$G$16:$G$1583,"Active",데이터시트!$R$16:$R$1583)</f>
        <v>37848</v>
      </c>
      <c r="L38" s="90">
        <f t="shared" si="2"/>
        <v>19101</v>
      </c>
      <c r="M38" s="91">
        <f t="shared" si="3"/>
        <v>1.0188830212834052</v>
      </c>
      <c r="N38" s="88">
        <f>SUMIF(데이터시트!$G$16:$G$1583,"Active",데이터시트!$Y$16:$Y$1583)</f>
        <v>37242</v>
      </c>
      <c r="O38" s="170">
        <f>SUMIF(데이터시트!$G$16:$G$1583,"Active",데이터시트!$Z$16:$Z$1583)</f>
        <v>37848</v>
      </c>
      <c r="P38" s="141"/>
      <c r="Q38" s="90">
        <f t="shared" si="4"/>
        <v>606</v>
      </c>
      <c r="R38" s="91">
        <f t="shared" si="5"/>
        <v>1.6271951023038505E-2</v>
      </c>
    </row>
    <row r="39" spans="1:19" ht="21.75" customHeight="1">
      <c r="A39" s="8"/>
      <c r="B39" s="151"/>
      <c r="C39" s="151"/>
      <c r="D39" s="145" t="s">
        <v>2216</v>
      </c>
      <c r="E39" s="140"/>
      <c r="F39" s="140"/>
      <c r="G39" s="140"/>
      <c r="H39" s="141"/>
      <c r="I39" s="100">
        <f>COUNTIF(데이터시트!$G$16:$G$1583,"폐업")+COUNTIF(데이터시트!$G$16:$G$1583,"청산/매각")</f>
        <v>140</v>
      </c>
      <c r="J39" s="88">
        <f>SUMIF(데이터시트!$G$16:$G$1583,"폐업",데이터시트!$P$16:$P$1583)+SUMIF(데이터시트!$G$16:$G$1583,"청산/매각",데이터시트!$P$16:$P$1583)</f>
        <v>1300</v>
      </c>
      <c r="K39" s="89">
        <f>SUMIF(데이터시트!$G$16:$G$1583,"폐업",데이터시트!$R$16:$R$1583)+SUMIF(데이터시트!$G$16:$G$1583,"청산/매각",데이터시트!$R$16:$R$1583)</f>
        <v>833</v>
      </c>
      <c r="L39" s="90">
        <f t="shared" si="2"/>
        <v>-467</v>
      </c>
      <c r="M39" s="91">
        <f t="shared" si="3"/>
        <v>-0.35923076923076924</v>
      </c>
      <c r="N39" s="88">
        <f>SUMIF(데이터시트!$G$16:$G$1583,"폐업",데이터시트!$Y$16:$Y$1583)+SUMIF(데이터시트!$G$16:$G$1583,"청산/매각",데이터시트!$Y$16:$Y$1583)</f>
        <v>193</v>
      </c>
      <c r="O39" s="170">
        <f>SUMIF(데이터시트!$G$16:$G$1583,"폐업",데이터시트!$Z$16:$Z$1583)+SUMIF(데이터시트!$G$16:$G$1583,"청산/매각",데이터시트!$Z$16:$Z$1583)</f>
        <v>125</v>
      </c>
      <c r="P39" s="140"/>
      <c r="Q39" s="90">
        <f t="shared" si="4"/>
        <v>-68</v>
      </c>
      <c r="R39" s="91">
        <f t="shared" si="5"/>
        <v>-0.35233160621761656</v>
      </c>
    </row>
    <row r="40" spans="1:19" ht="21.75" hidden="1" customHeight="1" outlineLevel="1">
      <c r="A40" s="8"/>
      <c r="B40" s="151"/>
      <c r="C40" s="151"/>
      <c r="D40" s="145" t="s">
        <v>376</v>
      </c>
      <c r="E40" s="140"/>
      <c r="F40" s="140"/>
      <c r="G40" s="140"/>
      <c r="H40" s="141"/>
      <c r="I40" s="101">
        <f>COUNTIFS(데이터시트!$G$16:$G$1583,"&lt;&gt;",데이터시트!$T$16:$T$1583,"&lt;&gt;")</f>
        <v>114</v>
      </c>
      <c r="J40" s="102">
        <f>SUMIFS(데이터시트!$P$16:$P$1583,데이터시트!$G$16:$G$1583,"&lt;&gt;",데이터시트!$T$16:$T$1583,"&lt;&gt;")</f>
        <v>1081</v>
      </c>
      <c r="K40" s="89">
        <f>SUMIFS(데이터시트!$R$16:$R$1583,데이터시트!$G$16:$G$1583,"&lt;&gt;",데이터시트!$T$16:$T$1583,"&lt;&gt;")</f>
        <v>24</v>
      </c>
      <c r="L40" s="90">
        <f t="shared" si="2"/>
        <v>-1057</v>
      </c>
      <c r="M40" s="91">
        <f t="shared" si="3"/>
        <v>-0.97779833487511558</v>
      </c>
      <c r="N40" s="88">
        <f>SUMIFS(데이터시트!$Y$16:$Y$1583,데이터시트!$G$16:$G$1583,"&lt;&gt;",데이터시트!$T$16:$T$1583,"&lt;&gt;")</f>
        <v>53</v>
      </c>
      <c r="O40" s="170">
        <f>SUMIFS(데이터시트!$Z$16:$Z$1583,데이터시트!$G$16:$G$1583,"&lt;&gt;",데이터시트!$T$16:$T$1583,"&lt;&gt;")</f>
        <v>0</v>
      </c>
      <c r="P40" s="141"/>
      <c r="Q40" s="90">
        <f t="shared" si="4"/>
        <v>-53</v>
      </c>
      <c r="R40" s="91">
        <f t="shared" si="5"/>
        <v>-1</v>
      </c>
    </row>
    <row r="41" spans="1:19" ht="21.75" hidden="1" customHeight="1" outlineLevel="1">
      <c r="A41" s="8"/>
      <c r="B41" s="151"/>
      <c r="C41" s="151"/>
      <c r="D41" s="145" t="s">
        <v>535</v>
      </c>
      <c r="E41" s="140"/>
      <c r="F41" s="140"/>
      <c r="G41" s="140"/>
      <c r="H41" s="141"/>
      <c r="I41" s="101">
        <f>COUNTIFS(데이터시트!$G$16:$G$1583,"&lt;&gt;",데이터시트!$W$16:$W$1583,"&lt;&gt;")</f>
        <v>31</v>
      </c>
      <c r="J41" s="102">
        <f>SUMIFS(데이터시트!$P$16:$P$1583,데이터시트!$G$16:$G$1583,"&lt;&gt;",데이터시트!$W$16:$W$1583,"&lt;&gt;")</f>
        <v>249</v>
      </c>
      <c r="K41" s="89">
        <f>SUMIFS(데이터시트!$R$16:$R$1583,데이터시트!$G$16:$G$1583,"&lt;&gt;",데이터시트!$W$16:$W$1583,"&lt;&gt;")</f>
        <v>833</v>
      </c>
      <c r="L41" s="90">
        <f t="shared" si="2"/>
        <v>584</v>
      </c>
      <c r="M41" s="91">
        <f t="shared" si="3"/>
        <v>2.3453815261044175</v>
      </c>
      <c r="N41" s="88">
        <f>SUMIFS(데이터시트!$Y$16:$Y$1583,데이터시트!$G$16:$G$1583,"&lt;&gt;",데이터시트!$W$16:$W$1583,"&lt;&gt;")</f>
        <v>140</v>
      </c>
      <c r="O41" s="170">
        <f>SUMIFS(데이터시트!$Z$16:$Z$1583,데이터시트!$G$16:$G$1583,"&lt;&gt;",데이터시트!$W$16:$W$1583,"&lt;&gt;")</f>
        <v>125</v>
      </c>
      <c r="P41" s="141"/>
      <c r="Q41" s="90">
        <f t="shared" si="4"/>
        <v>-15</v>
      </c>
      <c r="R41" s="91">
        <f t="shared" si="5"/>
        <v>-0.10714285714285714</v>
      </c>
    </row>
    <row r="42" spans="1:19" ht="21.75" customHeight="1" collapsed="1">
      <c r="A42" s="8"/>
      <c r="B42" s="152"/>
      <c r="C42" s="152"/>
      <c r="D42" s="195" t="s">
        <v>547</v>
      </c>
      <c r="E42" s="196"/>
      <c r="F42" s="196"/>
      <c r="G42" s="196"/>
      <c r="H42" s="197"/>
      <c r="I42" s="203">
        <f>COUNTA('검색불가(336개사_26년 6월)'!$G$5:$G$340)</f>
        <v>330</v>
      </c>
      <c r="J42" s="198">
        <v>0</v>
      </c>
      <c r="K42" s="199">
        <v>0</v>
      </c>
      <c r="L42" s="200">
        <f t="shared" si="2"/>
        <v>0</v>
      </c>
      <c r="M42" s="201" t="str">
        <f t="shared" si="3"/>
        <v>-</v>
      </c>
      <c r="N42" s="198">
        <v>0</v>
      </c>
      <c r="O42" s="202">
        <v>0</v>
      </c>
      <c r="P42" s="196"/>
      <c r="Q42" s="200">
        <f t="shared" si="4"/>
        <v>0</v>
      </c>
      <c r="R42" s="201" t="str">
        <f t="shared" si="5"/>
        <v>-</v>
      </c>
    </row>
    <row r="43" spans="1:19" ht="21.75" customHeight="1">
      <c r="A43" s="8"/>
      <c r="B43" s="159" t="s">
        <v>552</v>
      </c>
      <c r="C43" s="131"/>
      <c r="D43" s="131"/>
      <c r="E43" s="131"/>
      <c r="F43" s="131"/>
      <c r="G43" s="131"/>
      <c r="H43" s="132"/>
      <c r="I43" s="103">
        <f t="shared" ref="I43:K43" si="10">SUM(I44:I45)</f>
        <v>3760</v>
      </c>
      <c r="J43" s="103">
        <f t="shared" si="10"/>
        <v>195751</v>
      </c>
      <c r="K43" s="104">
        <f t="shared" si="10"/>
        <v>299556</v>
      </c>
      <c r="L43" s="105">
        <f t="shared" si="2"/>
        <v>103805</v>
      </c>
      <c r="M43" s="106">
        <f t="shared" si="3"/>
        <v>0.530291032996</v>
      </c>
      <c r="N43" s="177"/>
      <c r="O43" s="131"/>
      <c r="P43" s="131"/>
      <c r="Q43" s="131"/>
      <c r="R43" s="131"/>
      <c r="S43" s="129"/>
    </row>
    <row r="44" spans="1:19" ht="31.5" hidden="1" customHeight="1" outlineLevel="1">
      <c r="A44" s="8"/>
      <c r="B44" s="153"/>
      <c r="C44" s="145" t="s">
        <v>558</v>
      </c>
      <c r="D44" s="140"/>
      <c r="E44" s="140"/>
      <c r="F44" s="140"/>
      <c r="G44" s="140"/>
      <c r="H44" s="141"/>
      <c r="I44" s="88">
        <v>3297</v>
      </c>
      <c r="J44" s="88">
        <v>177314</v>
      </c>
      <c r="K44" s="89">
        <v>270683</v>
      </c>
      <c r="L44" s="90">
        <f t="shared" si="2"/>
        <v>93369</v>
      </c>
      <c r="M44" s="91">
        <f t="shared" si="3"/>
        <v>0.52657432577235863</v>
      </c>
      <c r="N44" s="173"/>
      <c r="O44" s="134"/>
      <c r="P44" s="134"/>
      <c r="Q44" s="134"/>
      <c r="R44" s="174"/>
      <c r="S44" s="129"/>
    </row>
    <row r="45" spans="1:19" ht="31.5" hidden="1" customHeight="1" outlineLevel="1">
      <c r="A45" s="8"/>
      <c r="B45" s="152"/>
      <c r="C45" s="146" t="s">
        <v>563</v>
      </c>
      <c r="D45" s="140"/>
      <c r="E45" s="140"/>
      <c r="F45" s="140"/>
      <c r="G45" s="140"/>
      <c r="H45" s="141"/>
      <c r="I45" s="107">
        <v>463</v>
      </c>
      <c r="J45" s="107">
        <v>18437</v>
      </c>
      <c r="K45" s="108">
        <v>28873</v>
      </c>
      <c r="L45" s="109">
        <f t="shared" si="2"/>
        <v>10436</v>
      </c>
      <c r="M45" s="110">
        <f t="shared" si="3"/>
        <v>0.56603568910343327</v>
      </c>
      <c r="N45" s="173"/>
      <c r="O45" s="134"/>
      <c r="P45" s="134"/>
      <c r="Q45" s="134"/>
      <c r="R45" s="174"/>
      <c r="S45" s="129"/>
    </row>
    <row r="46" spans="1:19" ht="21.75" customHeight="1" collapsed="1">
      <c r="A46" s="8"/>
      <c r="B46" s="147" t="s">
        <v>568</v>
      </c>
      <c r="C46" s="140"/>
      <c r="D46" s="140"/>
      <c r="E46" s="140"/>
      <c r="F46" s="140"/>
      <c r="G46" s="140"/>
      <c r="H46" s="141"/>
      <c r="I46" s="111">
        <f t="shared" ref="I46:K46" si="11">I29+I43</f>
        <v>5327</v>
      </c>
      <c r="J46" s="111">
        <f t="shared" si="11"/>
        <v>218475</v>
      </c>
      <c r="K46" s="112">
        <f t="shared" si="11"/>
        <v>342146</v>
      </c>
      <c r="L46" s="113">
        <f t="shared" si="2"/>
        <v>123671</v>
      </c>
      <c r="M46" s="114">
        <f t="shared" si="3"/>
        <v>0.56606476713582787</v>
      </c>
      <c r="N46" s="175"/>
      <c r="O46" s="134"/>
      <c r="P46" s="134"/>
      <c r="Q46" s="134"/>
      <c r="R46" s="174"/>
      <c r="S46" s="129"/>
    </row>
    <row r="47" spans="1:19" ht="12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9" ht="17.5">
      <c r="A48" s="8"/>
      <c r="B48" s="75" t="s">
        <v>575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31"/>
      <c r="O48" s="31"/>
      <c r="P48" s="31"/>
      <c r="Q48" s="31"/>
      <c r="R48" s="31"/>
    </row>
    <row r="49" spans="1:18" ht="24" customHeight="1">
      <c r="A49" s="8"/>
      <c r="B49" s="148" t="str">
        <f>"누적("&amp;TEXT($I$29,"#,##0")&amp;"개사)"</f>
        <v>누적(1,567개사)</v>
      </c>
      <c r="C49" s="140"/>
      <c r="D49" s="140"/>
      <c r="E49" s="140"/>
      <c r="F49" s="140"/>
      <c r="G49" s="140"/>
      <c r="H49" s="140"/>
      <c r="I49" s="140"/>
      <c r="J49" s="141"/>
      <c r="K49" s="148" t="str">
        <f>"‘26년 상반기("&amp;TEXT($I$29,"#,##0")&amp;"개사)"</f>
        <v>‘26년 상반기(1,567개사)</v>
      </c>
      <c r="L49" s="140"/>
      <c r="M49" s="140"/>
      <c r="N49" s="140"/>
      <c r="O49" s="140"/>
      <c r="P49" s="140"/>
      <c r="Q49" s="140"/>
      <c r="R49" s="141"/>
    </row>
    <row r="50" spans="1:18" ht="24" customHeight="1">
      <c r="A50" s="8"/>
      <c r="B50" s="148" t="str">
        <f>"패밀리사("&amp;TEXT($I$30,"#,##0")&amp;"개사)"</f>
        <v>패밀리사(501개사)</v>
      </c>
      <c r="C50" s="140"/>
      <c r="D50" s="140"/>
      <c r="E50" s="140"/>
      <c r="F50" s="141"/>
      <c r="G50" s="148" t="str">
        <f>"Type2("&amp;TEXT($I$37,"#,##0")&amp;"개사)"</f>
        <v>Type2(1,234개사)</v>
      </c>
      <c r="H50" s="140"/>
      <c r="I50" s="140"/>
      <c r="J50" s="141"/>
      <c r="K50" s="148" t="str">
        <f>"패밀리사("&amp;TEXT($I$30,"#,##0")&amp;"개사)"</f>
        <v>패밀리사(501개사)</v>
      </c>
      <c r="L50" s="140"/>
      <c r="M50" s="140"/>
      <c r="N50" s="141"/>
      <c r="O50" s="148" t="str">
        <f>"Type2("&amp;TEXT($I$37,"#,##0")&amp;"개사)"</f>
        <v>Type2(1,234개사)</v>
      </c>
      <c r="P50" s="140"/>
      <c r="Q50" s="140"/>
      <c r="R50" s="141"/>
    </row>
    <row r="51" spans="1:18" ht="25.5" customHeight="1">
      <c r="A51" s="8"/>
      <c r="B51" s="130" t="str">
        <f>"증가 "&amp;TEXT(COUNTIFS(데이터시트!$B$16:$B$1583,"&lt;&gt;",데이터시트!$N$16:$N$1583,"&gt;0"),"#,##0")&amp;"개사 ("&amp;TEXT(COUNTIFS(데이터시트!$B$16:$B$1583,"&lt;&gt;",데이터시트!$N$16:$N$1583,"&gt;0")/$I$30,"0%")&amp;")"</f>
        <v>증가 278개사 (55%)</v>
      </c>
      <c r="C51" s="131"/>
      <c r="D51" s="132"/>
      <c r="E51" s="149" t="str">
        <f t="array" ref="E51">INDEX(데이터시트!$I$16:$I$1583,MATCH(LARGE(데이터시트!$AE$16:$AE$1583,1),데이터시트!$AE$16:$AE$1583,0))&amp;"(▲"&amp;TEXT(ROUND(LARGE(데이터시트!$AE$16:$AE$1583,1),0),"#,##0")&amp;"명)"</f>
        <v>주식회사워시스왓(▲263명)</v>
      </c>
      <c r="F51" s="141"/>
      <c r="G51" s="130" t="str">
        <f>"증가 "&amp;TEXT(COUNTIFS(데이터시트!$G$16:$G$1583,"&lt;&gt;",데이터시트!$N$16:$N$1583,"&gt;0"),"#,##0")&amp;"개사 ("&amp;TEXT(COUNTIFS(데이터시트!$G$16:$G$1583,"&lt;&gt;",데이터시트!$N$16:$N$1583,"&gt;0")/$I$37,"0%")&amp;")"</f>
        <v>증가 793개사 (64%)</v>
      </c>
      <c r="H51" s="132"/>
      <c r="I51" s="149" t="str">
        <f t="array" ref="I51">INDEX(데이터시트!$I$16:$I$1583,MATCH(LARGE(데이터시트!$AF$16:$AF$1583,1),데이터시트!$AF$16:$AF$1583,0))&amp;"(▲"&amp;TEXT(ROUND(LARGE(데이터시트!$AF$16:$AF$1583,1),0),"#,##0")&amp;"명)"</f>
        <v>Woowa Brothers(▲2,058명)</v>
      </c>
      <c r="J51" s="141"/>
      <c r="K51" s="130" t="str">
        <f>"증가 "&amp;TEXT(COUNTIFS(데이터시트!$B$16:$B$1583,"&lt;&gt;",데이터시트!$O$16:$O$1583,"&gt;0"),"#,##0")&amp;"개사 ("&amp;TEXT(COUNTIFS(데이터시트!$B$16:$B$1583,"&lt;&gt;",데이터시트!$O$16:$O$1583,"&gt;0")/$I$30,"0%")&amp;")"</f>
        <v>증가 151개사 (30%)</v>
      </c>
      <c r="L51" s="132"/>
      <c r="M51" s="149" t="str">
        <f t="array" ref="M51">INDEX(데이터시트!$I$16:$I$1583,MATCH(LARGE(데이터시트!$AG$16:$AG$1583,1),데이터시트!$AG$16:$AG$1583,0))&amp;"(▲"&amp;TEXT(ROUND(LARGE(데이터시트!$AG$16:$AG$1583,1),0),"#,##0")&amp;"명)"</f>
        <v>주식회사알피(▲30명)</v>
      </c>
      <c r="N51" s="141"/>
      <c r="O51" s="130" t="str">
        <f>"증가 "&amp;TEXT(COUNTIFS(데이터시트!$G$16:$G$1583,"&lt;&gt;",데이터시트!$O$16:$O$1583,"&gt;0"),"#,##0")&amp;"개사 ("&amp;TEXT(COUNTIFS(데이터시트!$G$16:$G$1583,"&lt;&gt;",데이터시트!$O$16:$O$1583,"&gt;0")/$I$37,"0%")&amp;")"</f>
        <v>증가 475개사 (38%)</v>
      </c>
      <c r="P51" s="132"/>
      <c r="Q51" s="149" t="str">
        <f t="array" ref="Q51">INDEX(데이터시트!$I$16:$I$1583,MATCH(LARGE(데이터시트!$AH$16:$AH$1583,1),데이터시트!$AH$16:$AH$1583,0))&amp;"(▲"&amp;TEXT(ROUND(LARGE(데이터시트!$AH$16:$AH$1583,1),0),"#,##0")&amp;"명)"</f>
        <v>(주)야놀자(▲80명)</v>
      </c>
      <c r="R51" s="141"/>
    </row>
    <row r="52" spans="1:18" ht="25.5" customHeight="1">
      <c r="A52" s="8"/>
      <c r="B52" s="133"/>
      <c r="C52" s="134"/>
      <c r="D52" s="135"/>
      <c r="E52" s="149" t="str">
        <f t="array" ref="E52">INDEX(데이터시트!$I$16:$I$1583,MATCH(LARGE(데이터시트!$AE$16:$AE$1583,2),데이터시트!$AE$16:$AE$1583,0))&amp;"(▲"&amp;TEXT(ROUND(LARGE(데이터시트!$AE$16:$AE$1583,2),0),"#,##0")&amp;")"</f>
        <v>주식회사이노스페이스(▲237)</v>
      </c>
      <c r="F52" s="141"/>
      <c r="G52" s="133"/>
      <c r="H52" s="135"/>
      <c r="I52" s="149" t="str">
        <f t="array" ref="I52">INDEX(데이터시트!$I$16:$I$1583,MATCH(LARGE(데이터시트!$AF$16:$AF$1583,2),데이터시트!$AF$16:$AF$1583,0))&amp;"(▲"&amp;TEXT(ROUND(LARGE(데이터시트!$AF$16:$AF$1583,2),0),"#,##0")&amp;")"</f>
        <v>Viva Republica(▲1,779)</v>
      </c>
      <c r="J52" s="141"/>
      <c r="K52" s="133"/>
      <c r="L52" s="135"/>
      <c r="M52" s="149" t="str">
        <f t="array" ref="M52">INDEX(데이터시트!$I$16:$I$1583,MATCH(LARGE(데이터시트!$AG$16:$AG$1583,2),데이터시트!$AG$16:$AG$1583,0))&amp;"(▲"&amp;TEXT(ROUND(LARGE(데이터시트!$AG$16:$AG$1583,2),0),"#,##0")&amp;")"</f>
        <v>주식회사 채널코퍼레이션(▲30)</v>
      </c>
      <c r="N52" s="141"/>
      <c r="O52" s="133"/>
      <c r="P52" s="135"/>
      <c r="Q52" s="149" t="str">
        <f t="array" ref="Q52">INDEX(데이터시트!$I$16:$I$1583,MATCH(LARGE(데이터시트!$AH$16:$AH$1583,2),데이터시트!$AH$16:$AH$1583,0))&amp;"(▲"&amp;TEXT(ROUND(LARGE(데이터시트!$AH$16:$AH$1583,2),0),"#,##0")&amp;")"</f>
        <v>(주)크레이버코퍼레이션(▲74)</v>
      </c>
      <c r="R52" s="141"/>
    </row>
    <row r="53" spans="1:18" ht="25.5" customHeight="1">
      <c r="A53" s="8"/>
      <c r="B53" s="136"/>
      <c r="C53" s="137"/>
      <c r="D53" s="138"/>
      <c r="E53" s="149" t="str">
        <f t="array" ref="E53">INDEX(데이터시트!$I$16:$I$1583,MATCH(LARGE(데이터시트!$AE$16:$AE$1583,3),데이터시트!$AE$16:$AE$1583,0))&amp;"(▲"&amp;TEXT(ROUND(LARGE(데이터시트!$AE$16:$AE$1583,3),0),"#,##0")&amp;")"</f>
        <v>주식회사 채널코퍼레이션(▲212)</v>
      </c>
      <c r="F53" s="141"/>
      <c r="G53" s="136"/>
      <c r="H53" s="138"/>
      <c r="I53" s="149" t="str">
        <f t="array" ref="I53">INDEX(데이터시트!$I$16:$I$1583,MATCH(LARGE(데이터시트!$AF$16:$AF$1583,3),데이터시트!$AF$16:$AF$1583,0))&amp;"(▲"&amp;TEXT(ROUND(LARGE(데이터시트!$AF$16:$AF$1583,3),0),"#,##0")&amp;")"</f>
        <v>버킷플레이스(▲696)</v>
      </c>
      <c r="J53" s="141"/>
      <c r="K53" s="136"/>
      <c r="L53" s="138"/>
      <c r="M53" s="149" t="str">
        <f t="array" ref="M53">INDEX(데이터시트!$I$16:$I$1583,MATCH(LARGE(데이터시트!$AG$16:$AG$1583,3),데이터시트!$AG$16:$AG$1583,0))&amp;"(▲"&amp;TEXT(ROUND(LARGE(데이터시트!$AG$16:$AG$1583,3),0),"#,##0")&amp;")"</f>
        <v>(주)자비스앤빌런즈(▲29)</v>
      </c>
      <c r="N53" s="141"/>
      <c r="O53" s="136"/>
      <c r="P53" s="138"/>
      <c r="Q53" s="149" t="str">
        <f t="array" ref="Q53">INDEX(데이터시트!$I$16:$I$1583,MATCH(LARGE(데이터시트!$AH$16:$AH$1583,3),데이터시트!$AH$16:$AH$1583,0))&amp;"(▲"&amp;TEXT(ROUND(LARGE(데이터시트!$AH$16:$AH$1583,3),0),"#,##0")&amp;")"</f>
        <v>(주)퓨리오사에이아이(▲53)</v>
      </c>
      <c r="R53" s="141"/>
    </row>
    <row r="54" spans="1:18" ht="25.5" customHeight="1">
      <c r="A54" s="8"/>
      <c r="B54" s="139" t="str">
        <f>"횡보 "&amp;TEXT(COUNTIFS(데이터시트!$B$16:$B$1583,"&lt;&gt;",데이터시트!$N$16:$N$1583,"0"),"#,##0")&amp;"개사 ("&amp;TEXT(COUNTIFS(데이터시트!$B$16:$B$1583,"&lt;&gt;",데이터시트!$N$16:$N$1583,"0")/$I$30,"0%")&amp;")"</f>
        <v>횡보 78개사 (16%)</v>
      </c>
      <c r="C54" s="140"/>
      <c r="D54" s="141"/>
      <c r="E54" s="149" t="s">
        <v>628</v>
      </c>
      <c r="F54" s="141"/>
      <c r="G54" s="139" t="str">
        <f>"횡보 "&amp;TEXT(COUNTIFS(데이터시트!$G$16:$G$1583,"&lt;&gt;",데이터시트!$N$16:$N$1583,"0"),"#,##0")&amp;"개사 ("&amp;TEXT(COUNTIFS(데이터시트!$G$16:$G$1583,"&lt;&gt;",데이터시트!$N$16:$N$1583,"0")/$I$37,"0%")&amp;")"</f>
        <v>횡보 97개사 (8%)</v>
      </c>
      <c r="H54" s="141"/>
      <c r="I54" s="149" t="s">
        <v>628</v>
      </c>
      <c r="J54" s="141"/>
      <c r="K54" s="139" t="str">
        <f>"횡보 "&amp;TEXT($I$30-COUNTIFS(데이터시트!$B$16:$B$1583,"&lt;&gt;",데이터시트!$O$16:$O$1583,"&gt;0")-COUNTIFS(데이터시트!$B$16:$B$1583,"&lt;&gt;",데이터시트!$O$16:$O$1583,"&lt;0"),"#,##0")&amp;"개사 ("&amp;TEXT(($I$30-COUNTIFS(데이터시트!$B$16:$B$1583,"&lt;&gt;",데이터시트!$O$16:$O$1583,"&gt;0")-COUNTIFS(데이터시트!$B$16:$B$1583,"&lt;&gt;",데이터시트!$O$16:$O$1583,"&lt;0"))/$I$30,"0%")&amp;")"</f>
        <v>횡보 201개사 (40%)</v>
      </c>
      <c r="L54" s="141"/>
      <c r="M54" s="149" t="s">
        <v>628</v>
      </c>
      <c r="N54" s="141"/>
      <c r="O54" s="139" t="str">
        <f>"횡보 "&amp;TEXT($I$37-COUNTIFS(데이터시트!$G$16:$G$1583,"&lt;&gt;",데이터시트!$O$16:$O$1583,"&gt;0")-COUNTIFS(데이터시트!$G$16:$G$1583,"&lt;&gt;",데이터시트!$O$16:$O$1583,"&lt;0"),"#,##0")&amp;"개사 ("&amp;TEXT(($I$37-COUNTIFS(데이터시트!$G$16:$G$1583,"&lt;&gt;",데이터시트!$O$16:$O$1583,"&gt;0")-COUNTIFS(데이터시트!$G$16:$G$1583,"&lt;&gt;",데이터시트!$O$16:$O$1583,"&lt;0"))/$I$37,"0%")&amp;")"</f>
        <v>횡보 390개사 (32%)</v>
      </c>
      <c r="P54" s="141"/>
      <c r="Q54" s="149" t="s">
        <v>628</v>
      </c>
      <c r="R54" s="141"/>
    </row>
    <row r="55" spans="1:18" ht="25.5" customHeight="1">
      <c r="A55" s="8"/>
      <c r="B55" s="142" t="str">
        <f>"감소 "&amp;TEXT(COUNTIFS(데이터시트!$B$16:$B$1583,"&lt;&gt;",데이터시트!$N$16:$N$1583,"&lt;0"),"#,##0")&amp;"개사 ("&amp;TEXT(COUNTIFS(데이터시트!$B$16:$B$1583,"&lt;&gt;",데이터시트!$N$16:$N$1583,"&lt;0")/$I$30,"0%")&amp;")"</f>
        <v>감소 145개사 (29%)</v>
      </c>
      <c r="C55" s="131"/>
      <c r="D55" s="132"/>
      <c r="E55" s="149" t="str">
        <f t="array" ref="E55">INDEX(데이터시트!$I$16:$I$1583,MATCH(SMALL(데이터시트!$AE$16:$AE$1583,1),데이터시트!$AE$16:$AE$1583,0))&amp;"(▼"&amp;TEXT(-ROUND(SMALL(데이터시트!$AE$16:$AE$1583,1),0),"#,##0")&amp;"명)"</f>
        <v>애니펜(ANIPEN)(▼35명)</v>
      </c>
      <c r="F55" s="141"/>
      <c r="G55" s="142" t="str">
        <f>"감소 "&amp;TEXT(COUNTIFS(데이터시트!$G$16:$G$1583,"&lt;&gt;",데이터시트!$N$16:$N$1583,"&lt;0"),"#,##0")&amp;"개사 ("&amp;TEXT(COUNTIFS(데이터시트!$G$16:$G$1583,"&lt;&gt;",데이터시트!$N$16:$N$1583,"&lt;0")/$I$37,"0%")&amp;")"</f>
        <v>감소 344개사 (28%)</v>
      </c>
      <c r="H55" s="132"/>
      <c r="I55" s="149" t="str">
        <f t="array" ref="I55">INDEX(데이터시트!$I$16:$I$1583,MATCH(SMALL(데이터시트!$AF$16:$AF$1583,1),데이터시트!$AF$16:$AF$1583,0))&amp;"(▼"&amp;TEXT(-ROUND(SMALL(데이터시트!$AF$16:$AF$1583,1),0),"#,##0")&amp;"명)"</f>
        <v>(주)정육각(▼171명)</v>
      </c>
      <c r="J55" s="141"/>
      <c r="K55" s="142" t="str">
        <f>"감소 "&amp;TEXT(COUNTIFS(데이터시트!$B$16:$B$1583,"&lt;&gt;",데이터시트!$O$16:$O$1583,"&lt;0"),"#,##0")&amp;"개사 ("&amp;TEXT(COUNTIFS(데이터시트!$B$16:$B$1583,"&lt;&gt;",데이터시트!$O$16:$O$1583,"&lt;0")/$I$30,"0%")&amp;")"</f>
        <v>감소 149개사 (30%)</v>
      </c>
      <c r="L55" s="132"/>
      <c r="M55" s="149" t="str">
        <f t="array" ref="M55">INDEX(데이터시트!$I$16:$I$1583,MATCH(SMALL(데이터시트!$AG$16:$AG$1583,1),데이터시트!$AG$16:$AG$1583,0))&amp;"(▼"&amp;TEXT(-ROUND(SMALL(데이터시트!$AG$16:$AG$1583,1),0),"#,##0")&amp;"명)"</f>
        <v>주식회사툰스퀘어(Toonsquare)(▼39명)</v>
      </c>
      <c r="N55" s="141"/>
      <c r="O55" s="142" t="str">
        <f>"감소 "&amp;TEXT(COUNTIFS(데이터시트!$G$16:$G$1583,"&lt;&gt;",데이터시트!$O$16:$O$1583,"&lt;0"),"#,##0")&amp;"개사 ("&amp;TEXT(COUNTIFS(데이터시트!$G$16:$G$1583,"&lt;&gt;",데이터시트!$O$16:$O$1583,"&lt;0")/$I$37,"0%")&amp;")"</f>
        <v>감소 369개사 (30%)</v>
      </c>
      <c r="P55" s="132"/>
      <c r="Q55" s="149" t="str">
        <f t="array" ref="Q55">INDEX(데이터시트!$I$16:$I$1583,MATCH(SMALL(데이터시트!$AH$16:$AH$1583,1),데이터시트!$AH$16:$AH$1583,0))&amp;"(▼"&amp;TEXT(-ROUND(SMALL(데이터시트!$AH$16:$AH$1583,1),0),"#,##0")&amp;"명)"</f>
        <v>Viva Republica(▼211명)</v>
      </c>
      <c r="R55" s="141"/>
    </row>
    <row r="56" spans="1:18" ht="25.5" customHeight="1">
      <c r="A56" s="8"/>
      <c r="B56" s="133"/>
      <c r="C56" s="134"/>
      <c r="D56" s="135"/>
      <c r="E56" s="149" t="str">
        <f t="array" ref="E56">INDEX(데이터시트!$I$16:$I$1583,MATCH(SMALL(데이터시트!$AE$16:$AE$1583,2),데이터시트!$AE$16:$AE$1583,0))&amp;"(▼"&amp;TEXT(-ROUND(SMALL(데이터시트!$AE$16:$AE$1583,2),0),"#,##0")&amp;")"</f>
        <v>한국금융솔루션(▼29)</v>
      </c>
      <c r="F56" s="141"/>
      <c r="G56" s="133"/>
      <c r="H56" s="135"/>
      <c r="I56" s="149" t="str">
        <f t="array" ref="I56">INDEX(데이터시트!$I$16:$I$1583,MATCH(SMALL(데이터시트!$AF$16:$AF$1583,2),데이터시트!$AF$16:$AF$1583,0))&amp;"(▼"&amp;TEXT(-ROUND(SMALL(데이터시트!$AF$16:$AF$1583,2),0),"#,##0")&amp;")"</f>
        <v>(주)스튜디오8(▼130)</v>
      </c>
      <c r="J56" s="141"/>
      <c r="K56" s="133"/>
      <c r="L56" s="135"/>
      <c r="M56" s="149" t="str">
        <f t="array" ref="M56">INDEX(데이터시트!$I$16:$I$1583,MATCH(SMALL(데이터시트!$AG$16:$AG$1583,2),데이터시트!$AG$16:$AG$1583,0))&amp;"(▼"&amp;TEXT(-ROUND(SMALL(데이터시트!$AG$16:$AG$1583,2),0),"#,##0")&amp;")"</f>
        <v>주식회사 테이크원컴퍼니(▼36)</v>
      </c>
      <c r="N56" s="141"/>
      <c r="O56" s="133"/>
      <c r="P56" s="135"/>
      <c r="Q56" s="149" t="str">
        <f t="array" ref="Q56">INDEX(데이터시트!$I$16:$I$1583,MATCH(SMALL(데이터시트!$AH$16:$AH$1583,2),데이터시트!$AH$16:$AH$1583,0))&amp;"(▼"&amp;TEXT(-ROUND(SMALL(데이터시트!$AH$16:$AH$1583,2),0),"#,##0")&amp;")"</f>
        <v>(주)콩스튜디오코리아(▼103)</v>
      </c>
      <c r="R56" s="141"/>
    </row>
    <row r="57" spans="1:18" ht="25.5" customHeight="1">
      <c r="A57" s="8"/>
      <c r="B57" s="136"/>
      <c r="C57" s="137"/>
      <c r="D57" s="138"/>
      <c r="E57" s="149" t="str">
        <f t="array" ref="E57">INDEX(데이터시트!$I$16:$I$1583,MATCH(SMALL(데이터시트!$AE$16:$AE$1583,3),데이터시트!$AE$16:$AE$1583,0))&amp;"(▼"&amp;TEXT(-ROUND(SMALL(데이터시트!$AE$16:$AE$1583,3),0),"#,##0")&amp;")"</f>
        <v>스테이지랩스(▼24)</v>
      </c>
      <c r="F57" s="141"/>
      <c r="G57" s="136"/>
      <c r="H57" s="138"/>
      <c r="I57" s="149" t="str">
        <f t="array" ref="I57">INDEX(데이터시트!$I$16:$I$1583,MATCH(SMALL(데이터시트!$AF$16:$AF$1583,3),데이터시트!$AF$16:$AF$1583,0))&amp;"(▼"&amp;TEXT(-ROUND(SMALL(데이터시트!$AF$16:$AF$1583,3),0),"#,##0")&amp;")"</f>
        <v>(주)콩스튜디오코리아(▼100)</v>
      </c>
      <c r="J57" s="141"/>
      <c r="K57" s="136"/>
      <c r="L57" s="138"/>
      <c r="M57" s="149" t="str">
        <f t="array" ref="M57">INDEX(데이터시트!$I$16:$I$1583,MATCH(SMALL(데이터시트!$AG$16:$AG$1583,3),데이터시트!$AG$16:$AG$1583,0))&amp;"(▼"&amp;TEXT(-ROUND(SMALL(데이터시트!$AG$16:$AG$1583,3),0),"#,##0")&amp;")"</f>
        <v>주식회사하이(Haii)(▼34)</v>
      </c>
      <c r="N57" s="141"/>
      <c r="O57" s="136"/>
      <c r="P57" s="138"/>
      <c r="Q57" s="149" t="str">
        <f t="array" ref="Q57">INDEX(데이터시트!$I$16:$I$1583,MATCH(SMALL(데이터시트!$AH$16:$AH$1583,3),데이터시트!$AH$16:$AH$1583,0))&amp;"(▼"&amp;TEXT(-ROUND(SMALL(데이터시트!$AH$16:$AH$1583,3),0),"#,##0")&amp;")"</f>
        <v>(주)부루구루(▼97)</v>
      </c>
      <c r="R57" s="141"/>
    </row>
    <row r="58" spans="1:18" ht="12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8" ht="12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8" ht="17.5">
      <c r="A60" s="8"/>
      <c r="B60" s="16" t="s">
        <v>652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8" ht="21.75" customHeight="1">
      <c r="A61" s="8"/>
      <c r="B61" s="143" t="s">
        <v>7</v>
      </c>
      <c r="C61" s="131"/>
      <c r="D61" s="131"/>
      <c r="E61" s="132"/>
      <c r="F61" s="143" t="s">
        <v>145</v>
      </c>
      <c r="G61" s="131"/>
      <c r="H61" s="132"/>
      <c r="I61" s="143" t="s">
        <v>654</v>
      </c>
      <c r="J61" s="131"/>
      <c r="K61" s="132"/>
      <c r="L61" s="172" t="s">
        <v>655</v>
      </c>
      <c r="M61" s="140"/>
      <c r="N61" s="140"/>
      <c r="O61" s="140"/>
      <c r="P61" s="140"/>
      <c r="Q61" s="140"/>
      <c r="R61" s="141"/>
    </row>
    <row r="62" spans="1:18" ht="21.75" customHeight="1">
      <c r="A62" s="8"/>
      <c r="B62" s="136"/>
      <c r="C62" s="137"/>
      <c r="D62" s="137"/>
      <c r="E62" s="138"/>
      <c r="F62" s="136"/>
      <c r="G62" s="137"/>
      <c r="H62" s="138"/>
      <c r="I62" s="136"/>
      <c r="J62" s="137"/>
      <c r="K62" s="138"/>
      <c r="L62" s="172" t="s">
        <v>657</v>
      </c>
      <c r="M62" s="140"/>
      <c r="N62" s="141"/>
      <c r="O62" s="172" t="s">
        <v>658</v>
      </c>
      <c r="P62" s="140"/>
      <c r="Q62" s="140"/>
      <c r="R62" s="141"/>
    </row>
    <row r="63" spans="1:18" ht="99.75" customHeight="1">
      <c r="A63" s="8"/>
      <c r="B63" s="144" t="s">
        <v>8</v>
      </c>
      <c r="C63" s="140"/>
      <c r="D63" s="140"/>
      <c r="E63" s="141"/>
      <c r="F63" s="144" t="s">
        <v>660</v>
      </c>
      <c r="G63" s="140"/>
      <c r="H63" s="141"/>
      <c r="I63" s="160" t="s">
        <v>661</v>
      </c>
      <c r="J63" s="131"/>
      <c r="K63" s="132"/>
      <c r="L63" s="160" t="s">
        <v>662</v>
      </c>
      <c r="M63" s="131"/>
      <c r="N63" s="132"/>
      <c r="O63" s="160" t="s">
        <v>664</v>
      </c>
      <c r="P63" s="131"/>
      <c r="Q63" s="131"/>
      <c r="R63" s="132"/>
    </row>
    <row r="64" spans="1:18" ht="99.75" customHeight="1">
      <c r="A64" s="8"/>
      <c r="B64" s="144" t="s">
        <v>665</v>
      </c>
      <c r="C64" s="140"/>
      <c r="D64" s="140"/>
      <c r="E64" s="141"/>
      <c r="F64" s="144" t="s">
        <v>666</v>
      </c>
      <c r="G64" s="140"/>
      <c r="H64" s="141"/>
      <c r="I64" s="136"/>
      <c r="J64" s="137"/>
      <c r="K64" s="138"/>
      <c r="L64" s="136"/>
      <c r="M64" s="137"/>
      <c r="N64" s="138"/>
      <c r="O64" s="136"/>
      <c r="P64" s="137"/>
      <c r="Q64" s="137"/>
      <c r="R64" s="138"/>
    </row>
    <row r="65" spans="1:18" ht="45" customHeight="1">
      <c r="A65" s="8"/>
      <c r="B65" s="144" t="s">
        <v>668</v>
      </c>
      <c r="C65" s="140"/>
      <c r="D65" s="140"/>
      <c r="E65" s="141"/>
      <c r="F65" s="144" t="s">
        <v>669</v>
      </c>
      <c r="G65" s="140"/>
      <c r="H65" s="141"/>
      <c r="I65" s="160" t="s">
        <v>670</v>
      </c>
      <c r="J65" s="131"/>
      <c r="K65" s="132"/>
      <c r="L65" s="171" t="s">
        <v>671</v>
      </c>
      <c r="M65" s="140"/>
      <c r="N65" s="141"/>
      <c r="O65" s="144" t="s">
        <v>230</v>
      </c>
      <c r="P65" s="140"/>
      <c r="Q65" s="140"/>
      <c r="R65" s="141"/>
    </row>
    <row r="66" spans="1:18" ht="45" customHeight="1">
      <c r="A66" s="8"/>
      <c r="B66" s="144" t="s">
        <v>674</v>
      </c>
      <c r="C66" s="140"/>
      <c r="D66" s="140"/>
      <c r="E66" s="141"/>
      <c r="F66" s="144" t="s">
        <v>669</v>
      </c>
      <c r="G66" s="140"/>
      <c r="H66" s="141"/>
      <c r="I66" s="136"/>
      <c r="J66" s="137"/>
      <c r="K66" s="138"/>
      <c r="L66" s="146" t="s">
        <v>675</v>
      </c>
      <c r="M66" s="140"/>
      <c r="N66" s="141"/>
      <c r="O66" s="144" t="s">
        <v>230</v>
      </c>
      <c r="P66" s="140"/>
      <c r="Q66" s="140"/>
      <c r="R66" s="141"/>
    </row>
    <row r="67" spans="1:18" ht="12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8" ht="12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8" ht="12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8" ht="12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8" ht="12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8" ht="12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8" ht="12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8" ht="12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8" ht="12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8" ht="12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8" ht="12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8" ht="12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8" ht="12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8" ht="12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8" ht="1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8" ht="1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8" ht="12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8" ht="12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8" ht="1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8" ht="1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8" ht="1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8" ht="1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8" ht="1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8" ht="1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8" ht="1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8" ht="12" customHeight="1">
      <c r="A92" s="8"/>
      <c r="B92" s="72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8" ht="18" customHeight="1">
      <c r="A93" s="8"/>
      <c r="B93" s="72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</row>
    <row r="94" spans="1:18" ht="18" customHeight="1">
      <c r="A94" s="8"/>
      <c r="B94" s="7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8" customHeight="1">
      <c r="A95" s="8"/>
      <c r="B95" s="7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8" customHeight="1">
      <c r="A96" s="8"/>
      <c r="B96" s="72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3"/>
      <c r="O96" s="118"/>
      <c r="P96" s="118"/>
      <c r="Q96" s="118"/>
      <c r="R96" s="118"/>
    </row>
    <row r="97" spans="1:18" ht="18" customHeight="1">
      <c r="A97" s="8"/>
      <c r="B97" s="74" t="s">
        <v>683</v>
      </c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3"/>
      <c r="O97" s="74"/>
      <c r="P97" s="74"/>
      <c r="Q97" s="74"/>
      <c r="R97" s="74"/>
    </row>
    <row r="98" spans="1:18" ht="18" customHeight="1">
      <c r="A98" s="8"/>
      <c r="B98" s="3" t="s">
        <v>685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8" customHeight="1">
      <c r="A99" s="8"/>
      <c r="B99" s="3" t="s">
        <v>686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8" customHeight="1">
      <c r="A100" s="8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8"/>
      <c r="O100" s="118"/>
      <c r="P100" s="118"/>
      <c r="Q100" s="118"/>
      <c r="R100" s="118"/>
    </row>
    <row r="101" spans="1:18" ht="18" customHeight="1">
      <c r="A101" s="8"/>
      <c r="B101" s="119" t="s">
        <v>687</v>
      </c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</row>
    <row r="102" spans="1:18" ht="18" customHeight="1">
      <c r="A102" s="8"/>
      <c r="B102" s="120" t="s">
        <v>689</v>
      </c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</row>
    <row r="103" spans="1:18" ht="18" customHeight="1">
      <c r="A103" s="8"/>
      <c r="B103" s="120" t="s">
        <v>690</v>
      </c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</row>
    <row r="104" spans="1:18" ht="18" customHeight="1">
      <c r="A104" s="8"/>
      <c r="B104" s="120" t="s">
        <v>691</v>
      </c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</row>
    <row r="105" spans="1:18" ht="18" customHeight="1">
      <c r="A105" s="8"/>
      <c r="B105" s="120" t="s">
        <v>693</v>
      </c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</row>
    <row r="106" spans="1:18" ht="18" customHeight="1">
      <c r="A106" s="8"/>
      <c r="B106" s="120" t="s">
        <v>694</v>
      </c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</row>
    <row r="107" spans="1:18" ht="18" customHeight="1">
      <c r="A107" s="8"/>
      <c r="B107" s="120" t="s">
        <v>695</v>
      </c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</row>
    <row r="108" spans="1:18" ht="18" customHeight="1">
      <c r="A108" s="8"/>
      <c r="B108" s="120" t="s">
        <v>696</v>
      </c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</row>
    <row r="109" spans="1:18" ht="18" customHeight="1">
      <c r="A109" s="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</row>
    <row r="110" spans="1:18" ht="12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8" ht="12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8" ht="12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13" ht="12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13" ht="12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3" ht="12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13" ht="12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13" ht="12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3" ht="12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3" ht="12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13" ht="12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13" ht="12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13" ht="1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13" ht="1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1:13" ht="12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3" ht="12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3" ht="12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3" ht="12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13" ht="12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3" ht="12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 ht="1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 ht="12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 ht="12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 ht="12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 ht="12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 ht="12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 ht="12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3" ht="12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 ht="12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 ht="12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 ht="12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 ht="12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 ht="12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 ht="12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 ht="12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 ht="12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13" ht="12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3" ht="12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3" ht="12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1:13" ht="12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13" ht="12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13" ht="12" customHeight="1"/>
    <row r="152" spans="1:13" ht="12" customHeight="1"/>
    <row r="153" spans="1:13" ht="12" customHeight="1"/>
    <row r="154" spans="1:13" ht="12" customHeight="1"/>
    <row r="155" spans="1:13" ht="12" customHeight="1"/>
    <row r="156" spans="1:13" ht="12" customHeight="1"/>
    <row r="157" spans="1:13" ht="12" customHeight="1"/>
    <row r="158" spans="1:13" ht="12" customHeight="1"/>
    <row r="159" spans="1:13" ht="12" customHeight="1"/>
    <row r="160" spans="1:13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spans="1:26" ht="12" customHeight="1"/>
    <row r="242" spans="1:26" ht="12" customHeight="1"/>
    <row r="243" spans="1:26" ht="12" customHeight="1"/>
    <row r="244" spans="1:26" ht="12" customHeight="1"/>
    <row r="245" spans="1:26" ht="12" customHeight="1"/>
    <row r="246" spans="1:26" ht="12" customHeight="1"/>
    <row r="247" spans="1:26" ht="12" customHeight="1"/>
    <row r="248" spans="1:26" ht="12" customHeight="1"/>
    <row r="249" spans="1:26" ht="12" customHeight="1"/>
    <row r="250" spans="1:26" ht="12" customHeight="1"/>
    <row r="251" spans="1:26" ht="12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2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2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2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2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2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2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2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2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2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2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2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2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2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2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2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2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2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2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2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2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2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2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2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2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2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2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2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2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2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2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2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2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2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2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2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2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2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2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2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2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2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2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2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2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2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2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2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2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2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2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2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2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2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2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2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2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2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2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2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2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2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2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2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2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2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2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2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2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2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2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2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2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2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2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2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2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2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2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2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2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2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2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2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2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2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2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2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2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2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2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2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2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2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2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2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2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2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2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2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2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2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2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2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2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2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2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2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2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2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2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2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2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2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2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2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2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2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2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2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2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2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2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2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2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2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2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2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2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2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2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2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2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2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2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2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2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2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2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2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2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2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2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2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2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2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2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2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2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2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2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2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2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2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2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2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2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2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2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2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2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2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2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2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2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2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2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2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2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2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2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2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2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2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2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2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2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2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2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2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2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2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2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2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2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2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2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2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2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2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2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2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2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2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2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2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2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2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2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2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2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2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2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2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2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2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2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2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2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2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2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2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2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2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2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2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2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2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2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2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2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2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2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2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2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2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2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2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2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2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2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2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2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2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2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2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2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2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2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2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2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2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2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2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2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2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2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2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2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2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2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2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2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2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2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2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2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2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2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2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2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2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2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2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2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2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2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2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2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2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2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2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2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2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2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2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2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2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2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2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2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2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2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2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2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2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2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2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2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2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2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2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2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2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2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2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2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2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2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2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2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2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2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2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2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2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2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2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2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2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2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2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2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2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2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2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2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2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2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2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2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2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2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2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2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2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2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2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2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2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2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2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2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2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2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2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2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2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2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2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2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2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2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2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2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2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2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2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2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2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2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2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2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2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2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2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2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2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2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2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2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2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2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2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2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2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2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2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2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2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2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2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2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2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2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2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2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2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2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2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2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2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2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2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2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2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2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2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2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2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2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2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2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2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2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2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2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2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2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2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2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2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2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2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2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2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2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2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2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2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2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2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2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2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2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2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2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2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2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2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2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2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2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2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2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2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2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2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2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2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2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2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2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2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2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2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2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2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2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2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2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2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2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2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2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2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2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2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2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2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2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2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2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2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2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2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2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2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2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2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2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2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2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2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2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2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2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2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2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2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2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2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2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2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2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2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2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2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2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2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2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2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2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2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2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2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2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2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2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2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2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2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2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2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2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2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2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2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2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2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2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2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2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2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2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2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2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2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2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2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2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2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2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2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2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2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2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2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2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2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2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2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2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2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2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2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2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2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2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2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2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2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2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2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2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2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2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2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2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2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2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2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2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2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2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2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2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2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2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2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2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2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2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2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2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2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2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2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2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2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2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2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2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2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2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2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2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2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2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2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2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2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2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2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2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2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2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2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2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2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2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2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2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2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2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2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2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2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2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2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2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2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2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2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2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2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2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2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2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2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2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2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2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2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2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2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2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2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2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2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2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2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2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2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2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2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2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2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2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2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2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2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2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2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2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2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2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2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2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2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2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2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2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2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2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2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2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2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2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2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2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2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2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2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2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2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2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2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2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2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2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2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2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2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2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2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2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2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2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2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2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2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2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2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2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2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2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2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2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2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2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2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2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2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2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2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2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2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2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2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2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2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2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2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2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2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2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2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2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2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2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2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2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2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2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2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2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2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2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2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2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2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2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2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2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2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2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2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2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2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2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2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2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2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2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2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2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2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2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2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2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2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2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2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2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2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2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2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2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2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2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2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2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2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2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2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2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2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2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2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2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2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2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2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2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2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12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12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12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12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71">
    <mergeCell ref="B1:R1"/>
    <mergeCell ref="B3:R3"/>
    <mergeCell ref="E5:F5"/>
    <mergeCell ref="G5:H5"/>
    <mergeCell ref="I5:J5"/>
    <mergeCell ref="K5:L5"/>
    <mergeCell ref="M5:N5"/>
    <mergeCell ref="B5:D5"/>
    <mergeCell ref="B6:D6"/>
    <mergeCell ref="E6:F6"/>
    <mergeCell ref="G6:H6"/>
    <mergeCell ref="I6:J6"/>
    <mergeCell ref="K6:L6"/>
    <mergeCell ref="M6:N6"/>
    <mergeCell ref="C7:D7"/>
    <mergeCell ref="E7:F7"/>
    <mergeCell ref="G7:H7"/>
    <mergeCell ref="I7:J7"/>
    <mergeCell ref="K7:L7"/>
    <mergeCell ref="M7:N7"/>
    <mergeCell ref="C8:D8"/>
    <mergeCell ref="M8:N8"/>
    <mergeCell ref="B10:D10"/>
    <mergeCell ref="C11:D11"/>
    <mergeCell ref="E11:F11"/>
    <mergeCell ref="G11:H11"/>
    <mergeCell ref="I11:J11"/>
    <mergeCell ref="K11:L11"/>
    <mergeCell ref="M11:N11"/>
    <mergeCell ref="E8:F8"/>
    <mergeCell ref="G8:H8"/>
    <mergeCell ref="C9:D9"/>
    <mergeCell ref="E9:F9"/>
    <mergeCell ref="G9:H9"/>
    <mergeCell ref="E10:F10"/>
    <mergeCell ref="G10:H10"/>
    <mergeCell ref="I8:J8"/>
    <mergeCell ref="K8:L8"/>
    <mergeCell ref="I9:J9"/>
    <mergeCell ref="K9:L9"/>
    <mergeCell ref="M9:N9"/>
    <mergeCell ref="I10:J10"/>
    <mergeCell ref="K10:L10"/>
    <mergeCell ref="M10:N10"/>
    <mergeCell ref="O37:P37"/>
    <mergeCell ref="O38:P38"/>
    <mergeCell ref="O39:P39"/>
    <mergeCell ref="O40:P40"/>
    <mergeCell ref="O41:P41"/>
    <mergeCell ref="O42:P42"/>
    <mergeCell ref="N43:R43"/>
    <mergeCell ref="Q26:R26"/>
    <mergeCell ref="D32:H32"/>
    <mergeCell ref="D33:H33"/>
    <mergeCell ref="D34:H34"/>
    <mergeCell ref="D35:H35"/>
    <mergeCell ref="D36:H36"/>
    <mergeCell ref="C37:H37"/>
    <mergeCell ref="O32:P32"/>
    <mergeCell ref="O33:P33"/>
    <mergeCell ref="O34:P34"/>
    <mergeCell ref="O35:P35"/>
    <mergeCell ref="O36:P36"/>
    <mergeCell ref="C38:C42"/>
    <mergeCell ref="D38:H38"/>
    <mergeCell ref="D39:H39"/>
    <mergeCell ref="Q54:R54"/>
    <mergeCell ref="Q55:R55"/>
    <mergeCell ref="Q56:R56"/>
    <mergeCell ref="Q57:R57"/>
    <mergeCell ref="K51:L53"/>
    <mergeCell ref="K54:L54"/>
    <mergeCell ref="K55:L57"/>
    <mergeCell ref="M54:N54"/>
    <mergeCell ref="O54:P54"/>
    <mergeCell ref="O55:P57"/>
    <mergeCell ref="M57:N57"/>
    <mergeCell ref="N44:R44"/>
    <mergeCell ref="N45:R45"/>
    <mergeCell ref="N46:R46"/>
    <mergeCell ref="K49:R49"/>
    <mergeCell ref="K50:N50"/>
    <mergeCell ref="O50:R50"/>
    <mergeCell ref="Q53:R53"/>
    <mergeCell ref="M51:N51"/>
    <mergeCell ref="O51:P53"/>
    <mergeCell ref="M52:N52"/>
    <mergeCell ref="M53:N53"/>
    <mergeCell ref="Q51:R51"/>
    <mergeCell ref="Q52:R52"/>
    <mergeCell ref="L65:N65"/>
    <mergeCell ref="O65:R65"/>
    <mergeCell ref="L66:N66"/>
    <mergeCell ref="O66:R66"/>
    <mergeCell ref="M55:N55"/>
    <mergeCell ref="M56:N56"/>
    <mergeCell ref="L61:R61"/>
    <mergeCell ref="L62:N62"/>
    <mergeCell ref="O62:R62"/>
    <mergeCell ref="L63:N64"/>
    <mergeCell ref="O63:R64"/>
    <mergeCell ref="C12:D12"/>
    <mergeCell ref="E12:F12"/>
    <mergeCell ref="G12:H12"/>
    <mergeCell ref="I12:J12"/>
    <mergeCell ref="K12:L12"/>
    <mergeCell ref="M12:N12"/>
    <mergeCell ref="M13:N13"/>
    <mergeCell ref="C30:H30"/>
    <mergeCell ref="D31:H31"/>
    <mergeCell ref="I13:J13"/>
    <mergeCell ref="K13:L13"/>
    <mergeCell ref="J27:M27"/>
    <mergeCell ref="N27:R27"/>
    <mergeCell ref="O28:P28"/>
    <mergeCell ref="O29:P29"/>
    <mergeCell ref="O30:P30"/>
    <mergeCell ref="O31:P31"/>
    <mergeCell ref="E13:F13"/>
    <mergeCell ref="G13:H13"/>
    <mergeCell ref="I65:K66"/>
    <mergeCell ref="F66:H66"/>
    <mergeCell ref="E51:F51"/>
    <mergeCell ref="G51:H53"/>
    <mergeCell ref="E52:F52"/>
    <mergeCell ref="E53:F53"/>
    <mergeCell ref="E54:F54"/>
    <mergeCell ref="G54:H54"/>
    <mergeCell ref="E57:F57"/>
    <mergeCell ref="I51:J51"/>
    <mergeCell ref="I52:J52"/>
    <mergeCell ref="I54:J54"/>
    <mergeCell ref="I55:J55"/>
    <mergeCell ref="I56:J56"/>
    <mergeCell ref="I57:J57"/>
    <mergeCell ref="D40:H40"/>
    <mergeCell ref="D41:H41"/>
    <mergeCell ref="D42:H42"/>
    <mergeCell ref="B30:B42"/>
    <mergeCell ref="B44:B45"/>
    <mergeCell ref="C13:D13"/>
    <mergeCell ref="B14:D14"/>
    <mergeCell ref="B27:H28"/>
    <mergeCell ref="I27:I28"/>
    <mergeCell ref="B29:H29"/>
    <mergeCell ref="C31:C36"/>
    <mergeCell ref="B43:H43"/>
    <mergeCell ref="B51:D53"/>
    <mergeCell ref="B54:D54"/>
    <mergeCell ref="B55:D57"/>
    <mergeCell ref="B61:E62"/>
    <mergeCell ref="B63:E63"/>
    <mergeCell ref="B64:E64"/>
    <mergeCell ref="B65:E65"/>
    <mergeCell ref="B66:E66"/>
    <mergeCell ref="C44:H44"/>
    <mergeCell ref="C45:H45"/>
    <mergeCell ref="B46:H46"/>
    <mergeCell ref="B49:J49"/>
    <mergeCell ref="B50:F50"/>
    <mergeCell ref="G50:J50"/>
    <mergeCell ref="I53:J53"/>
    <mergeCell ref="E55:F55"/>
    <mergeCell ref="E56:F56"/>
    <mergeCell ref="F63:H63"/>
    <mergeCell ref="F65:H65"/>
    <mergeCell ref="G55:H57"/>
    <mergeCell ref="F61:H62"/>
    <mergeCell ref="I61:K62"/>
    <mergeCell ref="I63:K64"/>
    <mergeCell ref="F64:H64"/>
  </mergeCells>
  <phoneticPr fontId="3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AH1589"/>
  <sheetViews>
    <sheetView workbookViewId="0">
      <pane ySplit="15" topLeftCell="A16" activePane="bottomLeft" state="frozen"/>
      <selection pane="bottomLeft" activeCell="L32" sqref="L32"/>
    </sheetView>
  </sheetViews>
  <sheetFormatPr defaultColWidth="12.6328125" defaultRowHeight="15" customHeight="1" outlineLevelCol="1"/>
  <cols>
    <col min="1" max="1" width="7.54296875" customWidth="1"/>
    <col min="2" max="2" width="13.08984375" bestFit="1" customWidth="1"/>
    <col min="3" max="5" width="10.6328125" bestFit="1" customWidth="1" outlineLevel="1"/>
    <col min="6" max="6" width="12.81640625" customWidth="1" outlineLevel="1"/>
    <col min="7" max="7" width="11.08984375" bestFit="1" customWidth="1"/>
    <col min="8" max="8" width="10.6328125" bestFit="1" customWidth="1" outlineLevel="1"/>
    <col min="9" max="9" width="29.81640625" customWidth="1"/>
    <col min="10" max="10" width="18.90625" bestFit="1" customWidth="1" outlineLevel="1"/>
    <col min="11" max="11" width="17.54296875" bestFit="1" customWidth="1" outlineLevel="1"/>
    <col min="12" max="12" width="14.7265625" customWidth="1" outlineLevel="1"/>
    <col min="13" max="13" width="16.26953125" customWidth="1" outlineLevel="1"/>
    <col min="14" max="19" width="12.36328125" customWidth="1"/>
    <col min="20" max="20" width="11.453125" customWidth="1" outlineLevel="1"/>
    <col min="21" max="22" width="13.453125" customWidth="1" outlineLevel="1"/>
    <col min="23" max="23" width="15.90625" customWidth="1" outlineLevel="1"/>
    <col min="24" max="24" width="14.453125" customWidth="1"/>
    <col min="25" max="34" width="7.6328125" hidden="1" customWidth="1"/>
  </cols>
  <sheetData>
    <row r="1" spans="1:34" ht="14.25" customHeight="1">
      <c r="A1" s="2" t="s">
        <v>1</v>
      </c>
      <c r="B1" s="4"/>
      <c r="C1" s="4"/>
      <c r="D1" s="4"/>
      <c r="E1" s="4"/>
      <c r="F1" s="4"/>
      <c r="G1" s="4"/>
      <c r="H1" s="4"/>
      <c r="I1" s="6"/>
      <c r="J1" s="6"/>
      <c r="K1" s="6"/>
      <c r="L1" s="6"/>
      <c r="M1" s="6"/>
      <c r="N1" s="6"/>
      <c r="O1" s="7"/>
      <c r="P1" s="6"/>
      <c r="Q1" s="6"/>
      <c r="R1" s="6"/>
      <c r="S1" s="6"/>
      <c r="T1" s="9"/>
      <c r="U1" s="6"/>
      <c r="V1" s="9"/>
      <c r="W1" s="6"/>
      <c r="X1" s="10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ht="14.25" customHeight="1">
      <c r="A2" s="6" t="s">
        <v>4</v>
      </c>
      <c r="B2" s="9"/>
      <c r="C2" s="9"/>
      <c r="D2" s="9"/>
      <c r="E2" s="9"/>
      <c r="F2" s="9"/>
      <c r="G2" s="9"/>
      <c r="H2" s="9"/>
      <c r="I2" s="6"/>
      <c r="J2" s="6"/>
      <c r="K2" s="6"/>
      <c r="L2" s="6"/>
      <c r="M2" s="18" t="s">
        <v>5</v>
      </c>
      <c r="N2" s="19"/>
      <c r="O2" s="19"/>
      <c r="P2" s="21"/>
      <c r="Q2" s="6"/>
      <c r="R2" s="6"/>
      <c r="S2" s="6"/>
      <c r="T2" s="9"/>
      <c r="U2" s="6"/>
      <c r="V2" s="9"/>
      <c r="W2" s="6"/>
      <c r="X2" s="10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1:34" ht="14.25" customHeight="1">
      <c r="A3" s="6" t="s">
        <v>12</v>
      </c>
      <c r="B3" s="9"/>
      <c r="C3" s="9"/>
      <c r="D3" s="9"/>
      <c r="E3" s="9"/>
      <c r="F3" s="9"/>
      <c r="G3" s="9"/>
      <c r="H3" s="9"/>
      <c r="I3" s="6"/>
      <c r="J3" s="6"/>
      <c r="K3" s="6"/>
      <c r="L3" s="6"/>
      <c r="M3" s="26" t="s">
        <v>16</v>
      </c>
      <c r="N3" s="33" t="s">
        <v>20</v>
      </c>
      <c r="O3" s="19"/>
      <c r="P3" s="6"/>
      <c r="Q3" s="6"/>
      <c r="R3" s="6"/>
      <c r="S3" s="6"/>
      <c r="T3" s="9"/>
      <c r="U3" s="6"/>
      <c r="V3" s="9"/>
      <c r="W3" s="6"/>
      <c r="X3" s="10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4" ht="14.25" customHeight="1">
      <c r="A4" s="35" t="s">
        <v>34</v>
      </c>
      <c r="B4" s="9"/>
      <c r="C4" s="9"/>
      <c r="D4" s="9"/>
      <c r="E4" s="9"/>
      <c r="F4" s="9"/>
      <c r="G4" s="9"/>
      <c r="H4" s="9"/>
      <c r="I4" s="6"/>
      <c r="J4" s="6"/>
      <c r="K4" s="6"/>
      <c r="L4" s="6"/>
      <c r="M4" s="38" t="s">
        <v>37</v>
      </c>
      <c r="N4" s="33" t="s">
        <v>38</v>
      </c>
      <c r="O4" s="19"/>
      <c r="P4" s="6"/>
      <c r="Q4" s="6"/>
      <c r="R4" s="6"/>
      <c r="S4" s="6"/>
      <c r="T4" s="9"/>
      <c r="U4" s="6"/>
      <c r="V4" s="9"/>
      <c r="W4" s="6"/>
      <c r="X4" s="10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1:34" ht="14.25" customHeight="1">
      <c r="A5" s="41" t="s">
        <v>53</v>
      </c>
      <c r="B5" s="9"/>
      <c r="C5" s="9"/>
      <c r="D5" s="9"/>
      <c r="E5" s="9"/>
      <c r="F5" s="9"/>
      <c r="G5" s="9"/>
      <c r="H5" s="9"/>
      <c r="I5" s="6"/>
      <c r="J5" s="6"/>
      <c r="K5" s="6"/>
      <c r="L5" s="6"/>
      <c r="M5" s="38"/>
      <c r="N5" s="33"/>
      <c r="O5" s="19"/>
      <c r="P5" s="6"/>
      <c r="Q5" s="6"/>
      <c r="R5" s="6"/>
      <c r="S5" s="6"/>
      <c r="T5" s="9"/>
      <c r="U5" s="6"/>
      <c r="V5" s="9"/>
      <c r="W5" s="6"/>
      <c r="X5" s="10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 ht="14.25" customHeight="1">
      <c r="A6" s="6" t="s">
        <v>63</v>
      </c>
      <c r="B6" s="9"/>
      <c r="C6" s="9"/>
      <c r="D6" s="9"/>
      <c r="E6" s="9"/>
      <c r="F6" s="9"/>
      <c r="G6" s="9"/>
      <c r="H6" s="9"/>
      <c r="I6" s="6"/>
      <c r="J6" s="6"/>
      <c r="K6" s="6"/>
      <c r="L6" s="6"/>
      <c r="M6" s="21" t="s">
        <v>66</v>
      </c>
      <c r="N6" s="42" t="s">
        <v>67</v>
      </c>
      <c r="O6" s="19"/>
      <c r="P6" s="6"/>
      <c r="Q6" s="6"/>
      <c r="R6" s="6"/>
      <c r="S6" s="6"/>
      <c r="T6" s="9"/>
      <c r="U6" s="6"/>
      <c r="V6" s="9"/>
      <c r="W6" s="6"/>
      <c r="X6" s="10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 ht="14.25" customHeight="1">
      <c r="A7" s="6" t="s">
        <v>72</v>
      </c>
      <c r="B7" s="9"/>
      <c r="C7" s="9"/>
      <c r="D7" s="9"/>
      <c r="E7" s="9"/>
      <c r="F7" s="9"/>
      <c r="G7" s="9"/>
      <c r="H7" s="9"/>
      <c r="I7" s="6"/>
      <c r="J7" s="6"/>
      <c r="K7" s="6"/>
      <c r="L7" s="6"/>
      <c r="M7" s="26" t="s">
        <v>73</v>
      </c>
      <c r="N7" s="33" t="s">
        <v>74</v>
      </c>
      <c r="O7" s="19"/>
      <c r="P7" s="6"/>
      <c r="Q7" s="6"/>
      <c r="R7" s="6"/>
      <c r="S7" s="6"/>
      <c r="T7" s="9"/>
      <c r="U7" s="6"/>
      <c r="V7" s="9"/>
      <c r="W7" s="6"/>
      <c r="X7" s="10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4" ht="14.25" customHeight="1">
      <c r="A8" s="6" t="s">
        <v>81</v>
      </c>
      <c r="B8" s="9"/>
      <c r="C8" s="9"/>
      <c r="D8" s="9"/>
      <c r="E8" s="9"/>
      <c r="F8" s="9"/>
      <c r="G8" s="9"/>
      <c r="H8" s="9"/>
      <c r="I8" s="6"/>
      <c r="J8" s="6"/>
      <c r="K8" s="6"/>
      <c r="L8" s="6"/>
      <c r="M8" s="21" t="s">
        <v>83</v>
      </c>
      <c r="N8" s="45" t="s">
        <v>84</v>
      </c>
      <c r="O8" s="19"/>
      <c r="P8" s="6"/>
      <c r="Q8" s="6"/>
      <c r="R8" s="6"/>
      <c r="S8" s="6"/>
      <c r="T8" s="9"/>
      <c r="U8" s="6"/>
      <c r="V8" s="9"/>
      <c r="W8" s="6"/>
      <c r="X8" s="10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1:34" ht="14.25" customHeight="1">
      <c r="A9" s="41" t="s">
        <v>89</v>
      </c>
      <c r="B9" s="9"/>
      <c r="C9" s="9"/>
      <c r="D9" s="9"/>
      <c r="E9" s="9"/>
      <c r="F9" s="9"/>
      <c r="G9" s="9"/>
      <c r="H9" s="9"/>
      <c r="I9" s="6"/>
      <c r="J9" s="6"/>
      <c r="K9" s="6"/>
      <c r="L9" s="6"/>
      <c r="M9" s="6"/>
      <c r="N9" s="45" t="s">
        <v>94</v>
      </c>
      <c r="O9" s="7"/>
      <c r="P9" s="6"/>
      <c r="Q9" s="6"/>
      <c r="R9" s="6"/>
      <c r="S9" s="6"/>
      <c r="T9" s="9"/>
      <c r="U9" s="6"/>
      <c r="V9" s="9"/>
      <c r="W9" s="6"/>
      <c r="X9" s="10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4.25" customHeight="1">
      <c r="A10" s="6" t="s">
        <v>99</v>
      </c>
      <c r="B10" s="9"/>
      <c r="C10" s="9"/>
      <c r="D10" s="9"/>
      <c r="E10" s="9"/>
      <c r="F10" s="9"/>
      <c r="G10" s="9"/>
      <c r="H10" s="9"/>
      <c r="I10" s="6"/>
      <c r="J10" s="6"/>
      <c r="K10" s="6"/>
      <c r="L10" s="6"/>
      <c r="M10" s="6"/>
      <c r="N10" s="45" t="s">
        <v>101</v>
      </c>
      <c r="O10" s="7"/>
      <c r="P10" s="6"/>
      <c r="Q10" s="6"/>
      <c r="R10" s="6"/>
      <c r="S10" s="6"/>
      <c r="T10" s="9"/>
      <c r="U10" s="6"/>
      <c r="V10" s="9"/>
      <c r="W10" s="6"/>
      <c r="X10" s="10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4.25" customHeight="1">
      <c r="A11" s="46" t="s">
        <v>106</v>
      </c>
      <c r="B11" s="47"/>
      <c r="C11" s="47"/>
      <c r="D11" s="47"/>
      <c r="E11" s="47"/>
      <c r="F11" s="47"/>
      <c r="G11" s="47"/>
      <c r="H11" s="47"/>
      <c r="I11" s="6"/>
      <c r="J11" s="6"/>
      <c r="K11" s="6"/>
      <c r="L11" s="6"/>
      <c r="M11" s="6"/>
      <c r="N11" s="6"/>
      <c r="O11" s="7"/>
      <c r="P11" s="6"/>
      <c r="Q11" s="6"/>
      <c r="R11" s="6"/>
      <c r="S11" s="6"/>
      <c r="T11" s="9"/>
      <c r="U11" s="6"/>
      <c r="V11" s="9"/>
      <c r="W11" s="6"/>
      <c r="X11" s="10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4.25" customHeight="1">
      <c r="A12" s="46" t="s">
        <v>110</v>
      </c>
      <c r="B12" s="47"/>
      <c r="C12" s="47"/>
      <c r="D12" s="47"/>
      <c r="E12" s="47"/>
      <c r="F12" s="47"/>
      <c r="G12" s="47"/>
      <c r="H12" s="4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9"/>
      <c r="U12" s="6"/>
      <c r="V12" s="9"/>
      <c r="W12" s="6"/>
      <c r="X12" s="10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4.25" customHeight="1">
      <c r="A13" s="6"/>
      <c r="B13" s="9"/>
      <c r="C13" s="9"/>
      <c r="D13" s="9"/>
      <c r="E13" s="9"/>
      <c r="F13" s="9"/>
      <c r="G13" s="9"/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9"/>
      <c r="W13" s="6"/>
      <c r="X13" s="10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14.25" customHeight="1">
      <c r="A14" s="12"/>
      <c r="B14" s="13"/>
      <c r="C14" s="13"/>
      <c r="D14" s="13"/>
      <c r="E14" s="13"/>
      <c r="F14" s="13"/>
      <c r="G14" s="15"/>
      <c r="H14" s="15"/>
      <c r="I14" s="49"/>
      <c r="J14" s="49"/>
      <c r="K14" s="49"/>
      <c r="L14" s="49"/>
      <c r="M14" s="49"/>
      <c r="N14" s="50" t="s">
        <v>118</v>
      </c>
      <c r="O14" s="51" t="s">
        <v>119</v>
      </c>
      <c r="P14" s="52" t="s">
        <v>121</v>
      </c>
      <c r="Q14" s="53" t="s">
        <v>122</v>
      </c>
      <c r="R14" s="52" t="s">
        <v>124</v>
      </c>
      <c r="S14" s="55" t="s">
        <v>125</v>
      </c>
      <c r="T14" s="56"/>
      <c r="U14" s="56"/>
      <c r="V14" s="56"/>
      <c r="W14" s="56"/>
      <c r="X14" s="25"/>
      <c r="Y14" s="57" t="s">
        <v>127</v>
      </c>
      <c r="Z14" s="35" t="s">
        <v>128</v>
      </c>
      <c r="AA14" s="35" t="s">
        <v>130</v>
      </c>
      <c r="AB14" s="35" t="s">
        <v>132</v>
      </c>
      <c r="AC14" s="35" t="s">
        <v>133</v>
      </c>
      <c r="AD14" s="35" t="s">
        <v>134</v>
      </c>
      <c r="AE14" s="35" t="s">
        <v>135</v>
      </c>
      <c r="AF14" s="35" t="s">
        <v>135</v>
      </c>
      <c r="AG14" s="35" t="s">
        <v>135</v>
      </c>
      <c r="AH14" s="35" t="s">
        <v>135</v>
      </c>
    </row>
    <row r="15" spans="1:34" ht="14.25" customHeight="1">
      <c r="A15" s="20" t="s">
        <v>6</v>
      </c>
      <c r="B15" s="22" t="s">
        <v>8</v>
      </c>
      <c r="C15" s="23" t="s">
        <v>9</v>
      </c>
      <c r="D15" s="23" t="s">
        <v>10</v>
      </c>
      <c r="E15" s="23" t="s">
        <v>11</v>
      </c>
      <c r="F15" s="23" t="s">
        <v>13</v>
      </c>
      <c r="G15" s="24" t="s">
        <v>14</v>
      </c>
      <c r="H15" s="25" t="s">
        <v>10</v>
      </c>
      <c r="I15" s="59" t="s">
        <v>145</v>
      </c>
      <c r="J15" s="60" t="s">
        <v>21</v>
      </c>
      <c r="K15" s="60" t="s">
        <v>147</v>
      </c>
      <c r="L15" s="60" t="s">
        <v>149</v>
      </c>
      <c r="M15" s="60" t="s">
        <v>150</v>
      </c>
      <c r="N15" s="50" t="s">
        <v>151</v>
      </c>
      <c r="O15" s="61" t="s">
        <v>151</v>
      </c>
      <c r="P15" s="52" t="s">
        <v>83</v>
      </c>
      <c r="Q15" s="52" t="s">
        <v>83</v>
      </c>
      <c r="R15" s="52" t="s">
        <v>83</v>
      </c>
      <c r="S15" s="62" t="s">
        <v>153</v>
      </c>
      <c r="T15" s="63" t="s">
        <v>154</v>
      </c>
      <c r="U15" s="63" t="s">
        <v>158</v>
      </c>
      <c r="V15" s="63" t="s">
        <v>159</v>
      </c>
      <c r="W15" s="63" t="s">
        <v>160</v>
      </c>
      <c r="X15" s="64" t="s">
        <v>161</v>
      </c>
      <c r="Y15" s="65" t="s">
        <v>162</v>
      </c>
      <c r="Z15" s="11" t="s">
        <v>165</v>
      </c>
      <c r="AA15" s="11" t="s">
        <v>166</v>
      </c>
      <c r="AB15" s="11" t="s">
        <v>166</v>
      </c>
      <c r="AC15" s="11" t="s">
        <v>166</v>
      </c>
      <c r="AD15" s="11" t="s">
        <v>166</v>
      </c>
      <c r="AE15" s="11" t="s">
        <v>167</v>
      </c>
      <c r="AF15" s="11" t="s">
        <v>168</v>
      </c>
      <c r="AG15" s="11" t="s">
        <v>169</v>
      </c>
      <c r="AH15" s="11" t="s">
        <v>170</v>
      </c>
    </row>
    <row r="16" spans="1:34" ht="14.25" customHeight="1">
      <c r="A16" s="11">
        <v>1</v>
      </c>
      <c r="B16" s="66"/>
      <c r="C16" s="67"/>
      <c r="D16" s="67"/>
      <c r="E16" s="67"/>
      <c r="F16" s="67"/>
      <c r="G16" s="67" t="s">
        <v>35</v>
      </c>
      <c r="H16" s="67">
        <v>45464</v>
      </c>
      <c r="I16" s="6" t="s">
        <v>174</v>
      </c>
      <c r="J16" s="9">
        <v>1018628697</v>
      </c>
      <c r="K16" s="68">
        <v>45443</v>
      </c>
      <c r="L16" s="68">
        <v>46022</v>
      </c>
      <c r="M16" s="68">
        <v>46203</v>
      </c>
      <c r="N16" s="69">
        <f t="shared" ref="N16:N270" si="0">R16-P16</f>
        <v>-4</v>
      </c>
      <c r="O16" s="69">
        <f t="shared" ref="O16:O270" si="1">IF(M16&lt;DATE(2026,1,1),"N/A",IF(K16&gt;=DATE(2026,1,1),R16-P16,R16-Q16))</f>
        <v>-2</v>
      </c>
      <c r="P16" s="70">
        <v>20</v>
      </c>
      <c r="Q16" s="70">
        <v>18</v>
      </c>
      <c r="R16" s="70">
        <v>16</v>
      </c>
      <c r="S16" s="68" t="str">
        <f t="shared" ref="S16:S270" si="2">IF(OR(LEFT(B16,6)="Active",G16="Active"),"",IF(COUNT(C16,E16,F16)&gt;0,IF(COUNT(T16)=0,"",T16),IF(COUNT(T16:W16)=0,"",MIN(T16:W16))))</f>
        <v/>
      </c>
      <c r="T16" s="68"/>
      <c r="U16" s="68"/>
      <c r="V16" s="68"/>
      <c r="W16" s="9"/>
      <c r="X16" s="10"/>
      <c r="Y16" s="71">
        <f t="shared" ref="Y16:Y270" si="3">IF($M16&lt;DATE(2026,1,1),"",IF($K16&gt;=DATE(2026,1,1),$P16,$Q16))</f>
        <v>18</v>
      </c>
      <c r="Z16" s="73">
        <f t="shared" ref="Z16:Z270" si="4">IF($M16&lt;DATE(2026,1,1),"",$R16)</f>
        <v>16</v>
      </c>
      <c r="AA16" s="11" t="str">
        <f t="shared" ref="AA16:AA270" si="5">IF($B16="","",IF(ISNUMBER($N16),$N16,""))</f>
        <v/>
      </c>
      <c r="AB16" s="73">
        <f t="shared" ref="AB16:AB270" si="6">IF($G16="","",IF(ISNUMBER($N16),$N16,""))</f>
        <v>-4</v>
      </c>
      <c r="AC16" s="11" t="str">
        <f t="shared" ref="AC16:AC270" si="7">IF($B16="","",IF(ISNUMBER($O16),$O16,""))</f>
        <v/>
      </c>
      <c r="AD16" s="73">
        <f t="shared" ref="AD16:AD270" si="8">IF($G16="","",IF(ISNUMBER($O16),$O16,""))</f>
        <v>-2</v>
      </c>
      <c r="AE16" s="11" t="str">
        <f t="shared" ref="AE16:AE270" si="9">IF($AA16="","",$AA16+ROW()/1000000)</f>
        <v/>
      </c>
      <c r="AF16" s="73">
        <f t="shared" ref="AF16:AF270" si="10">IF($AB16="","",$AB16+ROW()/1000000)</f>
        <v>-3.999984</v>
      </c>
      <c r="AG16" s="11" t="str">
        <f t="shared" ref="AG16:AG270" si="11">IF($AC16="","",$AC16+ROW()/1000000)</f>
        <v/>
      </c>
      <c r="AH16" s="73">
        <f t="shared" ref="AH16:AH270" si="12">IF($AD16="","",$AD16+ROW()/1000000)</f>
        <v>-1.999984</v>
      </c>
    </row>
    <row r="17" spans="1:34" ht="14.25" customHeight="1">
      <c r="A17" s="11">
        <v>2</v>
      </c>
      <c r="B17" s="66"/>
      <c r="C17" s="67"/>
      <c r="D17" s="67"/>
      <c r="E17" s="67"/>
      <c r="F17" s="67"/>
      <c r="G17" s="67" t="s">
        <v>35</v>
      </c>
      <c r="H17" s="67">
        <v>42094</v>
      </c>
      <c r="I17" s="6" t="s">
        <v>220</v>
      </c>
      <c r="J17" s="9">
        <v>1018671758</v>
      </c>
      <c r="K17" s="68">
        <v>42063</v>
      </c>
      <c r="L17" s="68">
        <v>46022</v>
      </c>
      <c r="M17" s="68">
        <v>46203</v>
      </c>
      <c r="N17" s="69">
        <f t="shared" si="0"/>
        <v>-4</v>
      </c>
      <c r="O17" s="69">
        <f t="shared" si="1"/>
        <v>0</v>
      </c>
      <c r="P17" s="70">
        <v>4</v>
      </c>
      <c r="Q17" s="70">
        <v>0</v>
      </c>
      <c r="R17" s="70">
        <v>0</v>
      </c>
      <c r="S17" s="68" t="str">
        <f t="shared" si="2"/>
        <v/>
      </c>
      <c r="T17" s="68"/>
      <c r="U17" s="68"/>
      <c r="V17" s="68"/>
      <c r="W17" s="9"/>
      <c r="X17" s="10"/>
      <c r="Y17" s="71">
        <f t="shared" si="3"/>
        <v>0</v>
      </c>
      <c r="Z17" s="73">
        <f t="shared" si="4"/>
        <v>0</v>
      </c>
      <c r="AA17" s="11" t="str">
        <f t="shared" si="5"/>
        <v/>
      </c>
      <c r="AB17" s="73">
        <f t="shared" si="6"/>
        <v>-4</v>
      </c>
      <c r="AC17" s="11" t="str">
        <f t="shared" si="7"/>
        <v/>
      </c>
      <c r="AD17" s="73">
        <f t="shared" si="8"/>
        <v>0</v>
      </c>
      <c r="AE17" s="11" t="str">
        <f t="shared" si="9"/>
        <v/>
      </c>
      <c r="AF17" s="73">
        <f t="shared" si="10"/>
        <v>-3.9999829999999998</v>
      </c>
      <c r="AG17" s="11" t="str">
        <f t="shared" si="11"/>
        <v/>
      </c>
      <c r="AH17" s="73">
        <f t="shared" si="12"/>
        <v>1.7E-5</v>
      </c>
    </row>
    <row r="18" spans="1:34" ht="14.25" customHeight="1">
      <c r="A18" s="11">
        <v>3</v>
      </c>
      <c r="B18" s="66"/>
      <c r="C18" s="67"/>
      <c r="D18" s="67"/>
      <c r="E18" s="67"/>
      <c r="F18" s="67"/>
      <c r="G18" s="67" t="s">
        <v>24</v>
      </c>
      <c r="H18" s="67">
        <v>41782</v>
      </c>
      <c r="I18" s="6" t="s">
        <v>229</v>
      </c>
      <c r="J18" s="9">
        <v>1018688996</v>
      </c>
      <c r="K18" s="68">
        <v>41759</v>
      </c>
      <c r="L18" s="68" t="s">
        <v>230</v>
      </c>
      <c r="M18" s="68">
        <v>43100</v>
      </c>
      <c r="N18" s="69">
        <f t="shared" si="0"/>
        <v>0</v>
      </c>
      <c r="O18" s="69" t="str">
        <f t="shared" si="1"/>
        <v>N/A</v>
      </c>
      <c r="P18" s="78">
        <v>0</v>
      </c>
      <c r="Q18" s="78"/>
      <c r="R18" s="78">
        <v>0</v>
      </c>
      <c r="S18" s="68">
        <f t="shared" si="2"/>
        <v>43100</v>
      </c>
      <c r="T18" s="68">
        <v>43100</v>
      </c>
      <c r="U18" s="68"/>
      <c r="V18" s="68"/>
      <c r="W18" s="9"/>
      <c r="X18" s="10"/>
      <c r="Y18" s="65" t="str">
        <f t="shared" si="3"/>
        <v/>
      </c>
      <c r="Z18" s="11" t="str">
        <f t="shared" si="4"/>
        <v/>
      </c>
      <c r="AA18" s="11" t="str">
        <f t="shared" si="5"/>
        <v/>
      </c>
      <c r="AB18" s="73">
        <f t="shared" si="6"/>
        <v>0</v>
      </c>
      <c r="AC18" s="11" t="str">
        <f t="shared" si="7"/>
        <v/>
      </c>
      <c r="AD18" s="11" t="str">
        <f t="shared" si="8"/>
        <v/>
      </c>
      <c r="AE18" s="11" t="str">
        <f t="shared" si="9"/>
        <v/>
      </c>
      <c r="AF18" s="73">
        <f t="shared" si="10"/>
        <v>1.8E-5</v>
      </c>
      <c r="AG18" s="11" t="str">
        <f t="shared" si="11"/>
        <v/>
      </c>
      <c r="AH18" s="11" t="str">
        <f t="shared" si="12"/>
        <v/>
      </c>
    </row>
    <row r="19" spans="1:34" ht="14.25" customHeight="1">
      <c r="A19" s="11">
        <v>4</v>
      </c>
      <c r="B19" s="66"/>
      <c r="C19" s="67"/>
      <c r="D19" s="67"/>
      <c r="E19" s="67"/>
      <c r="F19" s="67"/>
      <c r="G19" s="67" t="s">
        <v>35</v>
      </c>
      <c r="H19" s="67">
        <v>44523</v>
      </c>
      <c r="I19" s="6" t="s">
        <v>241</v>
      </c>
      <c r="J19" s="9">
        <v>1018691318</v>
      </c>
      <c r="K19" s="68">
        <v>44500</v>
      </c>
      <c r="L19" s="68">
        <v>46022</v>
      </c>
      <c r="M19" s="68">
        <v>46203</v>
      </c>
      <c r="N19" s="69">
        <f t="shared" si="0"/>
        <v>11</v>
      </c>
      <c r="O19" s="69">
        <f t="shared" si="1"/>
        <v>-1</v>
      </c>
      <c r="P19" s="70">
        <v>14</v>
      </c>
      <c r="Q19" s="70">
        <v>26</v>
      </c>
      <c r="R19" s="70">
        <v>25</v>
      </c>
      <c r="S19" s="68" t="str">
        <f t="shared" si="2"/>
        <v/>
      </c>
      <c r="T19" s="68"/>
      <c r="U19" s="68"/>
      <c r="V19" s="68"/>
      <c r="W19" s="9"/>
      <c r="X19" s="10"/>
      <c r="Y19" s="71">
        <f t="shared" si="3"/>
        <v>26</v>
      </c>
      <c r="Z19" s="73">
        <f t="shared" si="4"/>
        <v>25</v>
      </c>
      <c r="AA19" s="11" t="str">
        <f t="shared" si="5"/>
        <v/>
      </c>
      <c r="AB19" s="73">
        <f t="shared" si="6"/>
        <v>11</v>
      </c>
      <c r="AC19" s="11" t="str">
        <f t="shared" si="7"/>
        <v/>
      </c>
      <c r="AD19" s="73">
        <f t="shared" si="8"/>
        <v>-1</v>
      </c>
      <c r="AE19" s="11" t="str">
        <f t="shared" si="9"/>
        <v/>
      </c>
      <c r="AF19" s="73">
        <f t="shared" si="10"/>
        <v>11.000019</v>
      </c>
      <c r="AG19" s="11" t="str">
        <f t="shared" si="11"/>
        <v/>
      </c>
      <c r="AH19" s="73">
        <f t="shared" si="12"/>
        <v>-0.99998100000000001</v>
      </c>
    </row>
    <row r="20" spans="1:34" ht="14.25" customHeight="1">
      <c r="A20" s="11">
        <v>5</v>
      </c>
      <c r="B20" s="66" t="s">
        <v>35</v>
      </c>
      <c r="C20" s="67">
        <v>45170</v>
      </c>
      <c r="D20" s="67"/>
      <c r="E20" s="67"/>
      <c r="F20" s="67"/>
      <c r="G20" s="67"/>
      <c r="H20" s="67"/>
      <c r="I20" s="6" t="s">
        <v>246</v>
      </c>
      <c r="J20" s="9">
        <v>1028145622</v>
      </c>
      <c r="K20" s="68">
        <v>45169</v>
      </c>
      <c r="L20" s="68">
        <v>46022</v>
      </c>
      <c r="M20" s="68">
        <v>46203</v>
      </c>
      <c r="N20" s="69">
        <f t="shared" si="0"/>
        <v>6</v>
      </c>
      <c r="O20" s="69">
        <f t="shared" si="1"/>
        <v>1</v>
      </c>
      <c r="P20" s="70">
        <v>5</v>
      </c>
      <c r="Q20" s="70">
        <v>10</v>
      </c>
      <c r="R20" s="70">
        <v>11</v>
      </c>
      <c r="S20" s="68" t="str">
        <f t="shared" si="2"/>
        <v/>
      </c>
      <c r="T20" s="68"/>
      <c r="U20" s="68"/>
      <c r="V20" s="68"/>
      <c r="W20" s="9"/>
      <c r="X20" s="10"/>
      <c r="Y20" s="71">
        <f t="shared" si="3"/>
        <v>10</v>
      </c>
      <c r="Z20" s="73">
        <f t="shared" si="4"/>
        <v>11</v>
      </c>
      <c r="AA20" s="73">
        <f t="shared" si="5"/>
        <v>6</v>
      </c>
      <c r="AB20" s="11" t="str">
        <f t="shared" si="6"/>
        <v/>
      </c>
      <c r="AC20" s="73">
        <f t="shared" si="7"/>
        <v>1</v>
      </c>
      <c r="AD20" s="11" t="str">
        <f t="shared" si="8"/>
        <v/>
      </c>
      <c r="AE20" s="73">
        <f t="shared" si="9"/>
        <v>6.0000200000000001</v>
      </c>
      <c r="AF20" s="11" t="str">
        <f t="shared" si="10"/>
        <v/>
      </c>
      <c r="AG20" s="73">
        <f t="shared" si="11"/>
        <v>1.0000199999999999</v>
      </c>
      <c r="AH20" s="11" t="str">
        <f t="shared" si="12"/>
        <v/>
      </c>
    </row>
    <row r="21" spans="1:34" ht="14.25" customHeight="1">
      <c r="A21" s="11">
        <v>6</v>
      </c>
      <c r="B21" s="66"/>
      <c r="C21" s="67"/>
      <c r="D21" s="67"/>
      <c r="E21" s="67"/>
      <c r="F21" s="67"/>
      <c r="G21" s="67" t="s">
        <v>35</v>
      </c>
      <c r="H21" s="67">
        <v>44757</v>
      </c>
      <c r="I21" s="6" t="s">
        <v>252</v>
      </c>
      <c r="J21" s="9">
        <v>1028802087</v>
      </c>
      <c r="K21" s="68">
        <v>44742</v>
      </c>
      <c r="L21" s="68">
        <v>46022</v>
      </c>
      <c r="M21" s="68">
        <v>46203</v>
      </c>
      <c r="N21" s="69">
        <f t="shared" si="0"/>
        <v>8</v>
      </c>
      <c r="O21" s="69">
        <f t="shared" si="1"/>
        <v>3</v>
      </c>
      <c r="P21" s="70">
        <v>5</v>
      </c>
      <c r="Q21" s="70">
        <v>10</v>
      </c>
      <c r="R21" s="70">
        <v>13</v>
      </c>
      <c r="S21" s="68" t="str">
        <f t="shared" si="2"/>
        <v/>
      </c>
      <c r="T21" s="68"/>
      <c r="U21" s="68"/>
      <c r="V21" s="68"/>
      <c r="W21" s="9"/>
      <c r="X21" s="10"/>
      <c r="Y21" s="71">
        <f t="shared" si="3"/>
        <v>10</v>
      </c>
      <c r="Z21" s="73">
        <f t="shared" si="4"/>
        <v>13</v>
      </c>
      <c r="AA21" s="11" t="str">
        <f t="shared" si="5"/>
        <v/>
      </c>
      <c r="AB21" s="73">
        <f t="shared" si="6"/>
        <v>8</v>
      </c>
      <c r="AC21" s="11" t="str">
        <f t="shared" si="7"/>
        <v/>
      </c>
      <c r="AD21" s="73">
        <f t="shared" si="8"/>
        <v>3</v>
      </c>
      <c r="AE21" s="11" t="str">
        <f t="shared" si="9"/>
        <v/>
      </c>
      <c r="AF21" s="73">
        <f t="shared" si="10"/>
        <v>8.0000210000000003</v>
      </c>
      <c r="AG21" s="11" t="str">
        <f t="shared" si="11"/>
        <v/>
      </c>
      <c r="AH21" s="73">
        <f t="shared" si="12"/>
        <v>3.0000209999999998</v>
      </c>
    </row>
    <row r="22" spans="1:34" ht="14.25" customHeight="1">
      <c r="A22" s="11">
        <v>7</v>
      </c>
      <c r="B22" s="66"/>
      <c r="C22" s="67"/>
      <c r="D22" s="67"/>
      <c r="E22" s="67"/>
      <c r="F22" s="67"/>
      <c r="G22" s="67" t="s">
        <v>35</v>
      </c>
      <c r="H22" s="67">
        <v>45412</v>
      </c>
      <c r="I22" s="6" t="s">
        <v>259</v>
      </c>
      <c r="J22" s="9">
        <v>1038702332</v>
      </c>
      <c r="K22" s="68">
        <v>45382</v>
      </c>
      <c r="L22" s="68">
        <v>46022</v>
      </c>
      <c r="M22" s="68">
        <v>46203</v>
      </c>
      <c r="N22" s="69">
        <f t="shared" si="0"/>
        <v>5</v>
      </c>
      <c r="O22" s="69">
        <f t="shared" si="1"/>
        <v>1</v>
      </c>
      <c r="P22" s="70">
        <v>9</v>
      </c>
      <c r="Q22" s="70">
        <v>13</v>
      </c>
      <c r="R22" s="70">
        <v>14</v>
      </c>
      <c r="S22" s="68" t="str">
        <f t="shared" si="2"/>
        <v/>
      </c>
      <c r="T22" s="68"/>
      <c r="U22" s="68"/>
      <c r="V22" s="68"/>
      <c r="W22" s="9"/>
      <c r="X22" s="10"/>
      <c r="Y22" s="71">
        <f t="shared" si="3"/>
        <v>13</v>
      </c>
      <c r="Z22" s="73">
        <f t="shared" si="4"/>
        <v>14</v>
      </c>
      <c r="AA22" s="11" t="str">
        <f t="shared" si="5"/>
        <v/>
      </c>
      <c r="AB22" s="73">
        <f t="shared" si="6"/>
        <v>5</v>
      </c>
      <c r="AC22" s="11" t="str">
        <f t="shared" si="7"/>
        <v/>
      </c>
      <c r="AD22" s="73">
        <f t="shared" si="8"/>
        <v>1</v>
      </c>
      <c r="AE22" s="11" t="str">
        <f t="shared" si="9"/>
        <v/>
      </c>
      <c r="AF22" s="73">
        <f t="shared" si="10"/>
        <v>5.0000220000000004</v>
      </c>
      <c r="AG22" s="11" t="str">
        <f t="shared" si="11"/>
        <v/>
      </c>
      <c r="AH22" s="73">
        <f t="shared" si="12"/>
        <v>1.000022</v>
      </c>
    </row>
    <row r="23" spans="1:34" ht="14.25" customHeight="1">
      <c r="A23" s="11">
        <v>8</v>
      </c>
      <c r="B23" s="66"/>
      <c r="C23" s="67"/>
      <c r="D23" s="67"/>
      <c r="E23" s="67"/>
      <c r="F23" s="67"/>
      <c r="G23" s="67" t="s">
        <v>35</v>
      </c>
      <c r="H23" s="67">
        <v>42846</v>
      </c>
      <c r="I23" s="6" t="s">
        <v>263</v>
      </c>
      <c r="J23" s="9">
        <v>1048162461</v>
      </c>
      <c r="K23" s="68">
        <v>42825</v>
      </c>
      <c r="L23" s="68">
        <v>46022</v>
      </c>
      <c r="M23" s="68">
        <v>46203</v>
      </c>
      <c r="N23" s="69">
        <f t="shared" si="0"/>
        <v>-130</v>
      </c>
      <c r="O23" s="69">
        <f t="shared" si="1"/>
        <v>0</v>
      </c>
      <c r="P23" s="70">
        <v>130</v>
      </c>
      <c r="Q23" s="70">
        <v>0</v>
      </c>
      <c r="R23" s="70">
        <v>0</v>
      </c>
      <c r="S23" s="68" t="str">
        <f t="shared" si="2"/>
        <v/>
      </c>
      <c r="T23" s="68"/>
      <c r="U23" s="68"/>
      <c r="V23" s="68"/>
      <c r="W23" s="9"/>
      <c r="X23" s="10"/>
      <c r="Y23" s="71">
        <f t="shared" si="3"/>
        <v>0</v>
      </c>
      <c r="Z23" s="73">
        <f t="shared" si="4"/>
        <v>0</v>
      </c>
      <c r="AA23" s="11" t="str">
        <f t="shared" si="5"/>
        <v/>
      </c>
      <c r="AB23" s="73">
        <f t="shared" si="6"/>
        <v>-130</v>
      </c>
      <c r="AC23" s="11" t="str">
        <f t="shared" si="7"/>
        <v/>
      </c>
      <c r="AD23" s="73">
        <f t="shared" si="8"/>
        <v>0</v>
      </c>
      <c r="AE23" s="11" t="str">
        <f t="shared" si="9"/>
        <v/>
      </c>
      <c r="AF23" s="73">
        <f t="shared" si="10"/>
        <v>-129.999977</v>
      </c>
      <c r="AG23" s="11" t="str">
        <f t="shared" si="11"/>
        <v/>
      </c>
      <c r="AH23" s="73">
        <f t="shared" si="12"/>
        <v>2.3E-5</v>
      </c>
    </row>
    <row r="24" spans="1:34" ht="14.25" customHeight="1">
      <c r="A24" s="11">
        <v>9</v>
      </c>
      <c r="B24" s="66"/>
      <c r="C24" s="67"/>
      <c r="D24" s="67"/>
      <c r="E24" s="67"/>
      <c r="F24" s="67"/>
      <c r="G24" s="67" t="s">
        <v>24</v>
      </c>
      <c r="H24" s="67">
        <v>41746</v>
      </c>
      <c r="I24" s="6" t="s">
        <v>268</v>
      </c>
      <c r="J24" s="9">
        <v>1048613645</v>
      </c>
      <c r="K24" s="68">
        <v>41729</v>
      </c>
      <c r="L24" s="68" t="s">
        <v>230</v>
      </c>
      <c r="M24" s="68">
        <v>42490</v>
      </c>
      <c r="N24" s="69">
        <f t="shared" si="0"/>
        <v>-1</v>
      </c>
      <c r="O24" s="69" t="str">
        <f t="shared" si="1"/>
        <v>N/A</v>
      </c>
      <c r="P24" s="70">
        <v>1</v>
      </c>
      <c r="Q24" s="70"/>
      <c r="R24" s="70">
        <v>0</v>
      </c>
      <c r="S24" s="68">
        <f t="shared" si="2"/>
        <v>42478</v>
      </c>
      <c r="T24" s="68">
        <v>42478</v>
      </c>
      <c r="U24" s="68"/>
      <c r="V24" s="68"/>
      <c r="W24" s="9"/>
      <c r="X24" s="10"/>
      <c r="Y24" s="65" t="str">
        <f t="shared" si="3"/>
        <v/>
      </c>
      <c r="Z24" s="11" t="str">
        <f t="shared" si="4"/>
        <v/>
      </c>
      <c r="AA24" s="11" t="str">
        <f t="shared" si="5"/>
        <v/>
      </c>
      <c r="AB24" s="73">
        <f t="shared" si="6"/>
        <v>-1</v>
      </c>
      <c r="AC24" s="11" t="str">
        <f t="shared" si="7"/>
        <v/>
      </c>
      <c r="AD24" s="11" t="str">
        <f t="shared" si="8"/>
        <v/>
      </c>
      <c r="AE24" s="11" t="str">
        <f t="shared" si="9"/>
        <v/>
      </c>
      <c r="AF24" s="73">
        <f t="shared" si="10"/>
        <v>-0.99997599999999998</v>
      </c>
      <c r="AG24" s="11" t="str">
        <f t="shared" si="11"/>
        <v/>
      </c>
      <c r="AH24" s="11" t="str">
        <f t="shared" si="12"/>
        <v/>
      </c>
    </row>
    <row r="25" spans="1:34" ht="14.25" customHeight="1">
      <c r="A25" s="11">
        <v>10</v>
      </c>
      <c r="B25" s="66"/>
      <c r="C25" s="67"/>
      <c r="D25" s="67"/>
      <c r="E25" s="67"/>
      <c r="F25" s="67"/>
      <c r="G25" s="67" t="s">
        <v>24</v>
      </c>
      <c r="H25" s="67">
        <v>43461</v>
      </c>
      <c r="I25" s="6" t="s">
        <v>273</v>
      </c>
      <c r="J25" s="9">
        <v>1048651329</v>
      </c>
      <c r="K25" s="68">
        <v>43434</v>
      </c>
      <c r="L25" s="68" t="s">
        <v>230</v>
      </c>
      <c r="M25" s="68">
        <v>44530</v>
      </c>
      <c r="N25" s="69">
        <f t="shared" si="0"/>
        <v>-18</v>
      </c>
      <c r="O25" s="69" t="str">
        <f t="shared" si="1"/>
        <v>N/A</v>
      </c>
      <c r="P25" s="70">
        <v>18</v>
      </c>
      <c r="Q25" s="70"/>
      <c r="R25" s="70">
        <v>0</v>
      </c>
      <c r="S25" s="68">
        <f t="shared" si="2"/>
        <v>44519</v>
      </c>
      <c r="T25" s="68">
        <v>44519</v>
      </c>
      <c r="U25" s="68"/>
      <c r="V25" s="68"/>
      <c r="W25" s="68">
        <v>45721</v>
      </c>
      <c r="X25" s="10"/>
      <c r="Y25" s="65" t="str">
        <f t="shared" si="3"/>
        <v/>
      </c>
      <c r="Z25" s="11" t="str">
        <f t="shared" si="4"/>
        <v/>
      </c>
      <c r="AA25" s="11" t="str">
        <f t="shared" si="5"/>
        <v/>
      </c>
      <c r="AB25" s="73">
        <f t="shared" si="6"/>
        <v>-18</v>
      </c>
      <c r="AC25" s="11" t="str">
        <f t="shared" si="7"/>
        <v/>
      </c>
      <c r="AD25" s="11" t="str">
        <f t="shared" si="8"/>
        <v/>
      </c>
      <c r="AE25" s="11" t="str">
        <f t="shared" si="9"/>
        <v/>
      </c>
      <c r="AF25" s="73">
        <f t="shared" si="10"/>
        <v>-17.999974999999999</v>
      </c>
      <c r="AG25" s="11" t="str">
        <f t="shared" si="11"/>
        <v/>
      </c>
      <c r="AH25" s="11" t="str">
        <f t="shared" si="12"/>
        <v/>
      </c>
    </row>
    <row r="26" spans="1:34" ht="14.25" customHeight="1">
      <c r="A26" s="11">
        <v>11</v>
      </c>
      <c r="B26" s="66"/>
      <c r="C26" s="67"/>
      <c r="D26" s="67"/>
      <c r="E26" s="67"/>
      <c r="F26" s="67"/>
      <c r="G26" s="67" t="s">
        <v>35</v>
      </c>
      <c r="H26" s="67">
        <v>43276</v>
      </c>
      <c r="I26" s="6" t="s">
        <v>279</v>
      </c>
      <c r="J26" s="9">
        <v>1048656135</v>
      </c>
      <c r="K26" s="68">
        <v>43251</v>
      </c>
      <c r="L26" s="68">
        <v>46022</v>
      </c>
      <c r="M26" s="68">
        <v>46203</v>
      </c>
      <c r="N26" s="69">
        <f t="shared" si="0"/>
        <v>6</v>
      </c>
      <c r="O26" s="69">
        <f t="shared" si="1"/>
        <v>3</v>
      </c>
      <c r="P26" s="70">
        <v>145</v>
      </c>
      <c r="Q26" s="70">
        <v>148</v>
      </c>
      <c r="R26" s="70">
        <v>151</v>
      </c>
      <c r="S26" s="68" t="str">
        <f t="shared" si="2"/>
        <v/>
      </c>
      <c r="T26" s="68"/>
      <c r="U26" s="68"/>
      <c r="V26" s="68"/>
      <c r="W26" s="9"/>
      <c r="X26" s="10"/>
      <c r="Y26" s="71">
        <f t="shared" si="3"/>
        <v>148</v>
      </c>
      <c r="Z26" s="73">
        <f t="shared" si="4"/>
        <v>151</v>
      </c>
      <c r="AA26" s="11" t="str">
        <f t="shared" si="5"/>
        <v/>
      </c>
      <c r="AB26" s="73">
        <f t="shared" si="6"/>
        <v>6</v>
      </c>
      <c r="AC26" s="11" t="str">
        <f t="shared" si="7"/>
        <v/>
      </c>
      <c r="AD26" s="73">
        <f t="shared" si="8"/>
        <v>3</v>
      </c>
      <c r="AE26" s="11" t="str">
        <f t="shared" si="9"/>
        <v/>
      </c>
      <c r="AF26" s="73">
        <f t="shared" si="10"/>
        <v>6.0000260000000001</v>
      </c>
      <c r="AG26" s="11" t="str">
        <f t="shared" si="11"/>
        <v/>
      </c>
      <c r="AH26" s="73">
        <f t="shared" si="12"/>
        <v>3.0000260000000001</v>
      </c>
    </row>
    <row r="27" spans="1:34" ht="14.25" customHeight="1">
      <c r="A27" s="11">
        <v>12</v>
      </c>
      <c r="B27" s="66"/>
      <c r="C27" s="67"/>
      <c r="D27" s="67"/>
      <c r="E27" s="67"/>
      <c r="F27" s="67"/>
      <c r="G27" s="67" t="s">
        <v>283</v>
      </c>
      <c r="H27" s="67">
        <v>43522</v>
      </c>
      <c r="I27" s="6" t="s">
        <v>284</v>
      </c>
      <c r="J27" s="9">
        <v>1048656251</v>
      </c>
      <c r="K27" s="68">
        <v>43496</v>
      </c>
      <c r="L27" s="68" t="s">
        <v>230</v>
      </c>
      <c r="M27" s="68">
        <v>45747</v>
      </c>
      <c r="N27" s="69">
        <f t="shared" si="0"/>
        <v>-5</v>
      </c>
      <c r="O27" s="69" t="str">
        <f t="shared" si="1"/>
        <v>N/A</v>
      </c>
      <c r="P27" s="70">
        <v>10</v>
      </c>
      <c r="Q27" s="70"/>
      <c r="R27" s="70">
        <v>5</v>
      </c>
      <c r="S27" s="68">
        <f t="shared" si="2"/>
        <v>45721</v>
      </c>
      <c r="T27" s="68"/>
      <c r="U27" s="68"/>
      <c r="V27" s="68"/>
      <c r="W27" s="68">
        <v>45721</v>
      </c>
      <c r="X27" s="10"/>
      <c r="Y27" s="65" t="str">
        <f t="shared" si="3"/>
        <v/>
      </c>
      <c r="Z27" s="11" t="str">
        <f t="shared" si="4"/>
        <v/>
      </c>
      <c r="AA27" s="11" t="str">
        <f t="shared" si="5"/>
        <v/>
      </c>
      <c r="AB27" s="73">
        <f t="shared" si="6"/>
        <v>-5</v>
      </c>
      <c r="AC27" s="11" t="str">
        <f t="shared" si="7"/>
        <v/>
      </c>
      <c r="AD27" s="11" t="str">
        <f t="shared" si="8"/>
        <v/>
      </c>
      <c r="AE27" s="11" t="str">
        <f t="shared" si="9"/>
        <v/>
      </c>
      <c r="AF27" s="73">
        <f t="shared" si="10"/>
        <v>-4.9999729999999998</v>
      </c>
      <c r="AG27" s="11" t="str">
        <f t="shared" si="11"/>
        <v/>
      </c>
      <c r="AH27" s="11" t="str">
        <f t="shared" si="12"/>
        <v/>
      </c>
    </row>
    <row r="28" spans="1:34" ht="14.25" customHeight="1">
      <c r="A28" s="11">
        <v>13</v>
      </c>
      <c r="B28" s="66"/>
      <c r="C28" s="67"/>
      <c r="D28" s="67"/>
      <c r="E28" s="67"/>
      <c r="F28" s="67"/>
      <c r="G28" s="67" t="s">
        <v>35</v>
      </c>
      <c r="H28" s="67">
        <v>44061</v>
      </c>
      <c r="I28" s="6" t="s">
        <v>288</v>
      </c>
      <c r="J28" s="9">
        <v>1048660468</v>
      </c>
      <c r="K28" s="68">
        <v>44043</v>
      </c>
      <c r="L28" s="68">
        <v>46022</v>
      </c>
      <c r="M28" s="68">
        <v>46203</v>
      </c>
      <c r="N28" s="69">
        <f t="shared" si="0"/>
        <v>15</v>
      </c>
      <c r="O28" s="69">
        <f t="shared" si="1"/>
        <v>3</v>
      </c>
      <c r="P28" s="70">
        <v>6</v>
      </c>
      <c r="Q28" s="70">
        <v>18</v>
      </c>
      <c r="R28" s="70">
        <v>21</v>
      </c>
      <c r="S28" s="68" t="str">
        <f t="shared" si="2"/>
        <v/>
      </c>
      <c r="T28" s="68"/>
      <c r="U28" s="68"/>
      <c r="V28" s="68"/>
      <c r="W28" s="9"/>
      <c r="X28" s="10"/>
      <c r="Y28" s="71">
        <f t="shared" si="3"/>
        <v>18</v>
      </c>
      <c r="Z28" s="73">
        <f t="shared" si="4"/>
        <v>21</v>
      </c>
      <c r="AA28" s="11" t="str">
        <f t="shared" si="5"/>
        <v/>
      </c>
      <c r="AB28" s="73">
        <f t="shared" si="6"/>
        <v>15</v>
      </c>
      <c r="AC28" s="11" t="str">
        <f t="shared" si="7"/>
        <v/>
      </c>
      <c r="AD28" s="73">
        <f t="shared" si="8"/>
        <v>3</v>
      </c>
      <c r="AE28" s="11" t="str">
        <f t="shared" si="9"/>
        <v/>
      </c>
      <c r="AF28" s="73">
        <f t="shared" si="10"/>
        <v>15.000028</v>
      </c>
      <c r="AG28" s="11" t="str">
        <f t="shared" si="11"/>
        <v/>
      </c>
      <c r="AH28" s="73">
        <f t="shared" si="12"/>
        <v>3.0000279999999999</v>
      </c>
    </row>
    <row r="29" spans="1:34" ht="14.25" customHeight="1">
      <c r="A29" s="11">
        <v>14</v>
      </c>
      <c r="B29" s="66"/>
      <c r="C29" s="67"/>
      <c r="D29" s="67"/>
      <c r="E29" s="67"/>
      <c r="F29" s="67"/>
      <c r="G29" s="67" t="s">
        <v>35</v>
      </c>
      <c r="H29" s="67">
        <v>45617</v>
      </c>
      <c r="I29" s="6" t="s">
        <v>295</v>
      </c>
      <c r="J29" s="9">
        <v>1058671842</v>
      </c>
      <c r="K29" s="68">
        <v>45596</v>
      </c>
      <c r="L29" s="68">
        <v>46022</v>
      </c>
      <c r="M29" s="68">
        <v>46203</v>
      </c>
      <c r="N29" s="69">
        <f t="shared" si="0"/>
        <v>10</v>
      </c>
      <c r="O29" s="69">
        <f t="shared" si="1"/>
        <v>7</v>
      </c>
      <c r="P29" s="70">
        <v>49</v>
      </c>
      <c r="Q29" s="70">
        <v>52</v>
      </c>
      <c r="R29" s="70">
        <v>59</v>
      </c>
      <c r="S29" s="68" t="str">
        <f t="shared" si="2"/>
        <v/>
      </c>
      <c r="T29" s="68"/>
      <c r="U29" s="68"/>
      <c r="V29" s="68"/>
      <c r="W29" s="9"/>
      <c r="X29" s="10"/>
      <c r="Y29" s="71">
        <f t="shared" si="3"/>
        <v>52</v>
      </c>
      <c r="Z29" s="73">
        <f t="shared" si="4"/>
        <v>59</v>
      </c>
      <c r="AA29" s="11" t="str">
        <f t="shared" si="5"/>
        <v/>
      </c>
      <c r="AB29" s="73">
        <f t="shared" si="6"/>
        <v>10</v>
      </c>
      <c r="AC29" s="11" t="str">
        <f t="shared" si="7"/>
        <v/>
      </c>
      <c r="AD29" s="73">
        <f t="shared" si="8"/>
        <v>7</v>
      </c>
      <c r="AE29" s="11" t="str">
        <f t="shared" si="9"/>
        <v/>
      </c>
      <c r="AF29" s="73">
        <f t="shared" si="10"/>
        <v>10.000029</v>
      </c>
      <c r="AG29" s="11" t="str">
        <f t="shared" si="11"/>
        <v/>
      </c>
      <c r="AH29" s="73">
        <f t="shared" si="12"/>
        <v>7.0000289999999996</v>
      </c>
    </row>
    <row r="30" spans="1:34" ht="14.25" customHeight="1">
      <c r="A30" s="11">
        <v>15</v>
      </c>
      <c r="B30" s="66"/>
      <c r="C30" s="67"/>
      <c r="D30" s="67"/>
      <c r="E30" s="67"/>
      <c r="F30" s="67"/>
      <c r="G30" s="67" t="s">
        <v>35</v>
      </c>
      <c r="H30" s="67">
        <v>44057</v>
      </c>
      <c r="I30" s="6" t="s">
        <v>299</v>
      </c>
      <c r="J30" s="9">
        <v>1058751159</v>
      </c>
      <c r="K30" s="68">
        <v>44043</v>
      </c>
      <c r="L30" s="68">
        <v>46022</v>
      </c>
      <c r="M30" s="68">
        <v>46203</v>
      </c>
      <c r="N30" s="69">
        <f t="shared" si="0"/>
        <v>6</v>
      </c>
      <c r="O30" s="69">
        <f t="shared" si="1"/>
        <v>14</v>
      </c>
      <c r="P30" s="70">
        <v>72</v>
      </c>
      <c r="Q30" s="70">
        <v>64</v>
      </c>
      <c r="R30" s="70">
        <v>78</v>
      </c>
      <c r="S30" s="68" t="str">
        <f t="shared" si="2"/>
        <v/>
      </c>
      <c r="T30" s="68"/>
      <c r="U30" s="68"/>
      <c r="V30" s="68"/>
      <c r="W30" s="9"/>
      <c r="X30" s="10"/>
      <c r="Y30" s="71">
        <f t="shared" si="3"/>
        <v>64</v>
      </c>
      <c r="Z30" s="73">
        <f t="shared" si="4"/>
        <v>78</v>
      </c>
      <c r="AA30" s="11" t="str">
        <f t="shared" si="5"/>
        <v/>
      </c>
      <c r="AB30" s="73">
        <f t="shared" si="6"/>
        <v>6</v>
      </c>
      <c r="AC30" s="11" t="str">
        <f t="shared" si="7"/>
        <v/>
      </c>
      <c r="AD30" s="73">
        <f t="shared" si="8"/>
        <v>14</v>
      </c>
      <c r="AE30" s="11" t="str">
        <f t="shared" si="9"/>
        <v/>
      </c>
      <c r="AF30" s="73">
        <f t="shared" si="10"/>
        <v>6.0000299999999998</v>
      </c>
      <c r="AG30" s="11" t="str">
        <f t="shared" si="11"/>
        <v/>
      </c>
      <c r="AH30" s="73">
        <f t="shared" si="12"/>
        <v>14.000030000000001</v>
      </c>
    </row>
    <row r="31" spans="1:34" ht="14.25" customHeight="1">
      <c r="A31" s="11">
        <v>16</v>
      </c>
      <c r="B31" s="66"/>
      <c r="C31" s="67"/>
      <c r="D31" s="67"/>
      <c r="E31" s="67"/>
      <c r="F31" s="67"/>
      <c r="G31" s="67" t="s">
        <v>24</v>
      </c>
      <c r="H31" s="67">
        <v>42661</v>
      </c>
      <c r="I31" s="6" t="s">
        <v>308</v>
      </c>
      <c r="J31" s="9">
        <v>1058752823</v>
      </c>
      <c r="K31" s="68">
        <v>42643</v>
      </c>
      <c r="L31" s="68" t="s">
        <v>230</v>
      </c>
      <c r="M31" s="68">
        <v>45138</v>
      </c>
      <c r="N31" s="69">
        <f t="shared" si="0"/>
        <v>-16</v>
      </c>
      <c r="O31" s="69" t="str">
        <f t="shared" si="1"/>
        <v>N/A</v>
      </c>
      <c r="P31" s="70">
        <v>16</v>
      </c>
      <c r="Q31" s="70"/>
      <c r="R31" s="70">
        <v>0</v>
      </c>
      <c r="S31" s="68">
        <f t="shared" si="2"/>
        <v>45114</v>
      </c>
      <c r="T31" s="68">
        <v>45114</v>
      </c>
      <c r="U31" s="68"/>
      <c r="V31" s="68"/>
      <c r="W31" s="9"/>
      <c r="X31" s="10"/>
      <c r="Y31" s="65" t="str">
        <f t="shared" si="3"/>
        <v/>
      </c>
      <c r="Z31" s="11" t="str">
        <f t="shared" si="4"/>
        <v/>
      </c>
      <c r="AA31" s="11" t="str">
        <f t="shared" si="5"/>
        <v/>
      </c>
      <c r="AB31" s="73">
        <f t="shared" si="6"/>
        <v>-16</v>
      </c>
      <c r="AC31" s="11" t="str">
        <f t="shared" si="7"/>
        <v/>
      </c>
      <c r="AD31" s="11" t="str">
        <f t="shared" si="8"/>
        <v/>
      </c>
      <c r="AE31" s="11" t="str">
        <f t="shared" si="9"/>
        <v/>
      </c>
      <c r="AF31" s="73">
        <f t="shared" si="10"/>
        <v>-15.999969</v>
      </c>
      <c r="AG31" s="11" t="str">
        <f t="shared" si="11"/>
        <v/>
      </c>
      <c r="AH31" s="11" t="str">
        <f t="shared" si="12"/>
        <v/>
      </c>
    </row>
    <row r="32" spans="1:34" ht="14.25" customHeight="1">
      <c r="A32" s="11">
        <v>17</v>
      </c>
      <c r="B32" s="66"/>
      <c r="C32" s="67"/>
      <c r="D32" s="67"/>
      <c r="E32" s="67"/>
      <c r="F32" s="67"/>
      <c r="G32" s="67" t="s">
        <v>35</v>
      </c>
      <c r="H32" s="67">
        <v>44295</v>
      </c>
      <c r="I32" s="6" t="s">
        <v>313</v>
      </c>
      <c r="J32" s="9">
        <v>1058768397</v>
      </c>
      <c r="K32" s="68">
        <v>44286</v>
      </c>
      <c r="L32" s="68">
        <v>46022</v>
      </c>
      <c r="M32" s="68">
        <v>46203</v>
      </c>
      <c r="N32" s="69">
        <f t="shared" si="0"/>
        <v>-35</v>
      </c>
      <c r="O32" s="69">
        <f t="shared" si="1"/>
        <v>-22</v>
      </c>
      <c r="P32" s="70">
        <v>63</v>
      </c>
      <c r="Q32" s="70">
        <v>50</v>
      </c>
      <c r="R32" s="70">
        <v>28</v>
      </c>
      <c r="S32" s="68" t="str">
        <f t="shared" si="2"/>
        <v/>
      </c>
      <c r="T32" s="68"/>
      <c r="U32" s="68"/>
      <c r="V32" s="68"/>
      <c r="W32" s="9"/>
      <c r="X32" s="10"/>
      <c r="Y32" s="71">
        <f t="shared" si="3"/>
        <v>50</v>
      </c>
      <c r="Z32" s="73">
        <f t="shared" si="4"/>
        <v>28</v>
      </c>
      <c r="AA32" s="11" t="str">
        <f t="shared" si="5"/>
        <v/>
      </c>
      <c r="AB32" s="73">
        <f t="shared" si="6"/>
        <v>-35</v>
      </c>
      <c r="AC32" s="11" t="str">
        <f t="shared" si="7"/>
        <v/>
      </c>
      <c r="AD32" s="73">
        <f t="shared" si="8"/>
        <v>-22</v>
      </c>
      <c r="AE32" s="11" t="str">
        <f t="shared" si="9"/>
        <v/>
      </c>
      <c r="AF32" s="73">
        <f t="shared" si="10"/>
        <v>-34.999968000000003</v>
      </c>
      <c r="AG32" s="11" t="str">
        <f t="shared" si="11"/>
        <v/>
      </c>
      <c r="AH32" s="73">
        <f t="shared" si="12"/>
        <v>-21.999967999999999</v>
      </c>
    </row>
    <row r="33" spans="1:34" ht="14.25" customHeight="1">
      <c r="A33" s="11">
        <v>18</v>
      </c>
      <c r="B33" s="66"/>
      <c r="C33" s="67"/>
      <c r="D33" s="67"/>
      <c r="E33" s="67"/>
      <c r="F33" s="67"/>
      <c r="G33" s="67" t="s">
        <v>35</v>
      </c>
      <c r="H33" s="67">
        <v>42024</v>
      </c>
      <c r="I33" s="6" t="s">
        <v>320</v>
      </c>
      <c r="J33" s="9">
        <v>1058768437</v>
      </c>
      <c r="K33" s="68">
        <v>42004</v>
      </c>
      <c r="L33" s="68">
        <v>46022</v>
      </c>
      <c r="M33" s="68">
        <v>46203</v>
      </c>
      <c r="N33" s="69">
        <f t="shared" si="0"/>
        <v>79</v>
      </c>
      <c r="O33" s="69">
        <f t="shared" si="1"/>
        <v>8</v>
      </c>
      <c r="P33" s="70">
        <v>10</v>
      </c>
      <c r="Q33" s="70">
        <v>81</v>
      </c>
      <c r="R33" s="70">
        <v>89</v>
      </c>
      <c r="S33" s="68" t="str">
        <f t="shared" si="2"/>
        <v/>
      </c>
      <c r="T33" s="68"/>
      <c r="U33" s="68"/>
      <c r="V33" s="68"/>
      <c r="W33" s="9"/>
      <c r="X33" s="10"/>
      <c r="Y33" s="71">
        <f t="shared" si="3"/>
        <v>81</v>
      </c>
      <c r="Z33" s="73">
        <f t="shared" si="4"/>
        <v>89</v>
      </c>
      <c r="AA33" s="11" t="str">
        <f t="shared" si="5"/>
        <v/>
      </c>
      <c r="AB33" s="73">
        <f t="shared" si="6"/>
        <v>79</v>
      </c>
      <c r="AC33" s="11" t="str">
        <f t="shared" si="7"/>
        <v/>
      </c>
      <c r="AD33" s="73">
        <f t="shared" si="8"/>
        <v>8</v>
      </c>
      <c r="AE33" s="11" t="str">
        <f t="shared" si="9"/>
        <v/>
      </c>
      <c r="AF33" s="73">
        <f t="shared" si="10"/>
        <v>79.000033000000002</v>
      </c>
      <c r="AG33" s="11" t="str">
        <f t="shared" si="11"/>
        <v/>
      </c>
      <c r="AH33" s="73">
        <f t="shared" si="12"/>
        <v>8.0000330000000002</v>
      </c>
    </row>
    <row r="34" spans="1:34" ht="14.25" customHeight="1">
      <c r="A34" s="11">
        <v>19</v>
      </c>
      <c r="B34" s="66"/>
      <c r="C34" s="67"/>
      <c r="D34" s="67"/>
      <c r="E34" s="67"/>
      <c r="F34" s="67"/>
      <c r="G34" s="67" t="s">
        <v>35</v>
      </c>
      <c r="H34" s="67">
        <v>42594</v>
      </c>
      <c r="I34" s="6" t="s">
        <v>324</v>
      </c>
      <c r="J34" s="9">
        <v>1058773094</v>
      </c>
      <c r="K34" s="68">
        <v>42582</v>
      </c>
      <c r="L34" s="68">
        <v>46022</v>
      </c>
      <c r="M34" s="68">
        <v>46203</v>
      </c>
      <c r="N34" s="69">
        <f t="shared" si="0"/>
        <v>-12</v>
      </c>
      <c r="O34" s="69">
        <f t="shared" si="1"/>
        <v>0</v>
      </c>
      <c r="P34" s="70">
        <v>12</v>
      </c>
      <c r="Q34" s="70">
        <v>0</v>
      </c>
      <c r="R34" s="70">
        <v>0</v>
      </c>
      <c r="S34" s="68" t="str">
        <f t="shared" si="2"/>
        <v/>
      </c>
      <c r="T34" s="68"/>
      <c r="U34" s="68"/>
      <c r="V34" s="68"/>
      <c r="W34" s="9"/>
      <c r="X34" s="10"/>
      <c r="Y34" s="71">
        <f t="shared" si="3"/>
        <v>0</v>
      </c>
      <c r="Z34" s="73">
        <f t="shared" si="4"/>
        <v>0</v>
      </c>
      <c r="AA34" s="11" t="str">
        <f t="shared" si="5"/>
        <v/>
      </c>
      <c r="AB34" s="73">
        <f t="shared" si="6"/>
        <v>-12</v>
      </c>
      <c r="AC34" s="11" t="str">
        <f t="shared" si="7"/>
        <v/>
      </c>
      <c r="AD34" s="73">
        <f t="shared" si="8"/>
        <v>0</v>
      </c>
      <c r="AE34" s="11" t="str">
        <f t="shared" si="9"/>
        <v/>
      </c>
      <c r="AF34" s="73">
        <f t="shared" si="10"/>
        <v>-11.999966000000001</v>
      </c>
      <c r="AG34" s="11" t="str">
        <f t="shared" si="11"/>
        <v/>
      </c>
      <c r="AH34" s="73">
        <f t="shared" si="12"/>
        <v>3.4E-5</v>
      </c>
    </row>
    <row r="35" spans="1:34" ht="14.25" customHeight="1">
      <c r="A35" s="11">
        <v>20</v>
      </c>
      <c r="B35" s="66"/>
      <c r="C35" s="67"/>
      <c r="D35" s="67"/>
      <c r="E35" s="67"/>
      <c r="F35" s="67"/>
      <c r="G35" s="67" t="s">
        <v>35</v>
      </c>
      <c r="H35" s="67">
        <v>43383</v>
      </c>
      <c r="I35" s="6" t="s">
        <v>330</v>
      </c>
      <c r="J35" s="9">
        <v>1058773978</v>
      </c>
      <c r="K35" s="68">
        <v>43373</v>
      </c>
      <c r="L35" s="68">
        <v>46022</v>
      </c>
      <c r="M35" s="68">
        <v>46203</v>
      </c>
      <c r="N35" s="69">
        <f t="shared" si="0"/>
        <v>101</v>
      </c>
      <c r="O35" s="69">
        <f t="shared" si="1"/>
        <v>10</v>
      </c>
      <c r="P35" s="70">
        <v>58</v>
      </c>
      <c r="Q35" s="70">
        <v>149</v>
      </c>
      <c r="R35" s="70">
        <v>159</v>
      </c>
      <c r="S35" s="68" t="str">
        <f t="shared" si="2"/>
        <v/>
      </c>
      <c r="T35" s="68"/>
      <c r="U35" s="68"/>
      <c r="V35" s="68"/>
      <c r="W35" s="9"/>
      <c r="X35" s="10"/>
      <c r="Y35" s="71">
        <f t="shared" si="3"/>
        <v>149</v>
      </c>
      <c r="Z35" s="73">
        <f t="shared" si="4"/>
        <v>159</v>
      </c>
      <c r="AA35" s="11" t="str">
        <f t="shared" si="5"/>
        <v/>
      </c>
      <c r="AB35" s="73">
        <f t="shared" si="6"/>
        <v>101</v>
      </c>
      <c r="AC35" s="11" t="str">
        <f t="shared" si="7"/>
        <v/>
      </c>
      <c r="AD35" s="73">
        <f t="shared" si="8"/>
        <v>10</v>
      </c>
      <c r="AE35" s="11" t="str">
        <f t="shared" si="9"/>
        <v/>
      </c>
      <c r="AF35" s="73">
        <f t="shared" si="10"/>
        <v>101.000035</v>
      </c>
      <c r="AG35" s="11" t="str">
        <f t="shared" si="11"/>
        <v/>
      </c>
      <c r="AH35" s="73">
        <f t="shared" si="12"/>
        <v>10.000035</v>
      </c>
    </row>
    <row r="36" spans="1:34" ht="14.25" customHeight="1">
      <c r="A36" s="11">
        <v>21</v>
      </c>
      <c r="B36" s="66"/>
      <c r="C36" s="67"/>
      <c r="D36" s="67"/>
      <c r="E36" s="67"/>
      <c r="F36" s="67"/>
      <c r="G36" s="67" t="s">
        <v>35</v>
      </c>
      <c r="H36" s="67">
        <v>45730</v>
      </c>
      <c r="I36" s="6" t="s">
        <v>336</v>
      </c>
      <c r="J36" s="9">
        <v>1058776000</v>
      </c>
      <c r="K36" s="68">
        <v>45716</v>
      </c>
      <c r="L36" s="68">
        <v>46022</v>
      </c>
      <c r="M36" s="68">
        <v>46203</v>
      </c>
      <c r="N36" s="69">
        <f t="shared" si="0"/>
        <v>1</v>
      </c>
      <c r="O36" s="69">
        <f t="shared" si="1"/>
        <v>5</v>
      </c>
      <c r="P36" s="70">
        <v>31</v>
      </c>
      <c r="Q36" s="70">
        <v>27</v>
      </c>
      <c r="R36" s="70">
        <v>32</v>
      </c>
      <c r="S36" s="68" t="str">
        <f t="shared" si="2"/>
        <v/>
      </c>
      <c r="T36" s="68"/>
      <c r="U36" s="68"/>
      <c r="V36" s="68"/>
      <c r="W36" s="9"/>
      <c r="X36" s="10"/>
      <c r="Y36" s="71">
        <f t="shared" si="3"/>
        <v>27</v>
      </c>
      <c r="Z36" s="73">
        <f t="shared" si="4"/>
        <v>32</v>
      </c>
      <c r="AA36" s="11" t="str">
        <f t="shared" si="5"/>
        <v/>
      </c>
      <c r="AB36" s="73">
        <f t="shared" si="6"/>
        <v>1</v>
      </c>
      <c r="AC36" s="11" t="str">
        <f t="shared" si="7"/>
        <v/>
      </c>
      <c r="AD36" s="73">
        <f t="shared" si="8"/>
        <v>5</v>
      </c>
      <c r="AE36" s="11" t="str">
        <f t="shared" si="9"/>
        <v/>
      </c>
      <c r="AF36" s="73">
        <f t="shared" si="10"/>
        <v>1.0000359999999999</v>
      </c>
      <c r="AG36" s="11" t="str">
        <f t="shared" si="11"/>
        <v/>
      </c>
      <c r="AH36" s="73">
        <f t="shared" si="12"/>
        <v>5.0000359999999997</v>
      </c>
    </row>
    <row r="37" spans="1:34" ht="14.25" customHeight="1">
      <c r="A37" s="11">
        <v>22</v>
      </c>
      <c r="B37" s="66" t="s">
        <v>24</v>
      </c>
      <c r="C37" s="67">
        <v>43437</v>
      </c>
      <c r="D37" s="67">
        <v>43458</v>
      </c>
      <c r="E37" s="67"/>
      <c r="F37" s="67"/>
      <c r="G37" s="67"/>
      <c r="H37" s="67"/>
      <c r="I37" s="6" t="s">
        <v>342</v>
      </c>
      <c r="J37" s="9">
        <v>1058795915</v>
      </c>
      <c r="K37" s="68">
        <v>43434</v>
      </c>
      <c r="L37" s="68" t="s">
        <v>230</v>
      </c>
      <c r="M37" s="68">
        <v>44926</v>
      </c>
      <c r="N37" s="69">
        <f t="shared" si="0"/>
        <v>-3</v>
      </c>
      <c r="O37" s="69" t="str">
        <f t="shared" si="1"/>
        <v>N/A</v>
      </c>
      <c r="P37" s="70">
        <v>3</v>
      </c>
      <c r="Q37" s="70"/>
      <c r="R37" s="70">
        <v>0</v>
      </c>
      <c r="S37" s="68">
        <f t="shared" si="2"/>
        <v>44926</v>
      </c>
      <c r="T37" s="68">
        <v>44926</v>
      </c>
      <c r="U37" s="68">
        <v>45291</v>
      </c>
      <c r="V37" s="92">
        <v>45560</v>
      </c>
      <c r="W37" s="9"/>
      <c r="X37" s="10"/>
      <c r="Y37" s="65" t="str">
        <f t="shared" si="3"/>
        <v/>
      </c>
      <c r="Z37" s="11" t="str">
        <f t="shared" si="4"/>
        <v/>
      </c>
      <c r="AA37" s="73">
        <f t="shared" si="5"/>
        <v>-3</v>
      </c>
      <c r="AB37" s="11" t="str">
        <f t="shared" si="6"/>
        <v/>
      </c>
      <c r="AC37" s="11" t="str">
        <f t="shared" si="7"/>
        <v/>
      </c>
      <c r="AD37" s="11" t="str">
        <f t="shared" si="8"/>
        <v/>
      </c>
      <c r="AE37" s="73">
        <f t="shared" si="9"/>
        <v>-2.9999630000000002</v>
      </c>
      <c r="AF37" s="11" t="str">
        <f t="shared" si="10"/>
        <v/>
      </c>
      <c r="AG37" s="11" t="str">
        <f t="shared" si="11"/>
        <v/>
      </c>
      <c r="AH37" s="11" t="str">
        <f t="shared" si="12"/>
        <v/>
      </c>
    </row>
    <row r="38" spans="1:34" ht="14.25" customHeight="1">
      <c r="A38" s="11">
        <v>23</v>
      </c>
      <c r="B38" s="66" t="s">
        <v>348</v>
      </c>
      <c r="C38" s="67">
        <v>45484</v>
      </c>
      <c r="D38" s="67">
        <v>42916</v>
      </c>
      <c r="E38" s="67"/>
      <c r="F38" s="67"/>
      <c r="G38" s="67"/>
      <c r="H38" s="67"/>
      <c r="I38" s="6" t="s">
        <v>349</v>
      </c>
      <c r="J38" s="9">
        <v>1058802387</v>
      </c>
      <c r="K38" s="68">
        <v>42886</v>
      </c>
      <c r="L38" s="68">
        <v>46022</v>
      </c>
      <c r="M38" s="68">
        <v>46203</v>
      </c>
      <c r="N38" s="69">
        <f t="shared" si="0"/>
        <v>-6</v>
      </c>
      <c r="O38" s="69">
        <f t="shared" si="1"/>
        <v>-1</v>
      </c>
      <c r="P38" s="70">
        <v>7</v>
      </c>
      <c r="Q38" s="70">
        <v>2</v>
      </c>
      <c r="R38" s="70">
        <v>1</v>
      </c>
      <c r="S38" s="68" t="str">
        <f t="shared" si="2"/>
        <v/>
      </c>
      <c r="T38" s="68"/>
      <c r="U38" s="68">
        <v>45657</v>
      </c>
      <c r="V38" s="92">
        <v>45922</v>
      </c>
      <c r="W38" s="9"/>
      <c r="X38" s="93" t="s">
        <v>352</v>
      </c>
      <c r="Y38" s="71">
        <f t="shared" si="3"/>
        <v>2</v>
      </c>
      <c r="Z38" s="73">
        <f t="shared" si="4"/>
        <v>1</v>
      </c>
      <c r="AA38" s="73">
        <f t="shared" si="5"/>
        <v>-6</v>
      </c>
      <c r="AB38" s="11" t="str">
        <f t="shared" si="6"/>
        <v/>
      </c>
      <c r="AC38" s="73">
        <f t="shared" si="7"/>
        <v>-1</v>
      </c>
      <c r="AD38" s="11" t="str">
        <f t="shared" si="8"/>
        <v/>
      </c>
      <c r="AE38" s="73">
        <f t="shared" si="9"/>
        <v>-5.999962</v>
      </c>
      <c r="AF38" s="11" t="str">
        <f t="shared" si="10"/>
        <v/>
      </c>
      <c r="AG38" s="73">
        <f t="shared" si="11"/>
        <v>-0.99996200000000002</v>
      </c>
      <c r="AH38" s="11" t="str">
        <f t="shared" si="12"/>
        <v/>
      </c>
    </row>
    <row r="39" spans="1:34" ht="14.25" customHeight="1">
      <c r="A39" s="11">
        <v>24</v>
      </c>
      <c r="B39" s="66"/>
      <c r="C39" s="67"/>
      <c r="D39" s="67"/>
      <c r="E39" s="67"/>
      <c r="F39" s="67"/>
      <c r="G39" s="67" t="s">
        <v>24</v>
      </c>
      <c r="H39" s="67">
        <v>42319</v>
      </c>
      <c r="I39" s="6" t="s">
        <v>356</v>
      </c>
      <c r="J39" s="9">
        <v>1058802413</v>
      </c>
      <c r="K39" s="68">
        <v>42308</v>
      </c>
      <c r="L39" s="68" t="s">
        <v>230</v>
      </c>
      <c r="M39" s="68">
        <v>44561</v>
      </c>
      <c r="N39" s="69">
        <f t="shared" si="0"/>
        <v>-15</v>
      </c>
      <c r="O39" s="69" t="str">
        <f t="shared" si="1"/>
        <v>N/A</v>
      </c>
      <c r="P39" s="70">
        <v>15</v>
      </c>
      <c r="Q39" s="70"/>
      <c r="R39" s="70">
        <v>0</v>
      </c>
      <c r="S39" s="68">
        <f t="shared" si="2"/>
        <v>44561</v>
      </c>
      <c r="T39" s="68">
        <v>44561</v>
      </c>
      <c r="U39" s="68"/>
      <c r="V39" s="68"/>
      <c r="W39" s="9"/>
      <c r="X39" s="10"/>
      <c r="Y39" s="65" t="str">
        <f t="shared" si="3"/>
        <v/>
      </c>
      <c r="Z39" s="11" t="str">
        <f t="shared" si="4"/>
        <v/>
      </c>
      <c r="AA39" s="11" t="str">
        <f t="shared" si="5"/>
        <v/>
      </c>
      <c r="AB39" s="73">
        <f t="shared" si="6"/>
        <v>-15</v>
      </c>
      <c r="AC39" s="11" t="str">
        <f t="shared" si="7"/>
        <v/>
      </c>
      <c r="AD39" s="11" t="str">
        <f t="shared" si="8"/>
        <v/>
      </c>
      <c r="AE39" s="11" t="str">
        <f t="shared" si="9"/>
        <v/>
      </c>
      <c r="AF39" s="73">
        <f t="shared" si="10"/>
        <v>-14.999961000000001</v>
      </c>
      <c r="AG39" s="11" t="str">
        <f t="shared" si="11"/>
        <v/>
      </c>
      <c r="AH39" s="11" t="str">
        <f t="shared" si="12"/>
        <v/>
      </c>
    </row>
    <row r="40" spans="1:34" ht="14.25" customHeight="1">
      <c r="A40" s="11">
        <v>25</v>
      </c>
      <c r="B40" s="66"/>
      <c r="C40" s="67"/>
      <c r="D40" s="67"/>
      <c r="E40" s="67"/>
      <c r="F40" s="67"/>
      <c r="G40" s="67" t="s">
        <v>35</v>
      </c>
      <c r="H40" s="67">
        <v>41828</v>
      </c>
      <c r="I40" s="6" t="s">
        <v>361</v>
      </c>
      <c r="J40" s="9">
        <v>1058804880</v>
      </c>
      <c r="K40" s="68">
        <v>41820</v>
      </c>
      <c r="L40" s="68">
        <v>46022</v>
      </c>
      <c r="M40" s="68">
        <v>46203</v>
      </c>
      <c r="N40" s="69">
        <f t="shared" si="0"/>
        <v>1</v>
      </c>
      <c r="O40" s="69">
        <f t="shared" si="1"/>
        <v>0</v>
      </c>
      <c r="P40" s="70">
        <v>0</v>
      </c>
      <c r="Q40" s="70">
        <v>1</v>
      </c>
      <c r="R40" s="70">
        <v>1</v>
      </c>
      <c r="S40" s="68" t="str">
        <f t="shared" si="2"/>
        <v/>
      </c>
      <c r="T40" s="68"/>
      <c r="U40" s="68"/>
      <c r="V40" s="68"/>
      <c r="W40" s="9"/>
      <c r="X40" s="10"/>
      <c r="Y40" s="71">
        <f t="shared" si="3"/>
        <v>1</v>
      </c>
      <c r="Z40" s="73">
        <f t="shared" si="4"/>
        <v>1</v>
      </c>
      <c r="AA40" s="11" t="str">
        <f t="shared" si="5"/>
        <v/>
      </c>
      <c r="AB40" s="73">
        <f t="shared" si="6"/>
        <v>1</v>
      </c>
      <c r="AC40" s="11" t="str">
        <f t="shared" si="7"/>
        <v/>
      </c>
      <c r="AD40" s="73">
        <f t="shared" si="8"/>
        <v>0</v>
      </c>
      <c r="AE40" s="11" t="str">
        <f t="shared" si="9"/>
        <v/>
      </c>
      <c r="AF40" s="73">
        <f t="shared" si="10"/>
        <v>1.00004</v>
      </c>
      <c r="AG40" s="11" t="str">
        <f t="shared" si="11"/>
        <v/>
      </c>
      <c r="AH40" s="73">
        <f t="shared" si="12"/>
        <v>4.0000000000000003E-5</v>
      </c>
    </row>
    <row r="41" spans="1:34" ht="14.25" customHeight="1">
      <c r="A41" s="11">
        <v>26</v>
      </c>
      <c r="B41" s="66"/>
      <c r="C41" s="67"/>
      <c r="D41" s="67"/>
      <c r="E41" s="67"/>
      <c r="F41" s="67"/>
      <c r="G41" s="67" t="s">
        <v>35</v>
      </c>
      <c r="H41" s="67">
        <v>44823</v>
      </c>
      <c r="I41" s="6" t="s">
        <v>366</v>
      </c>
      <c r="J41" s="9">
        <v>1058806971</v>
      </c>
      <c r="K41" s="68">
        <v>44804</v>
      </c>
      <c r="L41" s="68">
        <v>46022</v>
      </c>
      <c r="M41" s="68">
        <v>46203</v>
      </c>
      <c r="N41" s="69">
        <f t="shared" si="0"/>
        <v>2</v>
      </c>
      <c r="O41" s="69">
        <f t="shared" si="1"/>
        <v>-10</v>
      </c>
      <c r="P41" s="70">
        <v>62</v>
      </c>
      <c r="Q41" s="70">
        <v>74</v>
      </c>
      <c r="R41" s="70">
        <v>64</v>
      </c>
      <c r="S41" s="68" t="str">
        <f t="shared" si="2"/>
        <v/>
      </c>
      <c r="T41" s="68"/>
      <c r="U41" s="68"/>
      <c r="V41" s="68"/>
      <c r="W41" s="9"/>
      <c r="X41" s="10"/>
      <c r="Y41" s="71">
        <f t="shared" si="3"/>
        <v>74</v>
      </c>
      <c r="Z41" s="73">
        <f t="shared" si="4"/>
        <v>64</v>
      </c>
      <c r="AA41" s="11" t="str">
        <f t="shared" si="5"/>
        <v/>
      </c>
      <c r="AB41" s="73">
        <f t="shared" si="6"/>
        <v>2</v>
      </c>
      <c r="AC41" s="11" t="str">
        <f t="shared" si="7"/>
        <v/>
      </c>
      <c r="AD41" s="73">
        <f t="shared" si="8"/>
        <v>-10</v>
      </c>
      <c r="AE41" s="11" t="str">
        <f t="shared" si="9"/>
        <v/>
      </c>
      <c r="AF41" s="73">
        <f t="shared" si="10"/>
        <v>2.000041</v>
      </c>
      <c r="AG41" s="11" t="str">
        <f t="shared" si="11"/>
        <v/>
      </c>
      <c r="AH41" s="73">
        <f t="shared" si="12"/>
        <v>-9.9999590000000005</v>
      </c>
    </row>
    <row r="42" spans="1:34" ht="14.25" customHeight="1">
      <c r="A42" s="11">
        <v>27</v>
      </c>
      <c r="B42" s="66"/>
      <c r="C42" s="67"/>
      <c r="D42" s="67"/>
      <c r="E42" s="67"/>
      <c r="F42" s="67"/>
      <c r="G42" s="67" t="s">
        <v>35</v>
      </c>
      <c r="H42" s="67">
        <v>43971</v>
      </c>
      <c r="I42" s="6" t="s">
        <v>372</v>
      </c>
      <c r="J42" s="9">
        <v>1058808998</v>
      </c>
      <c r="K42" s="68">
        <v>43951</v>
      </c>
      <c r="L42" s="68">
        <v>46022</v>
      </c>
      <c r="M42" s="68">
        <v>46203</v>
      </c>
      <c r="N42" s="69">
        <f t="shared" si="0"/>
        <v>-43</v>
      </c>
      <c r="O42" s="69">
        <f t="shared" si="1"/>
        <v>0</v>
      </c>
      <c r="P42" s="70">
        <v>44</v>
      </c>
      <c r="Q42" s="70">
        <v>1</v>
      </c>
      <c r="R42" s="70">
        <v>1</v>
      </c>
      <c r="S42" s="68" t="str">
        <f t="shared" si="2"/>
        <v/>
      </c>
      <c r="T42" s="68"/>
      <c r="U42" s="68"/>
      <c r="V42" s="68"/>
      <c r="W42" s="9"/>
      <c r="X42" s="10"/>
      <c r="Y42" s="71">
        <f t="shared" si="3"/>
        <v>1</v>
      </c>
      <c r="Z42" s="73">
        <f t="shared" si="4"/>
        <v>1</v>
      </c>
      <c r="AA42" s="11" t="str">
        <f t="shared" si="5"/>
        <v/>
      </c>
      <c r="AB42" s="73">
        <f t="shared" si="6"/>
        <v>-43</v>
      </c>
      <c r="AC42" s="11" t="str">
        <f t="shared" si="7"/>
        <v/>
      </c>
      <c r="AD42" s="73">
        <f t="shared" si="8"/>
        <v>0</v>
      </c>
      <c r="AE42" s="11" t="str">
        <f t="shared" si="9"/>
        <v/>
      </c>
      <c r="AF42" s="73">
        <f t="shared" si="10"/>
        <v>-42.999957999999999</v>
      </c>
      <c r="AG42" s="11" t="str">
        <f t="shared" si="11"/>
        <v/>
      </c>
      <c r="AH42" s="73">
        <f t="shared" si="12"/>
        <v>4.1999999999999998E-5</v>
      </c>
    </row>
    <row r="43" spans="1:34" ht="14.25" customHeight="1">
      <c r="A43" s="11">
        <v>28</v>
      </c>
      <c r="B43" s="66"/>
      <c r="C43" s="67"/>
      <c r="D43" s="67"/>
      <c r="E43" s="67"/>
      <c r="F43" s="67"/>
      <c r="G43" s="67" t="s">
        <v>35</v>
      </c>
      <c r="H43" s="67">
        <v>45380</v>
      </c>
      <c r="I43" s="6" t="s">
        <v>378</v>
      </c>
      <c r="J43" s="9">
        <v>1058809454</v>
      </c>
      <c r="K43" s="68">
        <v>45351</v>
      </c>
      <c r="L43" s="68">
        <v>46022</v>
      </c>
      <c r="M43" s="68">
        <v>46203</v>
      </c>
      <c r="N43" s="69">
        <f t="shared" si="0"/>
        <v>15</v>
      </c>
      <c r="O43" s="69">
        <f t="shared" si="1"/>
        <v>6</v>
      </c>
      <c r="P43" s="70">
        <v>16</v>
      </c>
      <c r="Q43" s="70">
        <v>25</v>
      </c>
      <c r="R43" s="70">
        <v>31</v>
      </c>
      <c r="S43" s="68" t="str">
        <f t="shared" si="2"/>
        <v/>
      </c>
      <c r="T43" s="68"/>
      <c r="U43" s="68"/>
      <c r="V43" s="68"/>
      <c r="W43" s="9"/>
      <c r="X43" s="10"/>
      <c r="Y43" s="71">
        <f t="shared" si="3"/>
        <v>25</v>
      </c>
      <c r="Z43" s="73">
        <f t="shared" si="4"/>
        <v>31</v>
      </c>
      <c r="AA43" s="11" t="str">
        <f t="shared" si="5"/>
        <v/>
      </c>
      <c r="AB43" s="73">
        <f t="shared" si="6"/>
        <v>15</v>
      </c>
      <c r="AC43" s="11" t="str">
        <f t="shared" si="7"/>
        <v/>
      </c>
      <c r="AD43" s="73">
        <f t="shared" si="8"/>
        <v>6</v>
      </c>
      <c r="AE43" s="11" t="str">
        <f t="shared" si="9"/>
        <v/>
      </c>
      <c r="AF43" s="73">
        <f t="shared" si="10"/>
        <v>15.000043</v>
      </c>
      <c r="AG43" s="11" t="str">
        <f t="shared" si="11"/>
        <v/>
      </c>
      <c r="AH43" s="73">
        <f t="shared" si="12"/>
        <v>6.0000429999999998</v>
      </c>
    </row>
    <row r="44" spans="1:34" ht="14.25" customHeight="1">
      <c r="A44" s="11">
        <v>29</v>
      </c>
      <c r="B44" s="66"/>
      <c r="C44" s="67"/>
      <c r="D44" s="67"/>
      <c r="E44" s="67"/>
      <c r="F44" s="67"/>
      <c r="G44" s="67" t="s">
        <v>35</v>
      </c>
      <c r="H44" s="67">
        <v>44176</v>
      </c>
      <c r="I44" s="6" t="s">
        <v>382</v>
      </c>
      <c r="J44" s="9">
        <v>1058810325</v>
      </c>
      <c r="K44" s="68">
        <v>44165</v>
      </c>
      <c r="L44" s="68">
        <v>46022</v>
      </c>
      <c r="M44" s="68">
        <v>46203</v>
      </c>
      <c r="N44" s="69">
        <f t="shared" si="0"/>
        <v>16</v>
      </c>
      <c r="O44" s="69">
        <f t="shared" si="1"/>
        <v>-9</v>
      </c>
      <c r="P44" s="70">
        <v>23</v>
      </c>
      <c r="Q44" s="70">
        <v>48</v>
      </c>
      <c r="R44" s="70">
        <v>39</v>
      </c>
      <c r="S44" s="68" t="str">
        <f t="shared" si="2"/>
        <v/>
      </c>
      <c r="T44" s="68"/>
      <c r="U44" s="68"/>
      <c r="V44" s="68"/>
      <c r="W44" s="9"/>
      <c r="X44" s="10"/>
      <c r="Y44" s="71">
        <f t="shared" si="3"/>
        <v>48</v>
      </c>
      <c r="Z44" s="73">
        <f t="shared" si="4"/>
        <v>39</v>
      </c>
      <c r="AA44" s="11" t="str">
        <f t="shared" si="5"/>
        <v/>
      </c>
      <c r="AB44" s="73">
        <f t="shared" si="6"/>
        <v>16</v>
      </c>
      <c r="AC44" s="11" t="str">
        <f t="shared" si="7"/>
        <v/>
      </c>
      <c r="AD44" s="73">
        <f t="shared" si="8"/>
        <v>-9</v>
      </c>
      <c r="AE44" s="11" t="str">
        <f t="shared" si="9"/>
        <v/>
      </c>
      <c r="AF44" s="73">
        <f t="shared" si="10"/>
        <v>16.000043999999999</v>
      </c>
      <c r="AG44" s="11" t="str">
        <f t="shared" si="11"/>
        <v/>
      </c>
      <c r="AH44" s="73">
        <f t="shared" si="12"/>
        <v>-8.9999559999999992</v>
      </c>
    </row>
    <row r="45" spans="1:34" ht="14.25" customHeight="1">
      <c r="A45" s="11">
        <v>30</v>
      </c>
      <c r="B45" s="66" t="s">
        <v>35</v>
      </c>
      <c r="C45" s="67">
        <v>44986</v>
      </c>
      <c r="D45" s="67"/>
      <c r="E45" s="67"/>
      <c r="F45" s="67"/>
      <c r="G45" s="67" t="s">
        <v>35</v>
      </c>
      <c r="H45" s="67">
        <v>44991</v>
      </c>
      <c r="I45" s="6" t="s">
        <v>386</v>
      </c>
      <c r="J45" s="9">
        <v>1058818138</v>
      </c>
      <c r="K45" s="68">
        <v>44985</v>
      </c>
      <c r="L45" s="68">
        <v>46022</v>
      </c>
      <c r="M45" s="68">
        <v>46203</v>
      </c>
      <c r="N45" s="69">
        <f t="shared" si="0"/>
        <v>2</v>
      </c>
      <c r="O45" s="69">
        <f t="shared" si="1"/>
        <v>-3</v>
      </c>
      <c r="P45" s="70">
        <v>2</v>
      </c>
      <c r="Q45" s="70">
        <v>7</v>
      </c>
      <c r="R45" s="70">
        <v>4</v>
      </c>
      <c r="S45" s="68" t="str">
        <f t="shared" si="2"/>
        <v/>
      </c>
      <c r="T45" s="68"/>
      <c r="U45" s="68"/>
      <c r="V45" s="68"/>
      <c r="W45" s="9"/>
      <c r="X45" s="10"/>
      <c r="Y45" s="71">
        <f t="shared" si="3"/>
        <v>7</v>
      </c>
      <c r="Z45" s="73">
        <f t="shared" si="4"/>
        <v>4</v>
      </c>
      <c r="AA45" s="73">
        <f t="shared" si="5"/>
        <v>2</v>
      </c>
      <c r="AB45" s="73">
        <f t="shared" si="6"/>
        <v>2</v>
      </c>
      <c r="AC45" s="73">
        <f t="shared" si="7"/>
        <v>-3</v>
      </c>
      <c r="AD45" s="73">
        <f t="shared" si="8"/>
        <v>-3</v>
      </c>
      <c r="AE45" s="73">
        <f t="shared" si="9"/>
        <v>2.0000450000000001</v>
      </c>
      <c r="AF45" s="73">
        <f t="shared" si="10"/>
        <v>2.0000450000000001</v>
      </c>
      <c r="AG45" s="73">
        <f t="shared" si="11"/>
        <v>-2.9999549999999999</v>
      </c>
      <c r="AH45" s="73">
        <f t="shared" si="12"/>
        <v>-2.9999549999999999</v>
      </c>
    </row>
    <row r="46" spans="1:34" ht="14.25" customHeight="1">
      <c r="A46" s="11">
        <v>31</v>
      </c>
      <c r="B46" s="66"/>
      <c r="C46" s="67"/>
      <c r="D46" s="67"/>
      <c r="E46" s="67"/>
      <c r="F46" s="67"/>
      <c r="G46" s="67" t="s">
        <v>24</v>
      </c>
      <c r="H46" s="67">
        <v>43403</v>
      </c>
      <c r="I46" s="6" t="s">
        <v>392</v>
      </c>
      <c r="J46" s="9">
        <v>1068700202</v>
      </c>
      <c r="K46" s="68">
        <v>43373</v>
      </c>
      <c r="L46" s="68">
        <v>46022</v>
      </c>
      <c r="M46" s="68">
        <v>46142</v>
      </c>
      <c r="N46" s="69">
        <f t="shared" si="0"/>
        <v>-53</v>
      </c>
      <c r="O46" s="69">
        <f t="shared" si="1"/>
        <v>-5</v>
      </c>
      <c r="P46" s="70">
        <v>53</v>
      </c>
      <c r="Q46" s="70">
        <v>5</v>
      </c>
      <c r="R46" s="70">
        <v>0</v>
      </c>
      <c r="S46" s="68">
        <f t="shared" si="2"/>
        <v>46114</v>
      </c>
      <c r="T46" s="68">
        <v>46114</v>
      </c>
      <c r="U46" s="68"/>
      <c r="V46" s="68"/>
      <c r="W46" s="9"/>
      <c r="X46" s="10"/>
      <c r="Y46" s="71">
        <f t="shared" si="3"/>
        <v>5</v>
      </c>
      <c r="Z46" s="73">
        <f t="shared" si="4"/>
        <v>0</v>
      </c>
      <c r="AA46" s="11" t="str">
        <f t="shared" si="5"/>
        <v/>
      </c>
      <c r="AB46" s="73">
        <f t="shared" si="6"/>
        <v>-53</v>
      </c>
      <c r="AC46" s="11" t="str">
        <f t="shared" si="7"/>
        <v/>
      </c>
      <c r="AD46" s="73">
        <f t="shared" si="8"/>
        <v>-5</v>
      </c>
      <c r="AE46" s="11" t="str">
        <f t="shared" si="9"/>
        <v/>
      </c>
      <c r="AF46" s="73">
        <f t="shared" si="10"/>
        <v>-52.999954000000002</v>
      </c>
      <c r="AG46" s="11" t="str">
        <f t="shared" si="11"/>
        <v/>
      </c>
      <c r="AH46" s="73">
        <f t="shared" si="12"/>
        <v>-4.9999539999999998</v>
      </c>
    </row>
    <row r="47" spans="1:34" ht="14.25" customHeight="1">
      <c r="A47" s="11">
        <v>32</v>
      </c>
      <c r="B47" s="66"/>
      <c r="C47" s="67"/>
      <c r="D47" s="67"/>
      <c r="E47" s="67"/>
      <c r="F47" s="67"/>
      <c r="G47" s="67" t="s">
        <v>35</v>
      </c>
      <c r="H47" s="67">
        <v>43840</v>
      </c>
      <c r="I47" s="6" t="s">
        <v>397</v>
      </c>
      <c r="J47" s="9">
        <v>1068704057</v>
      </c>
      <c r="K47" s="68">
        <v>43830</v>
      </c>
      <c r="L47" s="68">
        <v>46022</v>
      </c>
      <c r="M47" s="68">
        <v>46203</v>
      </c>
      <c r="N47" s="69">
        <f t="shared" si="0"/>
        <v>-4</v>
      </c>
      <c r="O47" s="69">
        <f t="shared" si="1"/>
        <v>-1</v>
      </c>
      <c r="P47" s="70">
        <v>9</v>
      </c>
      <c r="Q47" s="70">
        <v>6</v>
      </c>
      <c r="R47" s="70">
        <v>5</v>
      </c>
      <c r="S47" s="68" t="str">
        <f t="shared" si="2"/>
        <v/>
      </c>
      <c r="T47" s="68"/>
      <c r="U47" s="68"/>
      <c r="V47" s="68"/>
      <c r="W47" s="9"/>
      <c r="X47" s="10"/>
      <c r="Y47" s="71">
        <f t="shared" si="3"/>
        <v>6</v>
      </c>
      <c r="Z47" s="73">
        <f t="shared" si="4"/>
        <v>5</v>
      </c>
      <c r="AA47" s="11" t="str">
        <f t="shared" si="5"/>
        <v/>
      </c>
      <c r="AB47" s="73">
        <f t="shared" si="6"/>
        <v>-4</v>
      </c>
      <c r="AC47" s="11" t="str">
        <f t="shared" si="7"/>
        <v/>
      </c>
      <c r="AD47" s="73">
        <f t="shared" si="8"/>
        <v>-1</v>
      </c>
      <c r="AE47" s="11" t="str">
        <f t="shared" si="9"/>
        <v/>
      </c>
      <c r="AF47" s="73">
        <f t="shared" si="10"/>
        <v>-3.9999530000000001</v>
      </c>
      <c r="AG47" s="11" t="str">
        <f t="shared" si="11"/>
        <v/>
      </c>
      <c r="AH47" s="73">
        <f t="shared" si="12"/>
        <v>-0.99995299999999998</v>
      </c>
    </row>
    <row r="48" spans="1:34" ht="14.25" customHeight="1">
      <c r="A48" s="11">
        <v>33</v>
      </c>
      <c r="B48" s="66"/>
      <c r="C48" s="67"/>
      <c r="D48" s="67"/>
      <c r="E48" s="67"/>
      <c r="F48" s="67"/>
      <c r="G48" s="67" t="s">
        <v>35</v>
      </c>
      <c r="H48" s="67">
        <v>45741</v>
      </c>
      <c r="I48" s="6" t="s">
        <v>401</v>
      </c>
      <c r="J48" s="9">
        <v>1068706394</v>
      </c>
      <c r="K48" s="68">
        <v>45716</v>
      </c>
      <c r="L48" s="68">
        <v>46022</v>
      </c>
      <c r="M48" s="68">
        <v>46203</v>
      </c>
      <c r="N48" s="69">
        <f t="shared" si="0"/>
        <v>21</v>
      </c>
      <c r="O48" s="69">
        <f t="shared" si="1"/>
        <v>17</v>
      </c>
      <c r="P48" s="70">
        <v>141</v>
      </c>
      <c r="Q48" s="70">
        <v>145</v>
      </c>
      <c r="R48" s="70">
        <v>162</v>
      </c>
      <c r="S48" s="68" t="str">
        <f t="shared" si="2"/>
        <v/>
      </c>
      <c r="T48" s="68"/>
      <c r="U48" s="68"/>
      <c r="V48" s="68"/>
      <c r="W48" s="9"/>
      <c r="X48" s="10"/>
      <c r="Y48" s="71">
        <f t="shared" si="3"/>
        <v>145</v>
      </c>
      <c r="Z48" s="73">
        <f t="shared" si="4"/>
        <v>162</v>
      </c>
      <c r="AA48" s="11" t="str">
        <f t="shared" si="5"/>
        <v/>
      </c>
      <c r="AB48" s="73">
        <f t="shared" si="6"/>
        <v>21</v>
      </c>
      <c r="AC48" s="11" t="str">
        <f t="shared" si="7"/>
        <v/>
      </c>
      <c r="AD48" s="73">
        <f t="shared" si="8"/>
        <v>17</v>
      </c>
      <c r="AE48" s="11" t="str">
        <f t="shared" si="9"/>
        <v/>
      </c>
      <c r="AF48" s="73">
        <f t="shared" si="10"/>
        <v>21.000048</v>
      </c>
      <c r="AG48" s="11" t="str">
        <f t="shared" si="11"/>
        <v/>
      </c>
      <c r="AH48" s="73">
        <f t="shared" si="12"/>
        <v>17.000048</v>
      </c>
    </row>
    <row r="49" spans="1:34" ht="14.25" customHeight="1">
      <c r="A49" s="11">
        <v>34</v>
      </c>
      <c r="B49" s="66"/>
      <c r="C49" s="67"/>
      <c r="D49" s="67"/>
      <c r="E49" s="67"/>
      <c r="F49" s="67"/>
      <c r="G49" s="67" t="s">
        <v>35</v>
      </c>
      <c r="H49" s="67">
        <v>46017</v>
      </c>
      <c r="I49" s="6" t="s">
        <v>406</v>
      </c>
      <c r="J49" s="94">
        <v>1068710729</v>
      </c>
      <c r="K49" s="68">
        <v>45991</v>
      </c>
      <c r="L49" s="68">
        <v>46022</v>
      </c>
      <c r="M49" s="68">
        <v>46203</v>
      </c>
      <c r="N49" s="69">
        <f t="shared" si="0"/>
        <v>-3</v>
      </c>
      <c r="O49" s="69">
        <f t="shared" si="1"/>
        <v>-1</v>
      </c>
      <c r="P49" s="70">
        <v>43</v>
      </c>
      <c r="Q49" s="70">
        <v>41</v>
      </c>
      <c r="R49" s="70">
        <v>40</v>
      </c>
      <c r="S49" s="68" t="str">
        <f t="shared" si="2"/>
        <v/>
      </c>
      <c r="T49" s="68"/>
      <c r="U49" s="95"/>
      <c r="V49" s="68"/>
      <c r="W49" s="9"/>
      <c r="X49" s="10"/>
      <c r="Y49" s="71">
        <f t="shared" si="3"/>
        <v>41</v>
      </c>
      <c r="Z49" s="73">
        <f t="shared" si="4"/>
        <v>40</v>
      </c>
      <c r="AA49" s="11" t="str">
        <f t="shared" si="5"/>
        <v/>
      </c>
      <c r="AB49" s="73">
        <f t="shared" si="6"/>
        <v>-3</v>
      </c>
      <c r="AC49" s="11" t="str">
        <f t="shared" si="7"/>
        <v/>
      </c>
      <c r="AD49" s="73">
        <f t="shared" si="8"/>
        <v>-1</v>
      </c>
      <c r="AE49" s="11" t="str">
        <f t="shared" si="9"/>
        <v/>
      </c>
      <c r="AF49" s="73">
        <f t="shared" si="10"/>
        <v>-2.9999509999999998</v>
      </c>
      <c r="AG49" s="11" t="str">
        <f t="shared" si="11"/>
        <v/>
      </c>
      <c r="AH49" s="73">
        <f t="shared" si="12"/>
        <v>-0.99995100000000003</v>
      </c>
    </row>
    <row r="50" spans="1:34" ht="14.25" customHeight="1">
      <c r="A50" s="11">
        <v>35</v>
      </c>
      <c r="B50" s="66" t="s">
        <v>35</v>
      </c>
      <c r="C50" s="67">
        <v>43556</v>
      </c>
      <c r="D50" s="67"/>
      <c r="E50" s="67"/>
      <c r="F50" s="67"/>
      <c r="G50" s="67" t="s">
        <v>35</v>
      </c>
      <c r="H50" s="67">
        <v>44474</v>
      </c>
      <c r="I50" s="6" t="s">
        <v>413</v>
      </c>
      <c r="J50" s="9">
        <v>1068800816</v>
      </c>
      <c r="K50" s="68">
        <v>43555</v>
      </c>
      <c r="L50" s="68">
        <v>46022</v>
      </c>
      <c r="M50" s="68">
        <v>46203</v>
      </c>
      <c r="N50" s="69">
        <f t="shared" si="0"/>
        <v>-7</v>
      </c>
      <c r="O50" s="69">
        <f t="shared" si="1"/>
        <v>0</v>
      </c>
      <c r="P50" s="70">
        <v>8</v>
      </c>
      <c r="Q50" s="70">
        <v>1</v>
      </c>
      <c r="R50" s="70">
        <v>1</v>
      </c>
      <c r="S50" s="68" t="str">
        <f t="shared" si="2"/>
        <v/>
      </c>
      <c r="T50" s="68"/>
      <c r="U50" s="68"/>
      <c r="V50" s="68"/>
      <c r="W50" s="9"/>
      <c r="X50" s="10"/>
      <c r="Y50" s="71">
        <f t="shared" si="3"/>
        <v>1</v>
      </c>
      <c r="Z50" s="73">
        <f t="shared" si="4"/>
        <v>1</v>
      </c>
      <c r="AA50" s="73">
        <f t="shared" si="5"/>
        <v>-7</v>
      </c>
      <c r="AB50" s="73">
        <f t="shared" si="6"/>
        <v>-7</v>
      </c>
      <c r="AC50" s="73">
        <f t="shared" si="7"/>
        <v>0</v>
      </c>
      <c r="AD50" s="73">
        <f t="shared" si="8"/>
        <v>0</v>
      </c>
      <c r="AE50" s="73">
        <f t="shared" si="9"/>
        <v>-6.9999500000000001</v>
      </c>
      <c r="AF50" s="73">
        <f t="shared" si="10"/>
        <v>-6.9999500000000001</v>
      </c>
      <c r="AG50" s="73">
        <f t="shared" si="11"/>
        <v>5.0000000000000002E-5</v>
      </c>
      <c r="AH50" s="73">
        <f t="shared" si="12"/>
        <v>5.0000000000000002E-5</v>
      </c>
    </row>
    <row r="51" spans="1:34" ht="14.25" customHeight="1">
      <c r="A51" s="11">
        <v>36</v>
      </c>
      <c r="B51" s="66"/>
      <c r="C51" s="67"/>
      <c r="D51" s="67"/>
      <c r="E51" s="67"/>
      <c r="F51" s="67"/>
      <c r="G51" s="67" t="s">
        <v>35</v>
      </c>
      <c r="H51" s="67">
        <v>42577</v>
      </c>
      <c r="I51" s="6" t="s">
        <v>420</v>
      </c>
      <c r="J51" s="9">
        <v>1078753847</v>
      </c>
      <c r="K51" s="68">
        <v>42551</v>
      </c>
      <c r="L51" s="68">
        <v>46022</v>
      </c>
      <c r="M51" s="68">
        <v>46203</v>
      </c>
      <c r="N51" s="69">
        <f t="shared" si="0"/>
        <v>4</v>
      </c>
      <c r="O51" s="69">
        <f t="shared" si="1"/>
        <v>1</v>
      </c>
      <c r="P51" s="70">
        <v>13</v>
      </c>
      <c r="Q51" s="70">
        <v>16</v>
      </c>
      <c r="R51" s="70">
        <v>17</v>
      </c>
      <c r="S51" s="68" t="str">
        <f t="shared" si="2"/>
        <v/>
      </c>
      <c r="T51" s="68"/>
      <c r="U51" s="68"/>
      <c r="V51" s="68"/>
      <c r="W51" s="9"/>
      <c r="X51" s="10"/>
      <c r="Y51" s="71">
        <f t="shared" si="3"/>
        <v>16</v>
      </c>
      <c r="Z51" s="73">
        <f t="shared" si="4"/>
        <v>17</v>
      </c>
      <c r="AA51" s="11" t="str">
        <f t="shared" si="5"/>
        <v/>
      </c>
      <c r="AB51" s="73">
        <f t="shared" si="6"/>
        <v>4</v>
      </c>
      <c r="AC51" s="11" t="str">
        <f t="shared" si="7"/>
        <v/>
      </c>
      <c r="AD51" s="73">
        <f t="shared" si="8"/>
        <v>1</v>
      </c>
      <c r="AE51" s="11" t="str">
        <f t="shared" si="9"/>
        <v/>
      </c>
      <c r="AF51" s="73">
        <f t="shared" si="10"/>
        <v>4.000051</v>
      </c>
      <c r="AG51" s="11" t="str">
        <f t="shared" si="11"/>
        <v/>
      </c>
      <c r="AH51" s="73">
        <f t="shared" si="12"/>
        <v>1.000051</v>
      </c>
    </row>
    <row r="52" spans="1:34" ht="14.25" customHeight="1">
      <c r="A52" s="11">
        <v>37</v>
      </c>
      <c r="B52" s="66"/>
      <c r="C52" s="67"/>
      <c r="D52" s="67"/>
      <c r="E52" s="67"/>
      <c r="F52" s="67"/>
      <c r="G52" s="67" t="s">
        <v>35</v>
      </c>
      <c r="H52" s="67">
        <v>43815</v>
      </c>
      <c r="I52" s="6" t="s">
        <v>425</v>
      </c>
      <c r="J52" s="9">
        <v>1078772034</v>
      </c>
      <c r="K52" s="68">
        <v>43799</v>
      </c>
      <c r="L52" s="68">
        <v>46022</v>
      </c>
      <c r="M52" s="68">
        <v>46203</v>
      </c>
      <c r="N52" s="69">
        <f t="shared" si="0"/>
        <v>0</v>
      </c>
      <c r="O52" s="69">
        <f t="shared" si="1"/>
        <v>-2</v>
      </c>
      <c r="P52" s="70">
        <v>27</v>
      </c>
      <c r="Q52" s="70">
        <v>29</v>
      </c>
      <c r="R52" s="70">
        <v>27</v>
      </c>
      <c r="S52" s="68" t="str">
        <f t="shared" si="2"/>
        <v/>
      </c>
      <c r="T52" s="68"/>
      <c r="U52" s="68"/>
      <c r="V52" s="68"/>
      <c r="W52" s="9"/>
      <c r="X52" s="10"/>
      <c r="Y52" s="71">
        <f t="shared" si="3"/>
        <v>29</v>
      </c>
      <c r="Z52" s="73">
        <f t="shared" si="4"/>
        <v>27</v>
      </c>
      <c r="AA52" s="11" t="str">
        <f t="shared" si="5"/>
        <v/>
      </c>
      <c r="AB52" s="73">
        <f t="shared" si="6"/>
        <v>0</v>
      </c>
      <c r="AC52" s="11" t="str">
        <f t="shared" si="7"/>
        <v/>
      </c>
      <c r="AD52" s="73">
        <f t="shared" si="8"/>
        <v>-2</v>
      </c>
      <c r="AE52" s="11" t="str">
        <f t="shared" si="9"/>
        <v/>
      </c>
      <c r="AF52" s="73">
        <f t="shared" si="10"/>
        <v>5.1999999999999997E-5</v>
      </c>
      <c r="AG52" s="11" t="str">
        <f t="shared" si="11"/>
        <v/>
      </c>
      <c r="AH52" s="73">
        <f t="shared" si="12"/>
        <v>-1.9999480000000001</v>
      </c>
    </row>
    <row r="53" spans="1:34" ht="14.25" customHeight="1">
      <c r="A53" s="11">
        <v>38</v>
      </c>
      <c r="B53" s="66"/>
      <c r="C53" s="67"/>
      <c r="D53" s="67"/>
      <c r="E53" s="67"/>
      <c r="F53" s="67"/>
      <c r="G53" s="67" t="s">
        <v>35</v>
      </c>
      <c r="H53" s="67">
        <v>42842</v>
      </c>
      <c r="I53" s="6" t="s">
        <v>432</v>
      </c>
      <c r="J53" s="9">
        <v>1078821890</v>
      </c>
      <c r="K53" s="68">
        <v>42825</v>
      </c>
      <c r="L53" s="68">
        <v>46022</v>
      </c>
      <c r="M53" s="68">
        <v>46203</v>
      </c>
      <c r="N53" s="69">
        <f t="shared" si="0"/>
        <v>-13</v>
      </c>
      <c r="O53" s="69">
        <f t="shared" si="1"/>
        <v>0</v>
      </c>
      <c r="P53" s="70">
        <v>13</v>
      </c>
      <c r="Q53" s="70">
        <v>0</v>
      </c>
      <c r="R53" s="70">
        <v>0</v>
      </c>
      <c r="S53" s="68" t="str">
        <f t="shared" si="2"/>
        <v/>
      </c>
      <c r="T53" s="68"/>
      <c r="U53" s="68"/>
      <c r="V53" s="68"/>
      <c r="W53" s="9"/>
      <c r="X53" s="10"/>
      <c r="Y53" s="71">
        <f t="shared" si="3"/>
        <v>0</v>
      </c>
      <c r="Z53" s="73">
        <f t="shared" si="4"/>
        <v>0</v>
      </c>
      <c r="AA53" s="11" t="str">
        <f t="shared" si="5"/>
        <v/>
      </c>
      <c r="AB53" s="73">
        <f t="shared" si="6"/>
        <v>-13</v>
      </c>
      <c r="AC53" s="11" t="str">
        <f t="shared" si="7"/>
        <v/>
      </c>
      <c r="AD53" s="73">
        <f t="shared" si="8"/>
        <v>0</v>
      </c>
      <c r="AE53" s="11" t="str">
        <f t="shared" si="9"/>
        <v/>
      </c>
      <c r="AF53" s="73">
        <f t="shared" si="10"/>
        <v>-12.999947000000001</v>
      </c>
      <c r="AG53" s="11" t="str">
        <f t="shared" si="11"/>
        <v/>
      </c>
      <c r="AH53" s="73">
        <f t="shared" si="12"/>
        <v>5.3000000000000001E-5</v>
      </c>
    </row>
    <row r="54" spans="1:34" ht="14.25" customHeight="1">
      <c r="A54" s="11">
        <v>39</v>
      </c>
      <c r="B54" s="66" t="s">
        <v>35</v>
      </c>
      <c r="C54" s="67">
        <v>44713</v>
      </c>
      <c r="D54" s="67"/>
      <c r="E54" s="67"/>
      <c r="F54" s="67"/>
      <c r="G54" s="67"/>
      <c r="H54" s="67"/>
      <c r="I54" s="6" t="s">
        <v>437</v>
      </c>
      <c r="J54" s="9">
        <v>1078842750</v>
      </c>
      <c r="K54" s="68">
        <v>44712</v>
      </c>
      <c r="L54" s="68">
        <v>46022</v>
      </c>
      <c r="M54" s="68">
        <v>46203</v>
      </c>
      <c r="N54" s="69">
        <f t="shared" si="0"/>
        <v>10</v>
      </c>
      <c r="O54" s="69">
        <f t="shared" si="1"/>
        <v>0</v>
      </c>
      <c r="P54" s="70">
        <v>20</v>
      </c>
      <c r="Q54" s="70">
        <v>30</v>
      </c>
      <c r="R54" s="70">
        <v>30</v>
      </c>
      <c r="S54" s="68" t="str">
        <f t="shared" si="2"/>
        <v/>
      </c>
      <c r="T54" s="68"/>
      <c r="U54" s="68"/>
      <c r="V54" s="68"/>
      <c r="W54" s="9"/>
      <c r="X54" s="10"/>
      <c r="Y54" s="71">
        <f t="shared" si="3"/>
        <v>30</v>
      </c>
      <c r="Z54" s="73">
        <f t="shared" si="4"/>
        <v>30</v>
      </c>
      <c r="AA54" s="73">
        <f t="shared" si="5"/>
        <v>10</v>
      </c>
      <c r="AB54" s="11" t="str">
        <f t="shared" si="6"/>
        <v/>
      </c>
      <c r="AC54" s="73">
        <f t="shared" si="7"/>
        <v>0</v>
      </c>
      <c r="AD54" s="11" t="str">
        <f t="shared" si="8"/>
        <v/>
      </c>
      <c r="AE54" s="73">
        <f t="shared" si="9"/>
        <v>10.000054</v>
      </c>
      <c r="AF54" s="11" t="str">
        <f t="shared" si="10"/>
        <v/>
      </c>
      <c r="AG54" s="73">
        <f t="shared" si="11"/>
        <v>5.3999999999999998E-5</v>
      </c>
      <c r="AH54" s="11" t="str">
        <f t="shared" si="12"/>
        <v/>
      </c>
    </row>
    <row r="55" spans="1:34" ht="14.25" customHeight="1">
      <c r="A55" s="11">
        <v>40</v>
      </c>
      <c r="B55" s="66"/>
      <c r="C55" s="67"/>
      <c r="D55" s="67"/>
      <c r="E55" s="67"/>
      <c r="F55" s="67"/>
      <c r="G55" s="67" t="s">
        <v>35</v>
      </c>
      <c r="H55" s="67">
        <v>45747</v>
      </c>
      <c r="I55" s="6" t="s">
        <v>443</v>
      </c>
      <c r="J55" s="9">
        <v>1098619208</v>
      </c>
      <c r="K55" s="68">
        <v>45716</v>
      </c>
      <c r="L55" s="68">
        <v>46022</v>
      </c>
      <c r="M55" s="68">
        <v>46203</v>
      </c>
      <c r="N55" s="69">
        <f t="shared" si="0"/>
        <v>12</v>
      </c>
      <c r="O55" s="69">
        <f t="shared" si="1"/>
        <v>-2</v>
      </c>
      <c r="P55" s="70">
        <v>13</v>
      </c>
      <c r="Q55" s="70">
        <v>27</v>
      </c>
      <c r="R55" s="70">
        <v>25</v>
      </c>
      <c r="S55" s="68" t="str">
        <f t="shared" si="2"/>
        <v/>
      </c>
      <c r="T55" s="68"/>
      <c r="U55" s="68"/>
      <c r="V55" s="68"/>
      <c r="W55" s="9"/>
      <c r="X55" s="10"/>
      <c r="Y55" s="71">
        <f t="shared" si="3"/>
        <v>27</v>
      </c>
      <c r="Z55" s="73">
        <f t="shared" si="4"/>
        <v>25</v>
      </c>
      <c r="AA55" s="11" t="str">
        <f t="shared" si="5"/>
        <v/>
      </c>
      <c r="AB55" s="73">
        <f t="shared" si="6"/>
        <v>12</v>
      </c>
      <c r="AC55" s="11" t="str">
        <f t="shared" si="7"/>
        <v/>
      </c>
      <c r="AD55" s="73">
        <f t="shared" si="8"/>
        <v>-2</v>
      </c>
      <c r="AE55" s="11" t="str">
        <f t="shared" si="9"/>
        <v/>
      </c>
      <c r="AF55" s="73">
        <f t="shared" si="10"/>
        <v>12.000055</v>
      </c>
      <c r="AG55" s="11" t="str">
        <f t="shared" si="11"/>
        <v/>
      </c>
      <c r="AH55" s="73">
        <f t="shared" si="12"/>
        <v>-1.9999450000000001</v>
      </c>
    </row>
    <row r="56" spans="1:34" ht="14.25" customHeight="1">
      <c r="A56" s="11">
        <v>41</v>
      </c>
      <c r="B56" s="66"/>
      <c r="C56" s="67"/>
      <c r="D56" s="67"/>
      <c r="E56" s="67"/>
      <c r="F56" s="67"/>
      <c r="G56" s="67" t="s">
        <v>35</v>
      </c>
      <c r="H56" s="67">
        <v>45931</v>
      </c>
      <c r="I56" s="6" t="s">
        <v>449</v>
      </c>
      <c r="J56" s="94">
        <v>1098637282</v>
      </c>
      <c r="K56" s="68">
        <v>45930</v>
      </c>
      <c r="L56" s="68">
        <v>46022</v>
      </c>
      <c r="M56" s="68">
        <v>46203</v>
      </c>
      <c r="N56" s="69">
        <f t="shared" si="0"/>
        <v>-11</v>
      </c>
      <c r="O56" s="69">
        <f t="shared" si="1"/>
        <v>-8</v>
      </c>
      <c r="P56" s="70">
        <v>42</v>
      </c>
      <c r="Q56" s="70">
        <v>39</v>
      </c>
      <c r="R56" s="70">
        <v>31</v>
      </c>
      <c r="S56" s="68" t="str">
        <f t="shared" si="2"/>
        <v/>
      </c>
      <c r="T56" s="68"/>
      <c r="U56" s="95"/>
      <c r="V56" s="68"/>
      <c r="W56" s="6"/>
      <c r="X56" s="10"/>
      <c r="Y56" s="71">
        <f t="shared" si="3"/>
        <v>39</v>
      </c>
      <c r="Z56" s="73">
        <f t="shared" si="4"/>
        <v>31</v>
      </c>
      <c r="AA56" s="11" t="str">
        <f t="shared" si="5"/>
        <v/>
      </c>
      <c r="AB56" s="73">
        <f t="shared" si="6"/>
        <v>-11</v>
      </c>
      <c r="AC56" s="11" t="str">
        <f t="shared" si="7"/>
        <v/>
      </c>
      <c r="AD56" s="73">
        <f t="shared" si="8"/>
        <v>-8</v>
      </c>
      <c r="AE56" s="11" t="str">
        <f t="shared" si="9"/>
        <v/>
      </c>
      <c r="AF56" s="73">
        <f t="shared" si="10"/>
        <v>-10.999943999999999</v>
      </c>
      <c r="AG56" s="11" t="str">
        <f t="shared" si="11"/>
        <v/>
      </c>
      <c r="AH56" s="73">
        <f t="shared" si="12"/>
        <v>-7.9999440000000002</v>
      </c>
    </row>
    <row r="57" spans="1:34" ht="14.25" customHeight="1">
      <c r="A57" s="11">
        <v>42</v>
      </c>
      <c r="B57" s="66"/>
      <c r="C57" s="67"/>
      <c r="D57" s="67"/>
      <c r="E57" s="67"/>
      <c r="F57" s="67"/>
      <c r="G57" s="67" t="s">
        <v>35</v>
      </c>
      <c r="H57" s="67">
        <v>44440</v>
      </c>
      <c r="I57" s="6" t="s">
        <v>455</v>
      </c>
      <c r="J57" s="9">
        <v>1098642112</v>
      </c>
      <c r="K57" s="68">
        <v>44439</v>
      </c>
      <c r="L57" s="68">
        <v>46022</v>
      </c>
      <c r="M57" s="68">
        <v>46203</v>
      </c>
      <c r="N57" s="69">
        <f t="shared" si="0"/>
        <v>-16</v>
      </c>
      <c r="O57" s="69">
        <f t="shared" si="1"/>
        <v>0</v>
      </c>
      <c r="P57" s="70">
        <v>16</v>
      </c>
      <c r="Q57" s="70">
        <v>0</v>
      </c>
      <c r="R57" s="70">
        <v>0</v>
      </c>
      <c r="S57" s="68" t="str">
        <f t="shared" si="2"/>
        <v/>
      </c>
      <c r="T57" s="68"/>
      <c r="U57" s="68"/>
      <c r="V57" s="68"/>
      <c r="W57" s="9"/>
      <c r="X57" s="10"/>
      <c r="Y57" s="71">
        <f t="shared" si="3"/>
        <v>0</v>
      </c>
      <c r="Z57" s="73">
        <f t="shared" si="4"/>
        <v>0</v>
      </c>
      <c r="AA57" s="11" t="str">
        <f t="shared" si="5"/>
        <v/>
      </c>
      <c r="AB57" s="73">
        <f t="shared" si="6"/>
        <v>-16</v>
      </c>
      <c r="AC57" s="11" t="str">
        <f t="shared" si="7"/>
        <v/>
      </c>
      <c r="AD57" s="73">
        <f t="shared" si="8"/>
        <v>0</v>
      </c>
      <c r="AE57" s="11" t="str">
        <f t="shared" si="9"/>
        <v/>
      </c>
      <c r="AF57" s="73">
        <f t="shared" si="10"/>
        <v>-15.999943</v>
      </c>
      <c r="AG57" s="11" t="str">
        <f t="shared" si="11"/>
        <v/>
      </c>
      <c r="AH57" s="73">
        <f t="shared" si="12"/>
        <v>5.7000000000000003E-5</v>
      </c>
    </row>
    <row r="58" spans="1:34" ht="14.25" customHeight="1">
      <c r="A58" s="11">
        <v>43</v>
      </c>
      <c r="B58" s="66"/>
      <c r="C58" s="67"/>
      <c r="D58" s="67"/>
      <c r="E58" s="67"/>
      <c r="F58" s="67"/>
      <c r="G58" s="67" t="s">
        <v>35</v>
      </c>
      <c r="H58" s="67">
        <v>45282</v>
      </c>
      <c r="I58" s="6" t="s">
        <v>460</v>
      </c>
      <c r="J58" s="9">
        <v>1098656595</v>
      </c>
      <c r="K58" s="68">
        <v>45260</v>
      </c>
      <c r="L58" s="68">
        <v>46022</v>
      </c>
      <c r="M58" s="68">
        <v>46203</v>
      </c>
      <c r="N58" s="69">
        <f t="shared" si="0"/>
        <v>-3</v>
      </c>
      <c r="O58" s="69">
        <f t="shared" si="1"/>
        <v>-2</v>
      </c>
      <c r="P58" s="70">
        <v>4</v>
      </c>
      <c r="Q58" s="70">
        <v>3</v>
      </c>
      <c r="R58" s="70">
        <v>1</v>
      </c>
      <c r="S58" s="68" t="str">
        <f t="shared" si="2"/>
        <v/>
      </c>
      <c r="T58" s="68"/>
      <c r="U58" s="68"/>
      <c r="V58" s="68"/>
      <c r="W58" s="9"/>
      <c r="X58" s="10"/>
      <c r="Y58" s="71">
        <f t="shared" si="3"/>
        <v>3</v>
      </c>
      <c r="Z58" s="73">
        <f t="shared" si="4"/>
        <v>1</v>
      </c>
      <c r="AA58" s="11" t="str">
        <f t="shared" si="5"/>
        <v/>
      </c>
      <c r="AB58" s="73">
        <f t="shared" si="6"/>
        <v>-3</v>
      </c>
      <c r="AC58" s="11" t="str">
        <f t="shared" si="7"/>
        <v/>
      </c>
      <c r="AD58" s="73">
        <f t="shared" si="8"/>
        <v>-2</v>
      </c>
      <c r="AE58" s="11" t="str">
        <f t="shared" si="9"/>
        <v/>
      </c>
      <c r="AF58" s="73">
        <f t="shared" si="10"/>
        <v>-2.9999419999999999</v>
      </c>
      <c r="AG58" s="11" t="str">
        <f t="shared" si="11"/>
        <v/>
      </c>
      <c r="AH58" s="73">
        <f t="shared" si="12"/>
        <v>-1.9999420000000001</v>
      </c>
    </row>
    <row r="59" spans="1:34" ht="14.25" customHeight="1">
      <c r="A59" s="11">
        <v>44</v>
      </c>
      <c r="B59" s="66" t="s">
        <v>35</v>
      </c>
      <c r="C59" s="67">
        <v>44896</v>
      </c>
      <c r="D59" s="67"/>
      <c r="E59" s="67"/>
      <c r="F59" s="67"/>
      <c r="G59" s="67" t="s">
        <v>35</v>
      </c>
      <c r="H59" s="67">
        <v>44903</v>
      </c>
      <c r="I59" s="6" t="s">
        <v>466</v>
      </c>
      <c r="J59" s="9">
        <v>1098656649</v>
      </c>
      <c r="K59" s="68">
        <v>44895</v>
      </c>
      <c r="L59" s="68">
        <v>46022</v>
      </c>
      <c r="M59" s="68">
        <v>46203</v>
      </c>
      <c r="N59" s="69">
        <f t="shared" si="0"/>
        <v>-3</v>
      </c>
      <c r="O59" s="69">
        <f t="shared" si="1"/>
        <v>1</v>
      </c>
      <c r="P59" s="70">
        <v>11</v>
      </c>
      <c r="Q59" s="70">
        <v>7</v>
      </c>
      <c r="R59" s="70">
        <v>8</v>
      </c>
      <c r="S59" s="68" t="str">
        <f t="shared" si="2"/>
        <v/>
      </c>
      <c r="T59" s="68"/>
      <c r="U59" s="68"/>
      <c r="V59" s="68"/>
      <c r="W59" s="9"/>
      <c r="X59" s="10"/>
      <c r="Y59" s="71">
        <f t="shared" si="3"/>
        <v>7</v>
      </c>
      <c r="Z59" s="73">
        <f t="shared" si="4"/>
        <v>8</v>
      </c>
      <c r="AA59" s="73">
        <f t="shared" si="5"/>
        <v>-3</v>
      </c>
      <c r="AB59" s="73">
        <f t="shared" si="6"/>
        <v>-3</v>
      </c>
      <c r="AC59" s="73">
        <f t="shared" si="7"/>
        <v>1</v>
      </c>
      <c r="AD59" s="73">
        <f t="shared" si="8"/>
        <v>1</v>
      </c>
      <c r="AE59" s="73">
        <f t="shared" si="9"/>
        <v>-2.9999410000000002</v>
      </c>
      <c r="AF59" s="73">
        <f t="shared" si="10"/>
        <v>-2.9999410000000002</v>
      </c>
      <c r="AG59" s="73">
        <f t="shared" si="11"/>
        <v>1.000059</v>
      </c>
      <c r="AH59" s="73">
        <f t="shared" si="12"/>
        <v>1.000059</v>
      </c>
    </row>
    <row r="60" spans="1:34" ht="14.25" customHeight="1">
      <c r="A60" s="11">
        <v>45</v>
      </c>
      <c r="B60" s="66"/>
      <c r="C60" s="67"/>
      <c r="D60" s="67"/>
      <c r="E60" s="67"/>
      <c r="F60" s="67"/>
      <c r="G60" s="67" t="s">
        <v>35</v>
      </c>
      <c r="H60" s="67">
        <v>45869</v>
      </c>
      <c r="I60" s="6" t="s">
        <v>471</v>
      </c>
      <c r="J60" s="94">
        <v>1098702742</v>
      </c>
      <c r="K60" s="68">
        <v>45838</v>
      </c>
      <c r="L60" s="68">
        <v>46022</v>
      </c>
      <c r="M60" s="68">
        <v>46203</v>
      </c>
      <c r="N60" s="69">
        <f t="shared" si="0"/>
        <v>3</v>
      </c>
      <c r="O60" s="69">
        <f t="shared" si="1"/>
        <v>4</v>
      </c>
      <c r="P60" s="70">
        <v>49</v>
      </c>
      <c r="Q60" s="70">
        <v>48</v>
      </c>
      <c r="R60" s="70">
        <v>52</v>
      </c>
      <c r="S60" s="68" t="str">
        <f t="shared" si="2"/>
        <v/>
      </c>
      <c r="T60" s="68"/>
      <c r="U60" s="95"/>
      <c r="V60" s="68"/>
      <c r="W60" s="6"/>
      <c r="X60" s="10"/>
      <c r="Y60" s="71">
        <f t="shared" si="3"/>
        <v>48</v>
      </c>
      <c r="Z60" s="73">
        <f t="shared" si="4"/>
        <v>52</v>
      </c>
      <c r="AA60" s="11" t="str">
        <f t="shared" si="5"/>
        <v/>
      </c>
      <c r="AB60" s="73">
        <f t="shared" si="6"/>
        <v>3</v>
      </c>
      <c r="AC60" s="11" t="str">
        <f t="shared" si="7"/>
        <v/>
      </c>
      <c r="AD60" s="73">
        <f t="shared" si="8"/>
        <v>4</v>
      </c>
      <c r="AE60" s="11" t="str">
        <f t="shared" si="9"/>
        <v/>
      </c>
      <c r="AF60" s="73">
        <f t="shared" si="10"/>
        <v>3.0000599999999999</v>
      </c>
      <c r="AG60" s="11" t="str">
        <f t="shared" si="11"/>
        <v/>
      </c>
      <c r="AH60" s="73">
        <f t="shared" si="12"/>
        <v>4.0000600000000004</v>
      </c>
    </row>
    <row r="61" spans="1:34" ht="14.25" customHeight="1">
      <c r="A61" s="11">
        <v>46</v>
      </c>
      <c r="B61" s="66" t="s">
        <v>478</v>
      </c>
      <c r="C61" s="67">
        <v>43004</v>
      </c>
      <c r="D61" s="67">
        <v>42838</v>
      </c>
      <c r="E61" s="67"/>
      <c r="F61" s="67"/>
      <c r="G61" s="67"/>
      <c r="H61" s="67"/>
      <c r="I61" s="6" t="s">
        <v>479</v>
      </c>
      <c r="J61" s="9">
        <v>1108605140</v>
      </c>
      <c r="K61" s="68">
        <v>42825</v>
      </c>
      <c r="L61" s="68">
        <v>46022</v>
      </c>
      <c r="M61" s="68">
        <v>46203</v>
      </c>
      <c r="N61" s="69">
        <f t="shared" si="0"/>
        <v>0</v>
      </c>
      <c r="O61" s="69">
        <f t="shared" si="1"/>
        <v>0</v>
      </c>
      <c r="P61" s="70">
        <v>0</v>
      </c>
      <c r="Q61" s="70">
        <v>0</v>
      </c>
      <c r="R61" s="70">
        <v>0</v>
      </c>
      <c r="S61" s="68" t="str">
        <f t="shared" si="2"/>
        <v/>
      </c>
      <c r="T61" s="68"/>
      <c r="U61" s="68">
        <v>44926</v>
      </c>
      <c r="V61" s="92">
        <v>45560</v>
      </c>
      <c r="W61" s="9"/>
      <c r="X61" s="93" t="s">
        <v>482</v>
      </c>
      <c r="Y61" s="71">
        <f t="shared" si="3"/>
        <v>0</v>
      </c>
      <c r="Z61" s="73">
        <f t="shared" si="4"/>
        <v>0</v>
      </c>
      <c r="AA61" s="73">
        <f t="shared" si="5"/>
        <v>0</v>
      </c>
      <c r="AB61" s="11" t="str">
        <f t="shared" si="6"/>
        <v/>
      </c>
      <c r="AC61" s="73">
        <f t="shared" si="7"/>
        <v>0</v>
      </c>
      <c r="AD61" s="11" t="str">
        <f t="shared" si="8"/>
        <v/>
      </c>
      <c r="AE61" s="73">
        <f t="shared" si="9"/>
        <v>6.0999999999999999E-5</v>
      </c>
      <c r="AF61" s="11" t="str">
        <f t="shared" si="10"/>
        <v/>
      </c>
      <c r="AG61" s="73">
        <f t="shared" si="11"/>
        <v>6.0999999999999999E-5</v>
      </c>
      <c r="AH61" s="11" t="str">
        <f t="shared" si="12"/>
        <v/>
      </c>
    </row>
    <row r="62" spans="1:34" ht="14.25" customHeight="1">
      <c r="A62" s="11">
        <v>47</v>
      </c>
      <c r="B62" s="66" t="s">
        <v>24</v>
      </c>
      <c r="C62" s="67">
        <v>41645</v>
      </c>
      <c r="D62" s="67"/>
      <c r="E62" s="67"/>
      <c r="F62" s="67"/>
      <c r="G62" s="67"/>
      <c r="H62" s="67"/>
      <c r="I62" s="6" t="s">
        <v>487</v>
      </c>
      <c r="J62" s="9">
        <v>1108606950</v>
      </c>
      <c r="K62" s="68">
        <v>41639</v>
      </c>
      <c r="L62" s="68" t="s">
        <v>230</v>
      </c>
      <c r="M62" s="68">
        <v>42978</v>
      </c>
      <c r="N62" s="69">
        <f t="shared" si="0"/>
        <v>-1</v>
      </c>
      <c r="O62" s="69" t="str">
        <f t="shared" si="1"/>
        <v>N/A</v>
      </c>
      <c r="P62" s="70">
        <v>1</v>
      </c>
      <c r="Q62" s="70"/>
      <c r="R62" s="70">
        <v>0</v>
      </c>
      <c r="S62" s="68">
        <f t="shared" si="2"/>
        <v>42969</v>
      </c>
      <c r="T62" s="68">
        <v>42969</v>
      </c>
      <c r="U62" s="68"/>
      <c r="V62" s="68"/>
      <c r="W62" s="9"/>
      <c r="X62" s="10"/>
      <c r="Y62" s="65" t="str">
        <f t="shared" si="3"/>
        <v/>
      </c>
      <c r="Z62" s="11" t="str">
        <f t="shared" si="4"/>
        <v/>
      </c>
      <c r="AA62" s="73">
        <f t="shared" si="5"/>
        <v>-1</v>
      </c>
      <c r="AB62" s="11" t="str">
        <f t="shared" si="6"/>
        <v/>
      </c>
      <c r="AC62" s="11" t="str">
        <f t="shared" si="7"/>
        <v/>
      </c>
      <c r="AD62" s="11" t="str">
        <f t="shared" si="8"/>
        <v/>
      </c>
      <c r="AE62" s="73">
        <f t="shared" si="9"/>
        <v>-0.99993799999999999</v>
      </c>
      <c r="AF62" s="11" t="str">
        <f t="shared" si="10"/>
        <v/>
      </c>
      <c r="AG62" s="11" t="str">
        <f t="shared" si="11"/>
        <v/>
      </c>
      <c r="AH62" s="11" t="str">
        <f t="shared" si="12"/>
        <v/>
      </c>
    </row>
    <row r="63" spans="1:34" ht="14.25" customHeight="1">
      <c r="A63" s="11">
        <v>48</v>
      </c>
      <c r="B63" s="66" t="s">
        <v>491</v>
      </c>
      <c r="C63" s="67">
        <v>44068</v>
      </c>
      <c r="D63" s="67">
        <v>44029</v>
      </c>
      <c r="E63" s="67"/>
      <c r="F63" s="67"/>
      <c r="G63" s="67"/>
      <c r="H63" s="67"/>
      <c r="I63" s="6" t="s">
        <v>493</v>
      </c>
      <c r="J63" s="9">
        <v>1108613219</v>
      </c>
      <c r="K63" s="68">
        <v>44012</v>
      </c>
      <c r="L63" s="68">
        <v>46022</v>
      </c>
      <c r="M63" s="68">
        <v>46203</v>
      </c>
      <c r="N63" s="69">
        <f t="shared" si="0"/>
        <v>1</v>
      </c>
      <c r="O63" s="69">
        <f t="shared" si="1"/>
        <v>2</v>
      </c>
      <c r="P63" s="70">
        <v>3</v>
      </c>
      <c r="Q63" s="70">
        <v>2</v>
      </c>
      <c r="R63" s="70">
        <v>4</v>
      </c>
      <c r="S63" s="68" t="str">
        <f t="shared" si="2"/>
        <v/>
      </c>
      <c r="T63" s="68"/>
      <c r="U63" s="68">
        <v>45291</v>
      </c>
      <c r="V63" s="68">
        <v>45841</v>
      </c>
      <c r="W63" s="9"/>
      <c r="X63" s="93" t="s">
        <v>352</v>
      </c>
      <c r="Y63" s="71">
        <f t="shared" si="3"/>
        <v>2</v>
      </c>
      <c r="Z63" s="73">
        <f t="shared" si="4"/>
        <v>4</v>
      </c>
      <c r="AA63" s="73">
        <f t="shared" si="5"/>
        <v>1</v>
      </c>
      <c r="AB63" s="11" t="str">
        <f t="shared" si="6"/>
        <v/>
      </c>
      <c r="AC63" s="73">
        <f t="shared" si="7"/>
        <v>2</v>
      </c>
      <c r="AD63" s="11" t="str">
        <f t="shared" si="8"/>
        <v/>
      </c>
      <c r="AE63" s="73">
        <f t="shared" si="9"/>
        <v>1.0000629999999999</v>
      </c>
      <c r="AF63" s="11" t="str">
        <f t="shared" si="10"/>
        <v/>
      </c>
      <c r="AG63" s="73">
        <f t="shared" si="11"/>
        <v>2.0000629999999999</v>
      </c>
      <c r="AH63" s="11" t="str">
        <f t="shared" si="12"/>
        <v/>
      </c>
    </row>
    <row r="64" spans="1:34" ht="14.25" customHeight="1">
      <c r="A64" s="11">
        <v>49</v>
      </c>
      <c r="B64" s="66" t="s">
        <v>35</v>
      </c>
      <c r="C64" s="67">
        <v>45748</v>
      </c>
      <c r="D64" s="67">
        <v>45602</v>
      </c>
      <c r="E64" s="67">
        <v>45748</v>
      </c>
      <c r="F64" s="67"/>
      <c r="G64" s="67" t="s">
        <v>35</v>
      </c>
      <c r="H64" s="67">
        <v>45775</v>
      </c>
      <c r="I64" s="6" t="s">
        <v>501</v>
      </c>
      <c r="J64" s="9">
        <v>1128155127</v>
      </c>
      <c r="K64" s="68">
        <v>45596</v>
      </c>
      <c r="L64" s="68">
        <v>46022</v>
      </c>
      <c r="M64" s="68">
        <v>46203</v>
      </c>
      <c r="N64" s="69">
        <f t="shared" si="0"/>
        <v>13</v>
      </c>
      <c r="O64" s="69">
        <f t="shared" si="1"/>
        <v>4</v>
      </c>
      <c r="P64" s="70">
        <v>10</v>
      </c>
      <c r="Q64" s="70">
        <v>19</v>
      </c>
      <c r="R64" s="70">
        <v>23</v>
      </c>
      <c r="S64" s="68" t="str">
        <f t="shared" si="2"/>
        <v/>
      </c>
      <c r="T64" s="68"/>
      <c r="U64" s="68"/>
      <c r="V64" s="68"/>
      <c r="W64" s="9"/>
      <c r="X64" s="10"/>
      <c r="Y64" s="71">
        <f t="shared" si="3"/>
        <v>19</v>
      </c>
      <c r="Z64" s="73">
        <f t="shared" si="4"/>
        <v>23</v>
      </c>
      <c r="AA64" s="73">
        <f t="shared" si="5"/>
        <v>13</v>
      </c>
      <c r="AB64" s="73">
        <f t="shared" si="6"/>
        <v>13</v>
      </c>
      <c r="AC64" s="73">
        <f t="shared" si="7"/>
        <v>4</v>
      </c>
      <c r="AD64" s="73">
        <f t="shared" si="8"/>
        <v>4</v>
      </c>
      <c r="AE64" s="73">
        <f t="shared" si="9"/>
        <v>13.000064</v>
      </c>
      <c r="AF64" s="73">
        <f t="shared" si="10"/>
        <v>13.000064</v>
      </c>
      <c r="AG64" s="73">
        <f t="shared" si="11"/>
        <v>4.0000640000000001</v>
      </c>
      <c r="AH64" s="73">
        <f t="shared" si="12"/>
        <v>4.0000640000000001</v>
      </c>
    </row>
    <row r="65" spans="1:34" ht="14.25" customHeight="1">
      <c r="A65" s="11">
        <v>50</v>
      </c>
      <c r="B65" s="66" t="s">
        <v>24</v>
      </c>
      <c r="C65" s="67">
        <v>42166</v>
      </c>
      <c r="D65" s="67"/>
      <c r="E65" s="67"/>
      <c r="F65" s="67"/>
      <c r="G65" s="67"/>
      <c r="H65" s="67"/>
      <c r="I65" s="6" t="s">
        <v>505</v>
      </c>
      <c r="J65" s="9">
        <v>1132359107</v>
      </c>
      <c r="K65" s="68">
        <v>42155</v>
      </c>
      <c r="L65" s="68" t="s">
        <v>230</v>
      </c>
      <c r="M65" s="68">
        <v>42825</v>
      </c>
      <c r="N65" s="69">
        <f t="shared" si="0"/>
        <v>0</v>
      </c>
      <c r="O65" s="69" t="str">
        <f t="shared" si="1"/>
        <v>N/A</v>
      </c>
      <c r="P65" s="70">
        <v>0</v>
      </c>
      <c r="Q65" s="70"/>
      <c r="R65" s="70">
        <v>0</v>
      </c>
      <c r="S65" s="68">
        <f t="shared" si="2"/>
        <v>42822</v>
      </c>
      <c r="T65" s="68">
        <v>42822</v>
      </c>
      <c r="U65" s="68"/>
      <c r="V65" s="68"/>
      <c r="W65" s="9"/>
      <c r="X65" s="10"/>
      <c r="Y65" s="65" t="str">
        <f t="shared" si="3"/>
        <v/>
      </c>
      <c r="Z65" s="11" t="str">
        <f t="shared" si="4"/>
        <v/>
      </c>
      <c r="AA65" s="73">
        <f t="shared" si="5"/>
        <v>0</v>
      </c>
      <c r="AB65" s="11" t="str">
        <f t="shared" si="6"/>
        <v/>
      </c>
      <c r="AC65" s="11" t="str">
        <f t="shared" si="7"/>
        <v/>
      </c>
      <c r="AD65" s="11" t="str">
        <f t="shared" si="8"/>
        <v/>
      </c>
      <c r="AE65" s="73">
        <f t="shared" si="9"/>
        <v>6.4999999999999994E-5</v>
      </c>
      <c r="AF65" s="11" t="str">
        <f t="shared" si="10"/>
        <v/>
      </c>
      <c r="AG65" s="11" t="str">
        <f t="shared" si="11"/>
        <v/>
      </c>
      <c r="AH65" s="11" t="str">
        <f t="shared" si="12"/>
        <v/>
      </c>
    </row>
    <row r="66" spans="1:34" ht="14.25" customHeight="1">
      <c r="A66" s="11">
        <v>51</v>
      </c>
      <c r="B66" s="66"/>
      <c r="C66" s="67"/>
      <c r="D66" s="67"/>
      <c r="E66" s="67"/>
      <c r="F66" s="67"/>
      <c r="G66" s="67" t="s">
        <v>24</v>
      </c>
      <c r="H66" s="67">
        <v>42381</v>
      </c>
      <c r="I66" s="6" t="s">
        <v>510</v>
      </c>
      <c r="J66" s="9">
        <v>1138639386</v>
      </c>
      <c r="K66" s="68">
        <v>42369</v>
      </c>
      <c r="L66" s="68" t="s">
        <v>230</v>
      </c>
      <c r="M66" s="68">
        <v>43039</v>
      </c>
      <c r="N66" s="69">
        <f t="shared" si="0"/>
        <v>-13</v>
      </c>
      <c r="O66" s="69" t="str">
        <f t="shared" si="1"/>
        <v>N/A</v>
      </c>
      <c r="P66" s="70">
        <v>13</v>
      </c>
      <c r="Q66" s="70"/>
      <c r="R66" s="70">
        <v>0</v>
      </c>
      <c r="S66" s="68">
        <f t="shared" si="2"/>
        <v>43038</v>
      </c>
      <c r="T66" s="68">
        <v>43038</v>
      </c>
      <c r="U66" s="68"/>
      <c r="V66" s="68"/>
      <c r="W66" s="9"/>
      <c r="X66" s="10"/>
      <c r="Y66" s="65" t="str">
        <f t="shared" si="3"/>
        <v/>
      </c>
      <c r="Z66" s="11" t="str">
        <f t="shared" si="4"/>
        <v/>
      </c>
      <c r="AA66" s="11" t="str">
        <f t="shared" si="5"/>
        <v/>
      </c>
      <c r="AB66" s="73">
        <f t="shared" si="6"/>
        <v>-13</v>
      </c>
      <c r="AC66" s="11" t="str">
        <f t="shared" si="7"/>
        <v/>
      </c>
      <c r="AD66" s="11" t="str">
        <f t="shared" si="8"/>
        <v/>
      </c>
      <c r="AE66" s="11" t="str">
        <f t="shared" si="9"/>
        <v/>
      </c>
      <c r="AF66" s="73">
        <f t="shared" si="10"/>
        <v>-12.999934</v>
      </c>
      <c r="AG66" s="11" t="str">
        <f t="shared" si="11"/>
        <v/>
      </c>
      <c r="AH66" s="11" t="str">
        <f t="shared" si="12"/>
        <v/>
      </c>
    </row>
    <row r="67" spans="1:34" ht="14.25" customHeight="1">
      <c r="A67" s="11">
        <v>52</v>
      </c>
      <c r="B67" s="66"/>
      <c r="C67" s="67"/>
      <c r="D67" s="67"/>
      <c r="E67" s="67"/>
      <c r="F67" s="67"/>
      <c r="G67" s="67" t="s">
        <v>24</v>
      </c>
      <c r="H67" s="67">
        <v>41885</v>
      </c>
      <c r="I67" s="6" t="s">
        <v>514</v>
      </c>
      <c r="J67" s="9">
        <v>1138643274</v>
      </c>
      <c r="K67" s="68">
        <v>41882</v>
      </c>
      <c r="L67" s="68" t="s">
        <v>230</v>
      </c>
      <c r="M67" s="68">
        <v>44104</v>
      </c>
      <c r="N67" s="69">
        <f t="shared" si="0"/>
        <v>-8</v>
      </c>
      <c r="O67" s="69" t="str">
        <f t="shared" si="1"/>
        <v>N/A</v>
      </c>
      <c r="P67" s="70">
        <v>8</v>
      </c>
      <c r="Q67" s="70"/>
      <c r="R67" s="70">
        <v>0</v>
      </c>
      <c r="S67" s="68">
        <f t="shared" si="2"/>
        <v>44104</v>
      </c>
      <c r="T67" s="68">
        <v>44104</v>
      </c>
      <c r="U67" s="68"/>
      <c r="V67" s="68"/>
      <c r="W67" s="9"/>
      <c r="X67" s="10"/>
      <c r="Y67" s="65" t="str">
        <f t="shared" si="3"/>
        <v/>
      </c>
      <c r="Z67" s="11" t="str">
        <f t="shared" si="4"/>
        <v/>
      </c>
      <c r="AA67" s="11" t="str">
        <f t="shared" si="5"/>
        <v/>
      </c>
      <c r="AB67" s="73">
        <f t="shared" si="6"/>
        <v>-8</v>
      </c>
      <c r="AC67" s="11" t="str">
        <f t="shared" si="7"/>
        <v/>
      </c>
      <c r="AD67" s="11" t="str">
        <f t="shared" si="8"/>
        <v/>
      </c>
      <c r="AE67" s="11" t="str">
        <f t="shared" si="9"/>
        <v/>
      </c>
      <c r="AF67" s="73">
        <f t="shared" si="10"/>
        <v>-7.9999330000000004</v>
      </c>
      <c r="AG67" s="11" t="str">
        <f t="shared" si="11"/>
        <v/>
      </c>
      <c r="AH67" s="11" t="str">
        <f t="shared" si="12"/>
        <v/>
      </c>
    </row>
    <row r="68" spans="1:34" ht="14.25" customHeight="1">
      <c r="A68" s="11">
        <v>53</v>
      </c>
      <c r="B68" s="66"/>
      <c r="C68" s="67"/>
      <c r="D68" s="67"/>
      <c r="E68" s="67"/>
      <c r="F68" s="67"/>
      <c r="G68" s="67" t="s">
        <v>35</v>
      </c>
      <c r="H68" s="67">
        <v>44630</v>
      </c>
      <c r="I68" s="6" t="s">
        <v>519</v>
      </c>
      <c r="J68" s="9">
        <v>1138657948</v>
      </c>
      <c r="K68" s="68">
        <v>44620</v>
      </c>
      <c r="L68" s="68">
        <v>46022</v>
      </c>
      <c r="M68" s="68">
        <v>46203</v>
      </c>
      <c r="N68" s="69">
        <f t="shared" si="0"/>
        <v>-2</v>
      </c>
      <c r="O68" s="69">
        <f t="shared" si="1"/>
        <v>-1</v>
      </c>
      <c r="P68" s="70">
        <v>20</v>
      </c>
      <c r="Q68" s="70">
        <v>19</v>
      </c>
      <c r="R68" s="70">
        <v>18</v>
      </c>
      <c r="S68" s="68" t="str">
        <f t="shared" si="2"/>
        <v/>
      </c>
      <c r="T68" s="68"/>
      <c r="U68" s="68"/>
      <c r="V68" s="68"/>
      <c r="W68" s="9"/>
      <c r="X68" s="10"/>
      <c r="Y68" s="71">
        <f t="shared" si="3"/>
        <v>19</v>
      </c>
      <c r="Z68" s="73">
        <f t="shared" si="4"/>
        <v>18</v>
      </c>
      <c r="AA68" s="11" t="str">
        <f t="shared" si="5"/>
        <v/>
      </c>
      <c r="AB68" s="73">
        <f t="shared" si="6"/>
        <v>-2</v>
      </c>
      <c r="AC68" s="11" t="str">
        <f t="shared" si="7"/>
        <v/>
      </c>
      <c r="AD68" s="73">
        <f t="shared" si="8"/>
        <v>-1</v>
      </c>
      <c r="AE68" s="11" t="str">
        <f t="shared" si="9"/>
        <v/>
      </c>
      <c r="AF68" s="73">
        <f t="shared" si="10"/>
        <v>-1.999932</v>
      </c>
      <c r="AG68" s="11" t="str">
        <f t="shared" si="11"/>
        <v/>
      </c>
      <c r="AH68" s="73">
        <f t="shared" si="12"/>
        <v>-0.99993200000000004</v>
      </c>
    </row>
    <row r="69" spans="1:34" ht="14.25" customHeight="1">
      <c r="A69" s="11">
        <v>54</v>
      </c>
      <c r="B69" s="66"/>
      <c r="C69" s="67"/>
      <c r="D69" s="67"/>
      <c r="E69" s="67"/>
      <c r="F69" s="67"/>
      <c r="G69" s="67" t="s">
        <v>35</v>
      </c>
      <c r="H69" s="67">
        <v>42845</v>
      </c>
      <c r="I69" s="6" t="s">
        <v>524</v>
      </c>
      <c r="J69" s="9">
        <v>1138667000</v>
      </c>
      <c r="K69" s="68">
        <v>42825</v>
      </c>
      <c r="L69" s="68">
        <v>46022</v>
      </c>
      <c r="M69" s="68">
        <v>46203</v>
      </c>
      <c r="N69" s="69">
        <f t="shared" si="0"/>
        <v>74</v>
      </c>
      <c r="O69" s="69">
        <f t="shared" si="1"/>
        <v>-13</v>
      </c>
      <c r="P69" s="70">
        <v>6</v>
      </c>
      <c r="Q69" s="70">
        <v>93</v>
      </c>
      <c r="R69" s="70">
        <v>80</v>
      </c>
      <c r="S69" s="68" t="str">
        <f t="shared" si="2"/>
        <v/>
      </c>
      <c r="T69" s="68"/>
      <c r="U69" s="68"/>
      <c r="V69" s="68"/>
      <c r="W69" s="9"/>
      <c r="X69" s="10"/>
      <c r="Y69" s="71">
        <f t="shared" si="3"/>
        <v>93</v>
      </c>
      <c r="Z69" s="73">
        <f t="shared" si="4"/>
        <v>80</v>
      </c>
      <c r="AA69" s="11" t="str">
        <f t="shared" si="5"/>
        <v/>
      </c>
      <c r="AB69" s="73">
        <f t="shared" si="6"/>
        <v>74</v>
      </c>
      <c r="AC69" s="11" t="str">
        <f t="shared" si="7"/>
        <v/>
      </c>
      <c r="AD69" s="73">
        <f t="shared" si="8"/>
        <v>-13</v>
      </c>
      <c r="AE69" s="11" t="str">
        <f t="shared" si="9"/>
        <v/>
      </c>
      <c r="AF69" s="73">
        <f t="shared" si="10"/>
        <v>74.000068999999996</v>
      </c>
      <c r="AG69" s="11" t="str">
        <f t="shared" si="11"/>
        <v/>
      </c>
      <c r="AH69" s="73">
        <f t="shared" si="12"/>
        <v>-12.999931</v>
      </c>
    </row>
    <row r="70" spans="1:34" ht="14.25" customHeight="1">
      <c r="A70" s="11">
        <v>55</v>
      </c>
      <c r="B70" s="66"/>
      <c r="C70" s="67"/>
      <c r="D70" s="67"/>
      <c r="E70" s="67"/>
      <c r="F70" s="67"/>
      <c r="G70" s="67" t="s">
        <v>24</v>
      </c>
      <c r="H70" s="67">
        <v>41564</v>
      </c>
      <c r="I70" s="6" t="s">
        <v>528</v>
      </c>
      <c r="J70" s="9">
        <v>1138667994</v>
      </c>
      <c r="K70" s="68">
        <v>41547</v>
      </c>
      <c r="L70" s="68" t="s">
        <v>230</v>
      </c>
      <c r="M70" s="68">
        <v>41973</v>
      </c>
      <c r="N70" s="69">
        <f t="shared" si="0"/>
        <v>-6</v>
      </c>
      <c r="O70" s="69" t="str">
        <f t="shared" si="1"/>
        <v>N/A</v>
      </c>
      <c r="P70" s="70">
        <v>6</v>
      </c>
      <c r="Q70" s="70"/>
      <c r="R70" s="70">
        <v>0</v>
      </c>
      <c r="S70" s="68">
        <f t="shared" si="2"/>
        <v>41968</v>
      </c>
      <c r="T70" s="68">
        <v>41968</v>
      </c>
      <c r="U70" s="68"/>
      <c r="V70" s="68"/>
      <c r="W70" s="9"/>
      <c r="X70" s="10"/>
      <c r="Y70" s="65" t="str">
        <f t="shared" si="3"/>
        <v/>
      </c>
      <c r="Z70" s="11" t="str">
        <f t="shared" si="4"/>
        <v/>
      </c>
      <c r="AA70" s="11" t="str">
        <f t="shared" si="5"/>
        <v/>
      </c>
      <c r="AB70" s="73">
        <f t="shared" si="6"/>
        <v>-6</v>
      </c>
      <c r="AC70" s="11" t="str">
        <f t="shared" si="7"/>
        <v/>
      </c>
      <c r="AD70" s="11" t="str">
        <f t="shared" si="8"/>
        <v/>
      </c>
      <c r="AE70" s="11" t="str">
        <f t="shared" si="9"/>
        <v/>
      </c>
      <c r="AF70" s="73">
        <f t="shared" si="10"/>
        <v>-5.99993</v>
      </c>
      <c r="AG70" s="11" t="str">
        <f t="shared" si="11"/>
        <v/>
      </c>
      <c r="AH70" s="11" t="str">
        <f t="shared" si="12"/>
        <v/>
      </c>
    </row>
    <row r="71" spans="1:34" ht="14.25" customHeight="1">
      <c r="A71" s="11">
        <v>56</v>
      </c>
      <c r="B71" s="66" t="s">
        <v>35</v>
      </c>
      <c r="C71" s="67">
        <v>44056</v>
      </c>
      <c r="D71" s="67">
        <v>43019</v>
      </c>
      <c r="E71" s="67"/>
      <c r="F71" s="67"/>
      <c r="G71" s="67"/>
      <c r="H71" s="67"/>
      <c r="I71" s="6" t="s">
        <v>534</v>
      </c>
      <c r="J71" s="9">
        <v>1138672857</v>
      </c>
      <c r="K71" s="68">
        <v>43008</v>
      </c>
      <c r="L71" s="68">
        <v>46022</v>
      </c>
      <c r="M71" s="68">
        <v>46203</v>
      </c>
      <c r="N71" s="69">
        <f t="shared" si="0"/>
        <v>-5</v>
      </c>
      <c r="O71" s="69">
        <f t="shared" si="1"/>
        <v>-3</v>
      </c>
      <c r="P71" s="70">
        <v>6</v>
      </c>
      <c r="Q71" s="70">
        <v>4</v>
      </c>
      <c r="R71" s="70">
        <v>1</v>
      </c>
      <c r="S71" s="68" t="str">
        <f t="shared" si="2"/>
        <v/>
      </c>
      <c r="T71" s="68"/>
      <c r="U71" s="68"/>
      <c r="V71" s="68"/>
      <c r="W71" s="9"/>
      <c r="X71" s="10"/>
      <c r="Y71" s="71">
        <f t="shared" si="3"/>
        <v>4</v>
      </c>
      <c r="Z71" s="73">
        <f t="shared" si="4"/>
        <v>1</v>
      </c>
      <c r="AA71" s="73">
        <f t="shared" si="5"/>
        <v>-5</v>
      </c>
      <c r="AB71" s="11" t="str">
        <f t="shared" si="6"/>
        <v/>
      </c>
      <c r="AC71" s="73">
        <f t="shared" si="7"/>
        <v>-3</v>
      </c>
      <c r="AD71" s="11" t="str">
        <f t="shared" si="8"/>
        <v/>
      </c>
      <c r="AE71" s="73">
        <f t="shared" si="9"/>
        <v>-4.9999289999999998</v>
      </c>
      <c r="AF71" s="11" t="str">
        <f t="shared" si="10"/>
        <v/>
      </c>
      <c r="AG71" s="73">
        <f t="shared" si="11"/>
        <v>-2.9999289999999998</v>
      </c>
      <c r="AH71" s="11" t="str">
        <f t="shared" si="12"/>
        <v/>
      </c>
    </row>
    <row r="72" spans="1:34" ht="14.25" customHeight="1">
      <c r="A72" s="11">
        <v>57</v>
      </c>
      <c r="B72" s="66" t="s">
        <v>35</v>
      </c>
      <c r="C72" s="67">
        <v>42160</v>
      </c>
      <c r="D72" s="67">
        <v>41939</v>
      </c>
      <c r="E72" s="67"/>
      <c r="F72" s="67"/>
      <c r="G72" s="67"/>
      <c r="H72" s="67"/>
      <c r="I72" s="6" t="s">
        <v>539</v>
      </c>
      <c r="J72" s="9">
        <v>1138673900</v>
      </c>
      <c r="K72" s="68">
        <v>41912</v>
      </c>
      <c r="L72" s="68">
        <v>46022</v>
      </c>
      <c r="M72" s="68">
        <v>46203</v>
      </c>
      <c r="N72" s="69">
        <f t="shared" si="0"/>
        <v>12</v>
      </c>
      <c r="O72" s="69">
        <f t="shared" si="1"/>
        <v>1</v>
      </c>
      <c r="P72" s="70">
        <v>4</v>
      </c>
      <c r="Q72" s="70">
        <v>15</v>
      </c>
      <c r="R72" s="70">
        <v>16</v>
      </c>
      <c r="S72" s="68" t="str">
        <f t="shared" si="2"/>
        <v/>
      </c>
      <c r="T72" s="68"/>
      <c r="U72" s="68"/>
      <c r="V72" s="68"/>
      <c r="W72" s="9"/>
      <c r="X72" s="93"/>
      <c r="Y72" s="71">
        <f t="shared" si="3"/>
        <v>15</v>
      </c>
      <c r="Z72" s="73">
        <f t="shared" si="4"/>
        <v>16</v>
      </c>
      <c r="AA72" s="73">
        <f t="shared" si="5"/>
        <v>12</v>
      </c>
      <c r="AB72" s="11" t="str">
        <f t="shared" si="6"/>
        <v/>
      </c>
      <c r="AC72" s="73">
        <f t="shared" si="7"/>
        <v>1</v>
      </c>
      <c r="AD72" s="11" t="str">
        <f t="shared" si="8"/>
        <v/>
      </c>
      <c r="AE72" s="73">
        <f t="shared" si="9"/>
        <v>12.000071999999999</v>
      </c>
      <c r="AF72" s="11" t="str">
        <f t="shared" si="10"/>
        <v/>
      </c>
      <c r="AG72" s="73">
        <f t="shared" si="11"/>
        <v>1.0000720000000001</v>
      </c>
      <c r="AH72" s="11" t="str">
        <f t="shared" si="12"/>
        <v/>
      </c>
    </row>
    <row r="73" spans="1:34" ht="14.25" customHeight="1">
      <c r="A73" s="11">
        <v>58</v>
      </c>
      <c r="B73" s="66"/>
      <c r="C73" s="67"/>
      <c r="D73" s="67"/>
      <c r="E73" s="67"/>
      <c r="F73" s="67"/>
      <c r="G73" s="67" t="s">
        <v>24</v>
      </c>
      <c r="H73" s="67">
        <v>41655</v>
      </c>
      <c r="I73" s="6" t="s">
        <v>544</v>
      </c>
      <c r="J73" s="9">
        <v>1138679675</v>
      </c>
      <c r="K73" s="68">
        <v>41639</v>
      </c>
      <c r="L73" s="68" t="s">
        <v>230</v>
      </c>
      <c r="M73" s="68">
        <v>42978</v>
      </c>
      <c r="N73" s="69">
        <f t="shared" si="0"/>
        <v>0</v>
      </c>
      <c r="O73" s="69" t="str">
        <f t="shared" si="1"/>
        <v>N/A</v>
      </c>
      <c r="P73" s="70">
        <v>0</v>
      </c>
      <c r="Q73" s="70"/>
      <c r="R73" s="70">
        <v>0</v>
      </c>
      <c r="S73" s="68">
        <f t="shared" si="2"/>
        <v>42971</v>
      </c>
      <c r="T73" s="68">
        <v>42971</v>
      </c>
      <c r="U73" s="68"/>
      <c r="V73" s="68"/>
      <c r="W73" s="9"/>
      <c r="X73" s="10"/>
      <c r="Y73" s="65" t="str">
        <f t="shared" si="3"/>
        <v/>
      </c>
      <c r="Z73" s="11" t="str">
        <f t="shared" si="4"/>
        <v/>
      </c>
      <c r="AA73" s="11" t="str">
        <f t="shared" si="5"/>
        <v/>
      </c>
      <c r="AB73" s="73">
        <f t="shared" si="6"/>
        <v>0</v>
      </c>
      <c r="AC73" s="11" t="str">
        <f t="shared" si="7"/>
        <v/>
      </c>
      <c r="AD73" s="11" t="str">
        <f t="shared" si="8"/>
        <v/>
      </c>
      <c r="AE73" s="11" t="str">
        <f t="shared" si="9"/>
        <v/>
      </c>
      <c r="AF73" s="73">
        <f t="shared" si="10"/>
        <v>7.2999999999999999E-5</v>
      </c>
      <c r="AG73" s="11" t="str">
        <f t="shared" si="11"/>
        <v/>
      </c>
      <c r="AH73" s="11" t="str">
        <f t="shared" si="12"/>
        <v/>
      </c>
    </row>
    <row r="74" spans="1:34" ht="14.25" customHeight="1">
      <c r="A74" s="11">
        <v>59</v>
      </c>
      <c r="B74" s="66"/>
      <c r="C74" s="67"/>
      <c r="D74" s="67"/>
      <c r="E74" s="67"/>
      <c r="F74" s="67"/>
      <c r="G74" s="67" t="s">
        <v>35</v>
      </c>
      <c r="H74" s="67">
        <v>42730</v>
      </c>
      <c r="I74" s="6" t="s">
        <v>549</v>
      </c>
      <c r="J74" s="9">
        <v>1138685691</v>
      </c>
      <c r="K74" s="68">
        <v>42704</v>
      </c>
      <c r="L74" s="68">
        <v>46022</v>
      </c>
      <c r="M74" s="68">
        <v>46203</v>
      </c>
      <c r="N74" s="69">
        <f t="shared" si="0"/>
        <v>0</v>
      </c>
      <c r="O74" s="69">
        <f t="shared" si="1"/>
        <v>0</v>
      </c>
      <c r="P74" s="70">
        <v>0</v>
      </c>
      <c r="Q74" s="70">
        <v>0</v>
      </c>
      <c r="R74" s="70">
        <v>0</v>
      </c>
      <c r="S74" s="68" t="str">
        <f t="shared" si="2"/>
        <v/>
      </c>
      <c r="T74" s="68"/>
      <c r="U74" s="68"/>
      <c r="V74" s="68"/>
      <c r="W74" s="9"/>
      <c r="X74" s="10"/>
      <c r="Y74" s="71">
        <f t="shared" si="3"/>
        <v>0</v>
      </c>
      <c r="Z74" s="73">
        <f t="shared" si="4"/>
        <v>0</v>
      </c>
      <c r="AA74" s="11" t="str">
        <f t="shared" si="5"/>
        <v/>
      </c>
      <c r="AB74" s="73">
        <f t="shared" si="6"/>
        <v>0</v>
      </c>
      <c r="AC74" s="11" t="str">
        <f t="shared" si="7"/>
        <v/>
      </c>
      <c r="AD74" s="73">
        <f t="shared" si="8"/>
        <v>0</v>
      </c>
      <c r="AE74" s="11" t="str">
        <f t="shared" si="9"/>
        <v/>
      </c>
      <c r="AF74" s="73">
        <f t="shared" si="10"/>
        <v>7.3999999999999996E-5</v>
      </c>
      <c r="AG74" s="11" t="str">
        <f t="shared" si="11"/>
        <v/>
      </c>
      <c r="AH74" s="73">
        <f t="shared" si="12"/>
        <v>7.3999999999999996E-5</v>
      </c>
    </row>
    <row r="75" spans="1:34" ht="14.25" customHeight="1">
      <c r="A75" s="11">
        <v>60</v>
      </c>
      <c r="B75" s="66" t="s">
        <v>24</v>
      </c>
      <c r="C75" s="67">
        <v>42767</v>
      </c>
      <c r="D75" s="67"/>
      <c r="E75" s="67"/>
      <c r="F75" s="67"/>
      <c r="G75" s="67"/>
      <c r="H75" s="67"/>
      <c r="I75" s="6" t="s">
        <v>555</v>
      </c>
      <c r="J75" s="9">
        <v>1138686744</v>
      </c>
      <c r="K75" s="68">
        <v>42766</v>
      </c>
      <c r="L75" s="68" t="s">
        <v>230</v>
      </c>
      <c r="M75" s="68">
        <v>44135</v>
      </c>
      <c r="N75" s="69">
        <f t="shared" si="0"/>
        <v>0</v>
      </c>
      <c r="O75" s="69" t="str">
        <f t="shared" si="1"/>
        <v>N/A</v>
      </c>
      <c r="P75" s="70">
        <v>0</v>
      </c>
      <c r="Q75" s="70"/>
      <c r="R75" s="70">
        <v>0</v>
      </c>
      <c r="S75" s="68">
        <f t="shared" si="2"/>
        <v>44135</v>
      </c>
      <c r="T75" s="68">
        <v>44135</v>
      </c>
      <c r="U75" s="68"/>
      <c r="V75" s="68"/>
      <c r="W75" s="9"/>
      <c r="X75" s="10"/>
      <c r="Y75" s="65" t="str">
        <f t="shared" si="3"/>
        <v/>
      </c>
      <c r="Z75" s="11" t="str">
        <f t="shared" si="4"/>
        <v/>
      </c>
      <c r="AA75" s="73">
        <f t="shared" si="5"/>
        <v>0</v>
      </c>
      <c r="AB75" s="11" t="str">
        <f t="shared" si="6"/>
        <v/>
      </c>
      <c r="AC75" s="11" t="str">
        <f t="shared" si="7"/>
        <v/>
      </c>
      <c r="AD75" s="11" t="str">
        <f t="shared" si="8"/>
        <v/>
      </c>
      <c r="AE75" s="73">
        <f t="shared" si="9"/>
        <v>7.4999999999999993E-5</v>
      </c>
      <c r="AF75" s="11" t="str">
        <f t="shared" si="10"/>
        <v/>
      </c>
      <c r="AG75" s="11" t="str">
        <f t="shared" si="11"/>
        <v/>
      </c>
      <c r="AH75" s="11" t="str">
        <f t="shared" si="12"/>
        <v/>
      </c>
    </row>
    <row r="76" spans="1:34" ht="14.25" customHeight="1">
      <c r="A76" s="11">
        <v>61</v>
      </c>
      <c r="B76" s="66"/>
      <c r="C76" s="67"/>
      <c r="D76" s="67"/>
      <c r="E76" s="67"/>
      <c r="F76" s="67"/>
      <c r="G76" s="67" t="s">
        <v>35</v>
      </c>
      <c r="H76" s="67">
        <v>42916</v>
      </c>
      <c r="I76" s="6" t="s">
        <v>560</v>
      </c>
      <c r="J76" s="9">
        <v>1138691776</v>
      </c>
      <c r="K76" s="68">
        <v>42886</v>
      </c>
      <c r="L76" s="68">
        <v>46022</v>
      </c>
      <c r="M76" s="68">
        <v>46203</v>
      </c>
      <c r="N76" s="69">
        <f t="shared" si="0"/>
        <v>-4</v>
      </c>
      <c r="O76" s="69">
        <f t="shared" si="1"/>
        <v>-24</v>
      </c>
      <c r="P76" s="70">
        <v>26</v>
      </c>
      <c r="Q76" s="70">
        <v>46</v>
      </c>
      <c r="R76" s="70">
        <v>22</v>
      </c>
      <c r="S76" s="68" t="str">
        <f t="shared" si="2"/>
        <v/>
      </c>
      <c r="T76" s="68"/>
      <c r="U76" s="68"/>
      <c r="V76" s="68"/>
      <c r="W76" s="9"/>
      <c r="X76" s="10"/>
      <c r="Y76" s="71">
        <f t="shared" si="3"/>
        <v>46</v>
      </c>
      <c r="Z76" s="73">
        <f t="shared" si="4"/>
        <v>22</v>
      </c>
      <c r="AA76" s="11" t="str">
        <f t="shared" si="5"/>
        <v/>
      </c>
      <c r="AB76" s="73">
        <f t="shared" si="6"/>
        <v>-4</v>
      </c>
      <c r="AC76" s="11" t="str">
        <f t="shared" si="7"/>
        <v/>
      </c>
      <c r="AD76" s="73">
        <f t="shared" si="8"/>
        <v>-24</v>
      </c>
      <c r="AE76" s="11" t="str">
        <f t="shared" si="9"/>
        <v/>
      </c>
      <c r="AF76" s="73">
        <f t="shared" si="10"/>
        <v>-3.999924</v>
      </c>
      <c r="AG76" s="11" t="str">
        <f t="shared" si="11"/>
        <v/>
      </c>
      <c r="AH76" s="73">
        <f t="shared" si="12"/>
        <v>-23.999924</v>
      </c>
    </row>
    <row r="77" spans="1:34" ht="14.25" customHeight="1">
      <c r="A77" s="11">
        <v>62</v>
      </c>
      <c r="B77" s="66" t="s">
        <v>35</v>
      </c>
      <c r="C77" s="67"/>
      <c r="D77" s="67">
        <v>42681</v>
      </c>
      <c r="E77" s="67"/>
      <c r="F77" s="67"/>
      <c r="G77" s="67"/>
      <c r="H77" s="67"/>
      <c r="I77" s="6" t="s">
        <v>567</v>
      </c>
      <c r="J77" s="9">
        <v>1138694943</v>
      </c>
      <c r="K77" s="68">
        <v>42674</v>
      </c>
      <c r="L77" s="68">
        <v>46022</v>
      </c>
      <c r="M77" s="68">
        <v>46203</v>
      </c>
      <c r="N77" s="69">
        <f t="shared" si="0"/>
        <v>29</v>
      </c>
      <c r="O77" s="69">
        <f t="shared" si="1"/>
        <v>-2</v>
      </c>
      <c r="P77" s="70">
        <v>8</v>
      </c>
      <c r="Q77" s="70">
        <v>39</v>
      </c>
      <c r="R77" s="70">
        <v>37</v>
      </c>
      <c r="S77" s="68" t="str">
        <f t="shared" si="2"/>
        <v/>
      </c>
      <c r="T77" s="68"/>
      <c r="U77" s="68"/>
      <c r="V77" s="68"/>
      <c r="W77" s="9"/>
      <c r="X77" s="10"/>
      <c r="Y77" s="71">
        <f t="shared" si="3"/>
        <v>39</v>
      </c>
      <c r="Z77" s="73">
        <f t="shared" si="4"/>
        <v>37</v>
      </c>
      <c r="AA77" s="73">
        <f t="shared" si="5"/>
        <v>29</v>
      </c>
      <c r="AB77" s="11" t="str">
        <f t="shared" si="6"/>
        <v/>
      </c>
      <c r="AC77" s="73">
        <f t="shared" si="7"/>
        <v>-2</v>
      </c>
      <c r="AD77" s="11" t="str">
        <f t="shared" si="8"/>
        <v/>
      </c>
      <c r="AE77" s="73">
        <f t="shared" si="9"/>
        <v>29.000077000000001</v>
      </c>
      <c r="AF77" s="11" t="str">
        <f t="shared" si="10"/>
        <v/>
      </c>
      <c r="AG77" s="73">
        <f t="shared" si="11"/>
        <v>-1.9999229999999999</v>
      </c>
      <c r="AH77" s="11" t="str">
        <f t="shared" si="12"/>
        <v/>
      </c>
    </row>
    <row r="78" spans="1:34" ht="14.25" customHeight="1">
      <c r="A78" s="11">
        <v>63</v>
      </c>
      <c r="B78" s="66"/>
      <c r="C78" s="67"/>
      <c r="D78" s="67"/>
      <c r="E78" s="67"/>
      <c r="F78" s="67"/>
      <c r="G78" s="67" t="s">
        <v>35</v>
      </c>
      <c r="H78" s="67">
        <v>42346</v>
      </c>
      <c r="I78" s="6" t="s">
        <v>573</v>
      </c>
      <c r="J78" s="9">
        <v>1138700777</v>
      </c>
      <c r="K78" s="68">
        <v>42338</v>
      </c>
      <c r="L78" s="68">
        <v>46022</v>
      </c>
      <c r="M78" s="68">
        <v>46203</v>
      </c>
      <c r="N78" s="69">
        <f t="shared" si="0"/>
        <v>5</v>
      </c>
      <c r="O78" s="69">
        <f t="shared" si="1"/>
        <v>1</v>
      </c>
      <c r="P78" s="70">
        <v>1</v>
      </c>
      <c r="Q78" s="70">
        <v>5</v>
      </c>
      <c r="R78" s="70">
        <v>6</v>
      </c>
      <c r="S78" s="68" t="str">
        <f t="shared" si="2"/>
        <v/>
      </c>
      <c r="T78" s="68"/>
      <c r="U78" s="68"/>
      <c r="V78" s="68"/>
      <c r="W78" s="9"/>
      <c r="X78" s="10"/>
      <c r="Y78" s="71">
        <f t="shared" si="3"/>
        <v>5</v>
      </c>
      <c r="Z78" s="73">
        <f t="shared" si="4"/>
        <v>6</v>
      </c>
      <c r="AA78" s="11" t="str">
        <f t="shared" si="5"/>
        <v/>
      </c>
      <c r="AB78" s="73">
        <f t="shared" si="6"/>
        <v>5</v>
      </c>
      <c r="AC78" s="11" t="str">
        <f t="shared" si="7"/>
        <v/>
      </c>
      <c r="AD78" s="73">
        <f t="shared" si="8"/>
        <v>1</v>
      </c>
      <c r="AE78" s="11" t="str">
        <f t="shared" si="9"/>
        <v/>
      </c>
      <c r="AF78" s="73">
        <f t="shared" si="10"/>
        <v>5.0000780000000002</v>
      </c>
      <c r="AG78" s="11" t="str">
        <f t="shared" si="11"/>
        <v/>
      </c>
      <c r="AH78" s="73">
        <f t="shared" si="12"/>
        <v>1.000078</v>
      </c>
    </row>
    <row r="79" spans="1:34" ht="14.25" customHeight="1">
      <c r="A79" s="11">
        <v>64</v>
      </c>
      <c r="B79" s="66"/>
      <c r="C79" s="67"/>
      <c r="D79" s="67"/>
      <c r="E79" s="67"/>
      <c r="F79" s="67"/>
      <c r="G79" s="67" t="s">
        <v>35</v>
      </c>
      <c r="H79" s="67">
        <v>43340</v>
      </c>
      <c r="I79" s="6" t="s">
        <v>579</v>
      </c>
      <c r="J79" s="9">
        <v>1148605588</v>
      </c>
      <c r="K79" s="68">
        <v>43312</v>
      </c>
      <c r="L79" s="68">
        <v>46022</v>
      </c>
      <c r="M79" s="68">
        <v>46203</v>
      </c>
      <c r="N79" s="69">
        <f t="shared" si="0"/>
        <v>-3</v>
      </c>
      <c r="O79" s="69">
        <f t="shared" si="1"/>
        <v>-7</v>
      </c>
      <c r="P79" s="70">
        <v>126</v>
      </c>
      <c r="Q79" s="70">
        <v>130</v>
      </c>
      <c r="R79" s="70">
        <v>123</v>
      </c>
      <c r="S79" s="68" t="str">
        <f t="shared" si="2"/>
        <v/>
      </c>
      <c r="T79" s="68"/>
      <c r="U79" s="68"/>
      <c r="V79" s="68"/>
      <c r="W79" s="9"/>
      <c r="X79" s="10"/>
      <c r="Y79" s="71">
        <f t="shared" si="3"/>
        <v>130</v>
      </c>
      <c r="Z79" s="73">
        <f t="shared" si="4"/>
        <v>123</v>
      </c>
      <c r="AA79" s="11" t="str">
        <f t="shared" si="5"/>
        <v/>
      </c>
      <c r="AB79" s="73">
        <f t="shared" si="6"/>
        <v>-3</v>
      </c>
      <c r="AC79" s="11" t="str">
        <f t="shared" si="7"/>
        <v/>
      </c>
      <c r="AD79" s="73">
        <f t="shared" si="8"/>
        <v>-7</v>
      </c>
      <c r="AE79" s="11" t="str">
        <f t="shared" si="9"/>
        <v/>
      </c>
      <c r="AF79" s="73">
        <f t="shared" si="10"/>
        <v>-2.9999210000000001</v>
      </c>
      <c r="AG79" s="11" t="str">
        <f t="shared" si="11"/>
        <v/>
      </c>
      <c r="AH79" s="73">
        <f t="shared" si="12"/>
        <v>-6.9999209999999996</v>
      </c>
    </row>
    <row r="80" spans="1:34" ht="14.25" customHeight="1">
      <c r="A80" s="11">
        <v>65</v>
      </c>
      <c r="B80" s="66"/>
      <c r="C80" s="67"/>
      <c r="D80" s="67"/>
      <c r="E80" s="67"/>
      <c r="F80" s="67"/>
      <c r="G80" s="67" t="s">
        <v>35</v>
      </c>
      <c r="H80" s="67">
        <v>43714</v>
      </c>
      <c r="I80" s="6" t="s">
        <v>586</v>
      </c>
      <c r="J80" s="9">
        <v>1148680501</v>
      </c>
      <c r="K80" s="68">
        <v>43708</v>
      </c>
      <c r="L80" s="68">
        <v>46022</v>
      </c>
      <c r="M80" s="68">
        <v>46203</v>
      </c>
      <c r="N80" s="69">
        <f t="shared" si="0"/>
        <v>-5</v>
      </c>
      <c r="O80" s="69">
        <f t="shared" si="1"/>
        <v>-2</v>
      </c>
      <c r="P80" s="70">
        <v>16</v>
      </c>
      <c r="Q80" s="70">
        <v>13</v>
      </c>
      <c r="R80" s="70">
        <v>11</v>
      </c>
      <c r="S80" s="68" t="str">
        <f t="shared" si="2"/>
        <v/>
      </c>
      <c r="T80" s="68"/>
      <c r="U80" s="68"/>
      <c r="V80" s="68"/>
      <c r="W80" s="9"/>
      <c r="X80" s="10"/>
      <c r="Y80" s="71">
        <f t="shared" si="3"/>
        <v>13</v>
      </c>
      <c r="Z80" s="73">
        <f t="shared" si="4"/>
        <v>11</v>
      </c>
      <c r="AA80" s="11" t="str">
        <f t="shared" si="5"/>
        <v/>
      </c>
      <c r="AB80" s="73">
        <f t="shared" si="6"/>
        <v>-5</v>
      </c>
      <c r="AC80" s="11" t="str">
        <f t="shared" si="7"/>
        <v/>
      </c>
      <c r="AD80" s="73">
        <f t="shared" si="8"/>
        <v>-2</v>
      </c>
      <c r="AE80" s="11" t="str">
        <f t="shared" si="9"/>
        <v/>
      </c>
      <c r="AF80" s="73">
        <f t="shared" si="10"/>
        <v>-4.9999200000000004</v>
      </c>
      <c r="AG80" s="11" t="str">
        <f t="shared" si="11"/>
        <v/>
      </c>
      <c r="AH80" s="73">
        <f t="shared" si="12"/>
        <v>-1.9999199999999999</v>
      </c>
    </row>
    <row r="81" spans="1:34" ht="14.25" customHeight="1">
      <c r="A81" s="11">
        <v>66</v>
      </c>
      <c r="B81" s="66"/>
      <c r="C81" s="67"/>
      <c r="D81" s="67"/>
      <c r="E81" s="67"/>
      <c r="F81" s="67"/>
      <c r="G81" s="67" t="s">
        <v>24</v>
      </c>
      <c r="H81" s="67">
        <v>42515</v>
      </c>
      <c r="I81" s="6" t="s">
        <v>594</v>
      </c>
      <c r="J81" s="9">
        <v>1148686223</v>
      </c>
      <c r="K81" s="68">
        <v>42490</v>
      </c>
      <c r="L81" s="68" t="s">
        <v>230</v>
      </c>
      <c r="M81" s="68">
        <v>45838</v>
      </c>
      <c r="N81" s="69">
        <f t="shared" si="0"/>
        <v>-16</v>
      </c>
      <c r="O81" s="69" t="str">
        <f t="shared" si="1"/>
        <v>N/A</v>
      </c>
      <c r="P81" s="70">
        <v>16</v>
      </c>
      <c r="Q81" s="70"/>
      <c r="R81" s="70">
        <v>0</v>
      </c>
      <c r="S81" s="68">
        <f t="shared" si="2"/>
        <v>45834</v>
      </c>
      <c r="T81" s="68">
        <v>45834</v>
      </c>
      <c r="U81" s="68"/>
      <c r="V81" s="68"/>
      <c r="W81" s="9"/>
      <c r="X81" s="10"/>
      <c r="Y81" s="65" t="str">
        <f t="shared" si="3"/>
        <v/>
      </c>
      <c r="Z81" s="11" t="str">
        <f t="shared" si="4"/>
        <v/>
      </c>
      <c r="AA81" s="11" t="str">
        <f t="shared" si="5"/>
        <v/>
      </c>
      <c r="AB81" s="73">
        <f t="shared" si="6"/>
        <v>-16</v>
      </c>
      <c r="AC81" s="11" t="str">
        <f t="shared" si="7"/>
        <v/>
      </c>
      <c r="AD81" s="11" t="str">
        <f t="shared" si="8"/>
        <v/>
      </c>
      <c r="AE81" s="11" t="str">
        <f t="shared" si="9"/>
        <v/>
      </c>
      <c r="AF81" s="73">
        <f t="shared" si="10"/>
        <v>-15.999919</v>
      </c>
      <c r="AG81" s="11" t="str">
        <f t="shared" si="11"/>
        <v/>
      </c>
      <c r="AH81" s="11" t="str">
        <f t="shared" si="12"/>
        <v/>
      </c>
    </row>
    <row r="82" spans="1:34" ht="14.25" customHeight="1">
      <c r="A82" s="11">
        <v>67</v>
      </c>
      <c r="B82" s="66"/>
      <c r="C82" s="67"/>
      <c r="D82" s="67"/>
      <c r="E82" s="67"/>
      <c r="F82" s="67"/>
      <c r="G82" s="67" t="s">
        <v>35</v>
      </c>
      <c r="H82" s="67">
        <v>41858</v>
      </c>
      <c r="I82" s="6" t="s">
        <v>600</v>
      </c>
      <c r="J82" s="9">
        <v>1148701032</v>
      </c>
      <c r="K82" s="68">
        <v>41851</v>
      </c>
      <c r="L82" s="68">
        <v>46022</v>
      </c>
      <c r="M82" s="68">
        <v>46203</v>
      </c>
      <c r="N82" s="69">
        <f t="shared" si="0"/>
        <v>0</v>
      </c>
      <c r="O82" s="69">
        <f t="shared" si="1"/>
        <v>-4</v>
      </c>
      <c r="P82" s="70">
        <v>6</v>
      </c>
      <c r="Q82" s="70">
        <v>10</v>
      </c>
      <c r="R82" s="70">
        <v>6</v>
      </c>
      <c r="S82" s="68" t="str">
        <f t="shared" si="2"/>
        <v/>
      </c>
      <c r="T82" s="68"/>
      <c r="U82" s="68"/>
      <c r="V82" s="68"/>
      <c r="W82" s="9"/>
      <c r="X82" s="10"/>
      <c r="Y82" s="71">
        <f t="shared" si="3"/>
        <v>10</v>
      </c>
      <c r="Z82" s="73">
        <f t="shared" si="4"/>
        <v>6</v>
      </c>
      <c r="AA82" s="11" t="str">
        <f t="shared" si="5"/>
        <v/>
      </c>
      <c r="AB82" s="73">
        <f t="shared" si="6"/>
        <v>0</v>
      </c>
      <c r="AC82" s="11" t="str">
        <f t="shared" si="7"/>
        <v/>
      </c>
      <c r="AD82" s="73">
        <f t="shared" si="8"/>
        <v>-4</v>
      </c>
      <c r="AE82" s="11" t="str">
        <f t="shared" si="9"/>
        <v/>
      </c>
      <c r="AF82" s="73">
        <f t="shared" si="10"/>
        <v>8.2000000000000001E-5</v>
      </c>
      <c r="AG82" s="11" t="str">
        <f t="shared" si="11"/>
        <v/>
      </c>
      <c r="AH82" s="73">
        <f t="shared" si="12"/>
        <v>-3.9999180000000001</v>
      </c>
    </row>
    <row r="83" spans="1:34" ht="14.25" customHeight="1">
      <c r="A83" s="11">
        <v>68</v>
      </c>
      <c r="B83" s="66"/>
      <c r="C83" s="67"/>
      <c r="D83" s="67"/>
      <c r="E83" s="67"/>
      <c r="F83" s="67"/>
      <c r="G83" s="67" t="s">
        <v>24</v>
      </c>
      <c r="H83" s="67">
        <v>41803</v>
      </c>
      <c r="I83" s="6" t="s">
        <v>607</v>
      </c>
      <c r="J83" s="9">
        <v>1148703078</v>
      </c>
      <c r="K83" s="68">
        <v>41790</v>
      </c>
      <c r="L83" s="68" t="s">
        <v>230</v>
      </c>
      <c r="M83" s="68">
        <v>45412</v>
      </c>
      <c r="N83" s="69">
        <f t="shared" si="0"/>
        <v>-50</v>
      </c>
      <c r="O83" s="69" t="str">
        <f t="shared" si="1"/>
        <v>N/A</v>
      </c>
      <c r="P83" s="70">
        <v>50</v>
      </c>
      <c r="Q83" s="70"/>
      <c r="R83" s="70">
        <v>0</v>
      </c>
      <c r="S83" s="68">
        <f t="shared" si="2"/>
        <v>45405</v>
      </c>
      <c r="T83" s="68">
        <v>45405</v>
      </c>
      <c r="U83" s="68"/>
      <c r="V83" s="68"/>
      <c r="W83" s="9"/>
      <c r="X83" s="10"/>
      <c r="Y83" s="65" t="str">
        <f t="shared" si="3"/>
        <v/>
      </c>
      <c r="Z83" s="11" t="str">
        <f t="shared" si="4"/>
        <v/>
      </c>
      <c r="AA83" s="11" t="str">
        <f t="shared" si="5"/>
        <v/>
      </c>
      <c r="AB83" s="73">
        <f t="shared" si="6"/>
        <v>-50</v>
      </c>
      <c r="AC83" s="11" t="str">
        <f t="shared" si="7"/>
        <v/>
      </c>
      <c r="AD83" s="11" t="str">
        <f t="shared" si="8"/>
        <v/>
      </c>
      <c r="AE83" s="11" t="str">
        <f t="shared" si="9"/>
        <v/>
      </c>
      <c r="AF83" s="73">
        <f t="shared" si="10"/>
        <v>-49.999917000000003</v>
      </c>
      <c r="AG83" s="11" t="str">
        <f t="shared" si="11"/>
        <v/>
      </c>
      <c r="AH83" s="11" t="str">
        <f t="shared" si="12"/>
        <v/>
      </c>
    </row>
    <row r="84" spans="1:34" ht="14.25" customHeight="1">
      <c r="A84" s="11">
        <v>69</v>
      </c>
      <c r="B84" s="66"/>
      <c r="C84" s="67"/>
      <c r="D84" s="67"/>
      <c r="E84" s="67"/>
      <c r="F84" s="67"/>
      <c r="G84" s="67" t="s">
        <v>283</v>
      </c>
      <c r="H84" s="67">
        <v>43622</v>
      </c>
      <c r="I84" s="6" t="s">
        <v>610</v>
      </c>
      <c r="J84" s="9">
        <v>1148710735</v>
      </c>
      <c r="K84" s="68">
        <v>43616</v>
      </c>
      <c r="L84" s="68" t="s">
        <v>230</v>
      </c>
      <c r="M84" s="68">
        <v>45747</v>
      </c>
      <c r="N84" s="69">
        <f t="shared" si="0"/>
        <v>-5</v>
      </c>
      <c r="O84" s="69" t="str">
        <f t="shared" si="1"/>
        <v>N/A</v>
      </c>
      <c r="P84" s="70">
        <v>8</v>
      </c>
      <c r="Q84" s="70"/>
      <c r="R84" s="70">
        <v>3</v>
      </c>
      <c r="S84" s="68">
        <f t="shared" si="2"/>
        <v>45721</v>
      </c>
      <c r="T84" s="68"/>
      <c r="U84" s="68"/>
      <c r="V84" s="68"/>
      <c r="W84" s="68">
        <v>45721</v>
      </c>
      <c r="X84" s="10"/>
      <c r="Y84" s="65" t="str">
        <f t="shared" si="3"/>
        <v/>
      </c>
      <c r="Z84" s="11" t="str">
        <f t="shared" si="4"/>
        <v/>
      </c>
      <c r="AA84" s="11" t="str">
        <f t="shared" si="5"/>
        <v/>
      </c>
      <c r="AB84" s="73">
        <f t="shared" si="6"/>
        <v>-5</v>
      </c>
      <c r="AC84" s="11" t="str">
        <f t="shared" si="7"/>
        <v/>
      </c>
      <c r="AD84" s="11" t="str">
        <f t="shared" si="8"/>
        <v/>
      </c>
      <c r="AE84" s="11" t="str">
        <f t="shared" si="9"/>
        <v/>
      </c>
      <c r="AF84" s="73">
        <f t="shared" si="10"/>
        <v>-4.9999159999999998</v>
      </c>
      <c r="AG84" s="11" t="str">
        <f t="shared" si="11"/>
        <v/>
      </c>
      <c r="AH84" s="11" t="str">
        <f t="shared" si="12"/>
        <v/>
      </c>
    </row>
    <row r="85" spans="1:34" ht="14.25" customHeight="1">
      <c r="A85" s="11">
        <v>70</v>
      </c>
      <c r="B85" s="66"/>
      <c r="C85" s="67"/>
      <c r="D85" s="67"/>
      <c r="E85" s="67"/>
      <c r="F85" s="67"/>
      <c r="G85" s="67" t="s">
        <v>35</v>
      </c>
      <c r="H85" s="67">
        <v>43453</v>
      </c>
      <c r="I85" s="6" t="s">
        <v>614</v>
      </c>
      <c r="J85" s="9">
        <v>1148713917</v>
      </c>
      <c r="K85" s="68">
        <v>43434</v>
      </c>
      <c r="L85" s="68">
        <v>46022</v>
      </c>
      <c r="M85" s="68">
        <v>46203</v>
      </c>
      <c r="N85" s="69">
        <f t="shared" si="0"/>
        <v>-22</v>
      </c>
      <c r="O85" s="69">
        <f t="shared" si="1"/>
        <v>-7</v>
      </c>
      <c r="P85" s="70">
        <v>64</v>
      </c>
      <c r="Q85" s="70">
        <v>49</v>
      </c>
      <c r="R85" s="70">
        <v>42</v>
      </c>
      <c r="S85" s="68" t="str">
        <f t="shared" si="2"/>
        <v/>
      </c>
      <c r="T85" s="68"/>
      <c r="U85" s="68"/>
      <c r="V85" s="68"/>
      <c r="W85" s="9"/>
      <c r="X85" s="10"/>
      <c r="Y85" s="71">
        <f t="shared" si="3"/>
        <v>49</v>
      </c>
      <c r="Z85" s="73">
        <f t="shared" si="4"/>
        <v>42</v>
      </c>
      <c r="AA85" s="11" t="str">
        <f t="shared" si="5"/>
        <v/>
      </c>
      <c r="AB85" s="73">
        <f t="shared" si="6"/>
        <v>-22</v>
      </c>
      <c r="AC85" s="11" t="str">
        <f t="shared" si="7"/>
        <v/>
      </c>
      <c r="AD85" s="73">
        <f t="shared" si="8"/>
        <v>-7</v>
      </c>
      <c r="AE85" s="11" t="str">
        <f t="shared" si="9"/>
        <v/>
      </c>
      <c r="AF85" s="73">
        <f t="shared" si="10"/>
        <v>-21.999915000000001</v>
      </c>
      <c r="AG85" s="11" t="str">
        <f t="shared" si="11"/>
        <v/>
      </c>
      <c r="AH85" s="73">
        <f t="shared" si="12"/>
        <v>-6.9999149999999997</v>
      </c>
    </row>
    <row r="86" spans="1:34" ht="14.25" customHeight="1">
      <c r="A86" s="11">
        <v>71</v>
      </c>
      <c r="B86" s="66"/>
      <c r="C86" s="67"/>
      <c r="D86" s="67"/>
      <c r="E86" s="67"/>
      <c r="F86" s="67"/>
      <c r="G86" s="67" t="s">
        <v>35</v>
      </c>
      <c r="H86" s="67">
        <v>43129</v>
      </c>
      <c r="I86" s="6" t="s">
        <v>616</v>
      </c>
      <c r="J86" s="9">
        <v>1148718004</v>
      </c>
      <c r="K86" s="68">
        <v>43100</v>
      </c>
      <c r="L86" s="68">
        <v>46022</v>
      </c>
      <c r="M86" s="68">
        <v>46203</v>
      </c>
      <c r="N86" s="69">
        <f t="shared" si="0"/>
        <v>-4</v>
      </c>
      <c r="O86" s="69">
        <f t="shared" si="1"/>
        <v>0</v>
      </c>
      <c r="P86" s="70">
        <v>7</v>
      </c>
      <c r="Q86" s="70">
        <v>3</v>
      </c>
      <c r="R86" s="70">
        <v>3</v>
      </c>
      <c r="S86" s="68" t="str">
        <f t="shared" si="2"/>
        <v/>
      </c>
      <c r="T86" s="68"/>
      <c r="U86" s="68"/>
      <c r="V86" s="68"/>
      <c r="W86" s="9"/>
      <c r="X86" s="10"/>
      <c r="Y86" s="71">
        <f t="shared" si="3"/>
        <v>3</v>
      </c>
      <c r="Z86" s="73">
        <f t="shared" si="4"/>
        <v>3</v>
      </c>
      <c r="AA86" s="11" t="str">
        <f t="shared" si="5"/>
        <v/>
      </c>
      <c r="AB86" s="73">
        <f t="shared" si="6"/>
        <v>-4</v>
      </c>
      <c r="AC86" s="11" t="str">
        <f t="shared" si="7"/>
        <v/>
      </c>
      <c r="AD86" s="73">
        <f t="shared" si="8"/>
        <v>0</v>
      </c>
      <c r="AE86" s="11" t="str">
        <f t="shared" si="9"/>
        <v/>
      </c>
      <c r="AF86" s="73">
        <f t="shared" si="10"/>
        <v>-3.999914</v>
      </c>
      <c r="AG86" s="11" t="str">
        <f t="shared" si="11"/>
        <v/>
      </c>
      <c r="AH86" s="73">
        <f t="shared" si="12"/>
        <v>8.6000000000000003E-5</v>
      </c>
    </row>
    <row r="87" spans="1:34" ht="14.25" customHeight="1">
      <c r="A87" s="11">
        <v>72</v>
      </c>
      <c r="B87" s="66" t="s">
        <v>35</v>
      </c>
      <c r="C87" s="67">
        <v>45536</v>
      </c>
      <c r="D87" s="67"/>
      <c r="E87" s="67"/>
      <c r="F87" s="67"/>
      <c r="G87" s="67" t="s">
        <v>35</v>
      </c>
      <c r="H87" s="67">
        <v>43216</v>
      </c>
      <c r="I87" s="6" t="s">
        <v>617</v>
      </c>
      <c r="J87" s="9">
        <v>1148720403</v>
      </c>
      <c r="K87" s="68">
        <v>43190</v>
      </c>
      <c r="L87" s="68">
        <v>46022</v>
      </c>
      <c r="M87" s="68">
        <v>46203</v>
      </c>
      <c r="N87" s="69">
        <f t="shared" si="0"/>
        <v>8</v>
      </c>
      <c r="O87" s="69">
        <f t="shared" si="1"/>
        <v>-1</v>
      </c>
      <c r="P87" s="70">
        <v>5</v>
      </c>
      <c r="Q87" s="70">
        <v>14</v>
      </c>
      <c r="R87" s="70">
        <v>13</v>
      </c>
      <c r="S87" s="68" t="str">
        <f t="shared" si="2"/>
        <v/>
      </c>
      <c r="T87" s="68"/>
      <c r="U87" s="68"/>
      <c r="V87" s="68"/>
      <c r="W87" s="9"/>
      <c r="X87" s="10"/>
      <c r="Y87" s="71">
        <f t="shared" si="3"/>
        <v>14</v>
      </c>
      <c r="Z87" s="73">
        <f t="shared" si="4"/>
        <v>13</v>
      </c>
      <c r="AA87" s="73">
        <f t="shared" si="5"/>
        <v>8</v>
      </c>
      <c r="AB87" s="73">
        <f t="shared" si="6"/>
        <v>8</v>
      </c>
      <c r="AC87" s="73">
        <f t="shared" si="7"/>
        <v>-1</v>
      </c>
      <c r="AD87" s="73">
        <f t="shared" si="8"/>
        <v>-1</v>
      </c>
      <c r="AE87" s="73">
        <f t="shared" si="9"/>
        <v>8.0000870000000006</v>
      </c>
      <c r="AF87" s="73">
        <f t="shared" si="10"/>
        <v>8.0000870000000006</v>
      </c>
      <c r="AG87" s="73">
        <f t="shared" si="11"/>
        <v>-0.99991300000000005</v>
      </c>
      <c r="AH87" s="73">
        <f t="shared" si="12"/>
        <v>-0.99991300000000005</v>
      </c>
    </row>
    <row r="88" spans="1:34" ht="14.25" customHeight="1">
      <c r="A88" s="11">
        <v>73</v>
      </c>
      <c r="B88" s="66"/>
      <c r="C88" s="67"/>
      <c r="D88" s="67"/>
      <c r="E88" s="67"/>
      <c r="F88" s="67"/>
      <c r="G88" s="67" t="s">
        <v>35</v>
      </c>
      <c r="H88" s="67">
        <v>44658</v>
      </c>
      <c r="I88" s="6" t="s">
        <v>618</v>
      </c>
      <c r="J88" s="9">
        <v>1158600835</v>
      </c>
      <c r="K88" s="68">
        <v>44651</v>
      </c>
      <c r="L88" s="68">
        <v>46022</v>
      </c>
      <c r="M88" s="68">
        <v>46203</v>
      </c>
      <c r="N88" s="69">
        <f t="shared" si="0"/>
        <v>1</v>
      </c>
      <c r="O88" s="69">
        <f t="shared" si="1"/>
        <v>-2</v>
      </c>
      <c r="P88" s="70">
        <v>4</v>
      </c>
      <c r="Q88" s="70">
        <v>7</v>
      </c>
      <c r="R88" s="70">
        <v>5</v>
      </c>
      <c r="S88" s="68" t="str">
        <f t="shared" si="2"/>
        <v/>
      </c>
      <c r="T88" s="68"/>
      <c r="U88" s="68"/>
      <c r="V88" s="68"/>
      <c r="W88" s="9"/>
      <c r="X88" s="10"/>
      <c r="Y88" s="71">
        <f t="shared" si="3"/>
        <v>7</v>
      </c>
      <c r="Z88" s="73">
        <f t="shared" si="4"/>
        <v>5</v>
      </c>
      <c r="AA88" s="11" t="str">
        <f t="shared" si="5"/>
        <v/>
      </c>
      <c r="AB88" s="73">
        <f t="shared" si="6"/>
        <v>1</v>
      </c>
      <c r="AC88" s="11" t="str">
        <f t="shared" si="7"/>
        <v/>
      </c>
      <c r="AD88" s="73">
        <f t="shared" si="8"/>
        <v>-2</v>
      </c>
      <c r="AE88" s="11" t="str">
        <f t="shared" si="9"/>
        <v/>
      </c>
      <c r="AF88" s="73">
        <f t="shared" si="10"/>
        <v>1.0000880000000001</v>
      </c>
      <c r="AG88" s="11" t="str">
        <f t="shared" si="11"/>
        <v/>
      </c>
      <c r="AH88" s="73">
        <f t="shared" si="12"/>
        <v>-1.9999119999999999</v>
      </c>
    </row>
    <row r="89" spans="1:34" ht="14.25" customHeight="1">
      <c r="A89" s="11">
        <v>74</v>
      </c>
      <c r="B89" s="66" t="s">
        <v>35</v>
      </c>
      <c r="C89" s="67"/>
      <c r="D89" s="67"/>
      <c r="E89" s="67"/>
      <c r="F89" s="67">
        <v>46122</v>
      </c>
      <c r="G89" s="67"/>
      <c r="H89" s="67"/>
      <c r="I89" s="6" t="s">
        <v>619</v>
      </c>
      <c r="J89" s="9">
        <v>1168603631</v>
      </c>
      <c r="K89" s="68">
        <v>46112</v>
      </c>
      <c r="L89" s="68" t="s">
        <v>230</v>
      </c>
      <c r="M89" s="68">
        <v>46203</v>
      </c>
      <c r="N89" s="69">
        <f t="shared" si="0"/>
        <v>0</v>
      </c>
      <c r="O89" s="69">
        <f t="shared" si="1"/>
        <v>0</v>
      </c>
      <c r="P89" s="70">
        <v>3</v>
      </c>
      <c r="Q89" s="70"/>
      <c r="R89" s="70">
        <v>3</v>
      </c>
      <c r="S89" s="68" t="str">
        <f t="shared" si="2"/>
        <v/>
      </c>
      <c r="T89" s="68"/>
      <c r="U89" s="95"/>
      <c r="V89" s="68"/>
      <c r="W89" s="6"/>
      <c r="X89" s="93"/>
      <c r="Y89" s="71">
        <f t="shared" si="3"/>
        <v>3</v>
      </c>
      <c r="Z89" s="73">
        <f t="shared" si="4"/>
        <v>3</v>
      </c>
      <c r="AA89" s="73">
        <f t="shared" si="5"/>
        <v>0</v>
      </c>
      <c r="AB89" s="11" t="str">
        <f t="shared" si="6"/>
        <v/>
      </c>
      <c r="AC89" s="73">
        <f t="shared" si="7"/>
        <v>0</v>
      </c>
      <c r="AD89" s="11" t="str">
        <f t="shared" si="8"/>
        <v/>
      </c>
      <c r="AE89" s="73">
        <f t="shared" si="9"/>
        <v>8.8999999999999995E-5</v>
      </c>
      <c r="AF89" s="11" t="str">
        <f t="shared" si="10"/>
        <v/>
      </c>
      <c r="AG89" s="73">
        <f t="shared" si="11"/>
        <v>8.8999999999999995E-5</v>
      </c>
      <c r="AH89" s="11" t="str">
        <f t="shared" si="12"/>
        <v/>
      </c>
    </row>
    <row r="90" spans="1:34" ht="14.25" customHeight="1">
      <c r="A90" s="11">
        <v>75</v>
      </c>
      <c r="B90" s="66"/>
      <c r="C90" s="67"/>
      <c r="D90" s="67"/>
      <c r="E90" s="67"/>
      <c r="F90" s="67"/>
      <c r="G90" s="67" t="s">
        <v>35</v>
      </c>
      <c r="H90" s="67">
        <v>45667</v>
      </c>
      <c r="I90" s="6" t="s">
        <v>620</v>
      </c>
      <c r="J90" s="9">
        <v>1178181256</v>
      </c>
      <c r="K90" s="68">
        <v>45657</v>
      </c>
      <c r="L90" s="68">
        <v>46022</v>
      </c>
      <c r="M90" s="68">
        <v>46203</v>
      </c>
      <c r="N90" s="69">
        <f t="shared" si="0"/>
        <v>112</v>
      </c>
      <c r="O90" s="69">
        <f t="shared" si="1"/>
        <v>33</v>
      </c>
      <c r="P90" s="70">
        <v>152</v>
      </c>
      <c r="Q90" s="70">
        <v>231</v>
      </c>
      <c r="R90" s="70">
        <v>264</v>
      </c>
      <c r="S90" s="68" t="str">
        <f t="shared" si="2"/>
        <v/>
      </c>
      <c r="T90" s="68"/>
      <c r="U90" s="68"/>
      <c r="V90" s="68"/>
      <c r="W90" s="9"/>
      <c r="X90" s="10"/>
      <c r="Y90" s="71">
        <f t="shared" si="3"/>
        <v>231</v>
      </c>
      <c r="Z90" s="73">
        <f t="shared" si="4"/>
        <v>264</v>
      </c>
      <c r="AA90" s="11" t="str">
        <f t="shared" si="5"/>
        <v/>
      </c>
      <c r="AB90" s="73">
        <f t="shared" si="6"/>
        <v>112</v>
      </c>
      <c r="AC90" s="11" t="str">
        <f t="shared" si="7"/>
        <v/>
      </c>
      <c r="AD90" s="73">
        <f t="shared" si="8"/>
        <v>33</v>
      </c>
      <c r="AE90" s="11" t="str">
        <f t="shared" si="9"/>
        <v/>
      </c>
      <c r="AF90" s="73">
        <f t="shared" si="10"/>
        <v>112.00009</v>
      </c>
      <c r="AG90" s="11" t="str">
        <f t="shared" si="11"/>
        <v/>
      </c>
      <c r="AH90" s="73">
        <f t="shared" si="12"/>
        <v>33.00009</v>
      </c>
    </row>
    <row r="91" spans="1:34" ht="14.25" customHeight="1">
      <c r="A91" s="11">
        <v>76</v>
      </c>
      <c r="B91" s="66"/>
      <c r="C91" s="67"/>
      <c r="D91" s="67"/>
      <c r="E91" s="67"/>
      <c r="F91" s="67"/>
      <c r="G91" s="67" t="s">
        <v>35</v>
      </c>
      <c r="H91" s="67">
        <v>45072</v>
      </c>
      <c r="I91" s="6" t="s">
        <v>621</v>
      </c>
      <c r="J91" s="9">
        <v>1198146110</v>
      </c>
      <c r="K91" s="68">
        <v>45046</v>
      </c>
      <c r="L91" s="68">
        <v>46022</v>
      </c>
      <c r="M91" s="68">
        <v>46203</v>
      </c>
      <c r="N91" s="69">
        <f t="shared" si="0"/>
        <v>121</v>
      </c>
      <c r="O91" s="69">
        <f t="shared" si="1"/>
        <v>13</v>
      </c>
      <c r="P91" s="70">
        <v>110</v>
      </c>
      <c r="Q91" s="70">
        <v>218</v>
      </c>
      <c r="R91" s="70">
        <v>231</v>
      </c>
      <c r="S91" s="68" t="str">
        <f t="shared" si="2"/>
        <v/>
      </c>
      <c r="T91" s="68"/>
      <c r="U91" s="68"/>
      <c r="V91" s="68"/>
      <c r="W91" s="9"/>
      <c r="X91" s="10"/>
      <c r="Y91" s="71">
        <f t="shared" si="3"/>
        <v>218</v>
      </c>
      <c r="Z91" s="73">
        <f t="shared" si="4"/>
        <v>231</v>
      </c>
      <c r="AA91" s="11" t="str">
        <f t="shared" si="5"/>
        <v/>
      </c>
      <c r="AB91" s="73">
        <f t="shared" si="6"/>
        <v>121</v>
      </c>
      <c r="AC91" s="11" t="str">
        <f t="shared" si="7"/>
        <v/>
      </c>
      <c r="AD91" s="73">
        <f t="shared" si="8"/>
        <v>13</v>
      </c>
      <c r="AE91" s="11" t="str">
        <f t="shared" si="9"/>
        <v/>
      </c>
      <c r="AF91" s="73">
        <f t="shared" si="10"/>
        <v>121.000091</v>
      </c>
      <c r="AG91" s="11" t="str">
        <f t="shared" si="11"/>
        <v/>
      </c>
      <c r="AH91" s="73">
        <f t="shared" si="12"/>
        <v>13.000090999999999</v>
      </c>
    </row>
    <row r="92" spans="1:34" ht="14.25" customHeight="1">
      <c r="A92" s="11">
        <v>77</v>
      </c>
      <c r="B92" s="66"/>
      <c r="C92" s="67"/>
      <c r="D92" s="67"/>
      <c r="E92" s="67"/>
      <c r="F92" s="67"/>
      <c r="G92" s="67" t="s">
        <v>24</v>
      </c>
      <c r="H92" s="67">
        <v>41950</v>
      </c>
      <c r="I92" s="6" t="s">
        <v>622</v>
      </c>
      <c r="J92" s="9">
        <v>1198616324</v>
      </c>
      <c r="K92" s="68">
        <v>41943</v>
      </c>
      <c r="L92" s="68" t="s">
        <v>230</v>
      </c>
      <c r="M92" s="68">
        <v>42704</v>
      </c>
      <c r="N92" s="69">
        <f t="shared" si="0"/>
        <v>-16</v>
      </c>
      <c r="O92" s="69" t="str">
        <f t="shared" si="1"/>
        <v>N/A</v>
      </c>
      <c r="P92" s="70">
        <v>16</v>
      </c>
      <c r="Q92" s="70"/>
      <c r="R92" s="70">
        <v>0</v>
      </c>
      <c r="S92" s="68">
        <f t="shared" si="2"/>
        <v>42685</v>
      </c>
      <c r="T92" s="68">
        <v>42685</v>
      </c>
      <c r="U92" s="68"/>
      <c r="V92" s="68"/>
      <c r="W92" s="9"/>
      <c r="X92" s="10"/>
      <c r="Y92" s="65" t="str">
        <f t="shared" si="3"/>
        <v/>
      </c>
      <c r="Z92" s="11" t="str">
        <f t="shared" si="4"/>
        <v/>
      </c>
      <c r="AA92" s="11" t="str">
        <f t="shared" si="5"/>
        <v/>
      </c>
      <c r="AB92" s="73">
        <f t="shared" si="6"/>
        <v>-16</v>
      </c>
      <c r="AC92" s="11" t="str">
        <f t="shared" si="7"/>
        <v/>
      </c>
      <c r="AD92" s="11" t="str">
        <f t="shared" si="8"/>
        <v/>
      </c>
      <c r="AE92" s="11" t="str">
        <f t="shared" si="9"/>
        <v/>
      </c>
      <c r="AF92" s="73">
        <f t="shared" si="10"/>
        <v>-15.999908</v>
      </c>
      <c r="AG92" s="11" t="str">
        <f t="shared" si="11"/>
        <v/>
      </c>
      <c r="AH92" s="11" t="str">
        <f t="shared" si="12"/>
        <v/>
      </c>
    </row>
    <row r="93" spans="1:34" ht="14.25" customHeight="1">
      <c r="A93" s="11">
        <v>78</v>
      </c>
      <c r="B93" s="66"/>
      <c r="C93" s="67"/>
      <c r="D93" s="67"/>
      <c r="E93" s="67"/>
      <c r="F93" s="67"/>
      <c r="G93" s="67" t="s">
        <v>35</v>
      </c>
      <c r="H93" s="67">
        <v>45932</v>
      </c>
      <c r="I93" s="6" t="s">
        <v>623</v>
      </c>
      <c r="J93" s="94">
        <v>1198620681</v>
      </c>
      <c r="K93" s="68">
        <v>45930</v>
      </c>
      <c r="L93" s="68">
        <v>46022</v>
      </c>
      <c r="M93" s="68">
        <v>46203</v>
      </c>
      <c r="N93" s="69">
        <f t="shared" si="0"/>
        <v>-5</v>
      </c>
      <c r="O93" s="69">
        <f t="shared" si="1"/>
        <v>-1</v>
      </c>
      <c r="P93" s="70">
        <v>169</v>
      </c>
      <c r="Q93" s="70">
        <v>165</v>
      </c>
      <c r="R93" s="70">
        <v>164</v>
      </c>
      <c r="S93" s="68" t="str">
        <f t="shared" si="2"/>
        <v/>
      </c>
      <c r="T93" s="68"/>
      <c r="U93" s="95"/>
      <c r="V93" s="68"/>
      <c r="W93" s="6"/>
      <c r="X93" s="10"/>
      <c r="Y93" s="71">
        <f t="shared" si="3"/>
        <v>165</v>
      </c>
      <c r="Z93" s="73">
        <f t="shared" si="4"/>
        <v>164</v>
      </c>
      <c r="AA93" s="11" t="str">
        <f t="shared" si="5"/>
        <v/>
      </c>
      <c r="AB93" s="73">
        <f t="shared" si="6"/>
        <v>-5</v>
      </c>
      <c r="AC93" s="11" t="str">
        <f t="shared" si="7"/>
        <v/>
      </c>
      <c r="AD93" s="73">
        <f t="shared" si="8"/>
        <v>-1</v>
      </c>
      <c r="AE93" s="11" t="str">
        <f t="shared" si="9"/>
        <v/>
      </c>
      <c r="AF93" s="73">
        <f t="shared" si="10"/>
        <v>-4.9999070000000003</v>
      </c>
      <c r="AG93" s="11" t="str">
        <f t="shared" si="11"/>
        <v/>
      </c>
      <c r="AH93" s="73">
        <f t="shared" si="12"/>
        <v>-0.99990699999999999</v>
      </c>
    </row>
    <row r="94" spans="1:34" ht="14.25" customHeight="1">
      <c r="A94" s="11">
        <v>79</v>
      </c>
      <c r="B94" s="66"/>
      <c r="C94" s="67"/>
      <c r="D94" s="67"/>
      <c r="E94" s="67"/>
      <c r="F94" s="67"/>
      <c r="G94" s="67" t="s">
        <v>283</v>
      </c>
      <c r="H94" s="67">
        <v>44105</v>
      </c>
      <c r="I94" s="6" t="s">
        <v>624</v>
      </c>
      <c r="J94" s="9">
        <v>1198621448</v>
      </c>
      <c r="K94" s="68">
        <v>44104</v>
      </c>
      <c r="L94" s="68" t="s">
        <v>230</v>
      </c>
      <c r="M94" s="68">
        <v>45747</v>
      </c>
      <c r="N94" s="69">
        <f t="shared" si="0"/>
        <v>-32</v>
      </c>
      <c r="O94" s="69" t="str">
        <f t="shared" si="1"/>
        <v>N/A</v>
      </c>
      <c r="P94" s="70">
        <v>43</v>
      </c>
      <c r="Q94" s="70"/>
      <c r="R94" s="70">
        <v>11</v>
      </c>
      <c r="S94" s="68">
        <f t="shared" si="2"/>
        <v>45721</v>
      </c>
      <c r="T94" s="68"/>
      <c r="U94" s="68"/>
      <c r="V94" s="68"/>
      <c r="W94" s="68">
        <v>45721</v>
      </c>
      <c r="X94" s="10"/>
      <c r="Y94" s="65" t="str">
        <f t="shared" si="3"/>
        <v/>
      </c>
      <c r="Z94" s="11" t="str">
        <f t="shared" si="4"/>
        <v/>
      </c>
      <c r="AA94" s="11" t="str">
        <f t="shared" si="5"/>
        <v/>
      </c>
      <c r="AB94" s="73">
        <f t="shared" si="6"/>
        <v>-32</v>
      </c>
      <c r="AC94" s="11" t="str">
        <f t="shared" si="7"/>
        <v/>
      </c>
      <c r="AD94" s="11" t="str">
        <f t="shared" si="8"/>
        <v/>
      </c>
      <c r="AE94" s="11" t="str">
        <f t="shared" si="9"/>
        <v/>
      </c>
      <c r="AF94" s="73">
        <f t="shared" si="10"/>
        <v>-31.999905999999999</v>
      </c>
      <c r="AG94" s="11" t="str">
        <f t="shared" si="11"/>
        <v/>
      </c>
      <c r="AH94" s="11" t="str">
        <f t="shared" si="12"/>
        <v/>
      </c>
    </row>
    <row r="95" spans="1:34" ht="14.25" customHeight="1">
      <c r="A95" s="11">
        <v>80</v>
      </c>
      <c r="B95" s="66"/>
      <c r="C95" s="67"/>
      <c r="D95" s="67"/>
      <c r="E95" s="67"/>
      <c r="F95" s="67"/>
      <c r="G95" s="67" t="s">
        <v>35</v>
      </c>
      <c r="H95" s="67">
        <v>45169</v>
      </c>
      <c r="I95" s="6" t="s">
        <v>625</v>
      </c>
      <c r="J95" s="9">
        <v>1198644136</v>
      </c>
      <c r="K95" s="68">
        <v>45138</v>
      </c>
      <c r="L95" s="68">
        <v>46022</v>
      </c>
      <c r="M95" s="68">
        <v>46203</v>
      </c>
      <c r="N95" s="69">
        <f t="shared" si="0"/>
        <v>-21</v>
      </c>
      <c r="O95" s="69">
        <f t="shared" si="1"/>
        <v>-2</v>
      </c>
      <c r="P95" s="70">
        <v>80</v>
      </c>
      <c r="Q95" s="70">
        <v>61</v>
      </c>
      <c r="R95" s="70">
        <v>59</v>
      </c>
      <c r="S95" s="68" t="str">
        <f t="shared" si="2"/>
        <v/>
      </c>
      <c r="T95" s="68"/>
      <c r="U95" s="68"/>
      <c r="V95" s="68"/>
      <c r="W95" s="9"/>
      <c r="X95" s="10"/>
      <c r="Y95" s="71">
        <f t="shared" si="3"/>
        <v>61</v>
      </c>
      <c r="Z95" s="73">
        <f t="shared" si="4"/>
        <v>59</v>
      </c>
      <c r="AA95" s="11" t="str">
        <f t="shared" si="5"/>
        <v/>
      </c>
      <c r="AB95" s="73">
        <f t="shared" si="6"/>
        <v>-21</v>
      </c>
      <c r="AC95" s="11" t="str">
        <f t="shared" si="7"/>
        <v/>
      </c>
      <c r="AD95" s="73">
        <f t="shared" si="8"/>
        <v>-2</v>
      </c>
      <c r="AE95" s="11" t="str">
        <f t="shared" si="9"/>
        <v/>
      </c>
      <c r="AF95" s="73">
        <f t="shared" si="10"/>
        <v>-20.999904999999998</v>
      </c>
      <c r="AG95" s="11" t="str">
        <f t="shared" si="11"/>
        <v/>
      </c>
      <c r="AH95" s="73">
        <f t="shared" si="12"/>
        <v>-1.999905</v>
      </c>
    </row>
    <row r="96" spans="1:34" ht="14.25" customHeight="1">
      <c r="A96" s="11">
        <v>81</v>
      </c>
      <c r="B96" s="66"/>
      <c r="C96" s="67"/>
      <c r="D96" s="67"/>
      <c r="E96" s="67"/>
      <c r="F96" s="67"/>
      <c r="G96" s="67" t="s">
        <v>283</v>
      </c>
      <c r="H96" s="67">
        <v>43809</v>
      </c>
      <c r="I96" s="6" t="s">
        <v>626</v>
      </c>
      <c r="J96" s="9">
        <v>1198646658</v>
      </c>
      <c r="K96" s="68">
        <v>43799</v>
      </c>
      <c r="L96" s="68" t="s">
        <v>230</v>
      </c>
      <c r="M96" s="68">
        <v>45747</v>
      </c>
      <c r="N96" s="69">
        <f t="shared" si="0"/>
        <v>22</v>
      </c>
      <c r="O96" s="69" t="str">
        <f t="shared" si="1"/>
        <v>N/A</v>
      </c>
      <c r="P96" s="70">
        <v>18</v>
      </c>
      <c r="Q96" s="70"/>
      <c r="R96" s="70">
        <v>40</v>
      </c>
      <c r="S96" s="68">
        <f t="shared" si="2"/>
        <v>45721</v>
      </c>
      <c r="T96" s="68"/>
      <c r="U96" s="68"/>
      <c r="V96" s="68"/>
      <c r="W96" s="68">
        <v>45721</v>
      </c>
      <c r="X96" s="10"/>
      <c r="Y96" s="65" t="str">
        <f t="shared" si="3"/>
        <v/>
      </c>
      <c r="Z96" s="11" t="str">
        <f t="shared" si="4"/>
        <v/>
      </c>
      <c r="AA96" s="11" t="str">
        <f t="shared" si="5"/>
        <v/>
      </c>
      <c r="AB96" s="73">
        <f t="shared" si="6"/>
        <v>22</v>
      </c>
      <c r="AC96" s="11" t="str">
        <f t="shared" si="7"/>
        <v/>
      </c>
      <c r="AD96" s="11" t="str">
        <f t="shared" si="8"/>
        <v/>
      </c>
      <c r="AE96" s="11" t="str">
        <f t="shared" si="9"/>
        <v/>
      </c>
      <c r="AF96" s="73">
        <f t="shared" si="10"/>
        <v>22.000095999999999</v>
      </c>
      <c r="AG96" s="11" t="str">
        <f t="shared" si="11"/>
        <v/>
      </c>
      <c r="AH96" s="11" t="str">
        <f t="shared" si="12"/>
        <v/>
      </c>
    </row>
    <row r="97" spans="1:34" ht="14.25" customHeight="1">
      <c r="A97" s="11">
        <v>82</v>
      </c>
      <c r="B97" s="66"/>
      <c r="C97" s="67"/>
      <c r="D97" s="67"/>
      <c r="E97" s="67"/>
      <c r="F97" s="67"/>
      <c r="G97" s="67" t="s">
        <v>35</v>
      </c>
      <c r="H97" s="67">
        <v>42367</v>
      </c>
      <c r="I97" s="6" t="s">
        <v>627</v>
      </c>
      <c r="J97" s="9">
        <v>1198649349</v>
      </c>
      <c r="K97" s="68">
        <v>42338</v>
      </c>
      <c r="L97" s="68">
        <v>46022</v>
      </c>
      <c r="M97" s="68">
        <v>46203</v>
      </c>
      <c r="N97" s="69">
        <f t="shared" si="0"/>
        <v>82</v>
      </c>
      <c r="O97" s="69">
        <f t="shared" si="1"/>
        <v>9</v>
      </c>
      <c r="P97" s="70">
        <v>14</v>
      </c>
      <c r="Q97" s="70">
        <v>87</v>
      </c>
      <c r="R97" s="70">
        <v>96</v>
      </c>
      <c r="S97" s="68" t="str">
        <f t="shared" si="2"/>
        <v/>
      </c>
      <c r="T97" s="68"/>
      <c r="U97" s="68"/>
      <c r="V97" s="68"/>
      <c r="W97" s="9"/>
      <c r="X97" s="10"/>
      <c r="Y97" s="71">
        <f t="shared" si="3"/>
        <v>87</v>
      </c>
      <c r="Z97" s="73">
        <f t="shared" si="4"/>
        <v>96</v>
      </c>
      <c r="AA97" s="11" t="str">
        <f t="shared" si="5"/>
        <v/>
      </c>
      <c r="AB97" s="73">
        <f t="shared" si="6"/>
        <v>82</v>
      </c>
      <c r="AC97" s="11" t="str">
        <f t="shared" si="7"/>
        <v/>
      </c>
      <c r="AD97" s="73">
        <f t="shared" si="8"/>
        <v>9</v>
      </c>
      <c r="AE97" s="11" t="str">
        <f t="shared" si="9"/>
        <v/>
      </c>
      <c r="AF97" s="73">
        <f t="shared" si="10"/>
        <v>82.000096999999997</v>
      </c>
      <c r="AG97" s="11" t="str">
        <f t="shared" si="11"/>
        <v/>
      </c>
      <c r="AH97" s="73">
        <f t="shared" si="12"/>
        <v>9.0000970000000002</v>
      </c>
    </row>
    <row r="98" spans="1:34" ht="14.25" customHeight="1">
      <c r="A98" s="11">
        <v>83</v>
      </c>
      <c r="B98" s="66"/>
      <c r="C98" s="67"/>
      <c r="D98" s="67"/>
      <c r="E98" s="67"/>
      <c r="F98" s="67"/>
      <c r="G98" s="67" t="s">
        <v>35</v>
      </c>
      <c r="H98" s="67">
        <v>42866</v>
      </c>
      <c r="I98" s="6" t="s">
        <v>629</v>
      </c>
      <c r="J98" s="9">
        <v>1198651224</v>
      </c>
      <c r="K98" s="68">
        <v>42855</v>
      </c>
      <c r="L98" s="68">
        <v>46022</v>
      </c>
      <c r="M98" s="68">
        <v>46203</v>
      </c>
      <c r="N98" s="69">
        <f t="shared" si="0"/>
        <v>10</v>
      </c>
      <c r="O98" s="69">
        <f t="shared" si="1"/>
        <v>-1</v>
      </c>
      <c r="P98" s="70">
        <v>10</v>
      </c>
      <c r="Q98" s="70">
        <v>21</v>
      </c>
      <c r="R98" s="70">
        <v>20</v>
      </c>
      <c r="S98" s="68" t="str">
        <f t="shared" si="2"/>
        <v/>
      </c>
      <c r="T98" s="68"/>
      <c r="U98" s="68"/>
      <c r="V98" s="68"/>
      <c r="W98" s="9"/>
      <c r="X98" s="10"/>
      <c r="Y98" s="71">
        <f t="shared" si="3"/>
        <v>21</v>
      </c>
      <c r="Z98" s="73">
        <f t="shared" si="4"/>
        <v>20</v>
      </c>
      <c r="AA98" s="11" t="str">
        <f t="shared" si="5"/>
        <v/>
      </c>
      <c r="AB98" s="73">
        <f t="shared" si="6"/>
        <v>10</v>
      </c>
      <c r="AC98" s="11" t="str">
        <f t="shared" si="7"/>
        <v/>
      </c>
      <c r="AD98" s="73">
        <f t="shared" si="8"/>
        <v>-1</v>
      </c>
      <c r="AE98" s="11" t="str">
        <f t="shared" si="9"/>
        <v/>
      </c>
      <c r="AF98" s="73">
        <f t="shared" si="10"/>
        <v>10.000097999999999</v>
      </c>
      <c r="AG98" s="11" t="str">
        <f t="shared" si="11"/>
        <v/>
      </c>
      <c r="AH98" s="73">
        <f t="shared" si="12"/>
        <v>-0.99990199999999996</v>
      </c>
    </row>
    <row r="99" spans="1:34" ht="14.25" customHeight="1">
      <c r="A99" s="11">
        <v>84</v>
      </c>
      <c r="B99" s="66"/>
      <c r="C99" s="67"/>
      <c r="D99" s="67"/>
      <c r="E99" s="67"/>
      <c r="F99" s="67"/>
      <c r="G99" s="67" t="s">
        <v>35</v>
      </c>
      <c r="H99" s="67">
        <v>42369</v>
      </c>
      <c r="I99" s="6" t="s">
        <v>630</v>
      </c>
      <c r="J99" s="9">
        <v>1198659769</v>
      </c>
      <c r="K99" s="68">
        <v>42338</v>
      </c>
      <c r="L99" s="68">
        <v>46022</v>
      </c>
      <c r="M99" s="68">
        <v>46203</v>
      </c>
      <c r="N99" s="69">
        <f t="shared" si="0"/>
        <v>-10</v>
      </c>
      <c r="O99" s="69">
        <f t="shared" si="1"/>
        <v>-2</v>
      </c>
      <c r="P99" s="70">
        <v>10</v>
      </c>
      <c r="Q99" s="70">
        <v>2</v>
      </c>
      <c r="R99" s="70">
        <v>0</v>
      </c>
      <c r="S99" s="68" t="str">
        <f t="shared" si="2"/>
        <v/>
      </c>
      <c r="T99" s="68"/>
      <c r="U99" s="68"/>
      <c r="V99" s="68"/>
      <c r="W99" s="9"/>
      <c r="X99" s="10"/>
      <c r="Y99" s="71">
        <f t="shared" si="3"/>
        <v>2</v>
      </c>
      <c r="Z99" s="73">
        <f t="shared" si="4"/>
        <v>0</v>
      </c>
      <c r="AA99" s="11" t="str">
        <f t="shared" si="5"/>
        <v/>
      </c>
      <c r="AB99" s="73">
        <f t="shared" si="6"/>
        <v>-10</v>
      </c>
      <c r="AC99" s="11" t="str">
        <f t="shared" si="7"/>
        <v/>
      </c>
      <c r="AD99" s="73">
        <f t="shared" si="8"/>
        <v>-2</v>
      </c>
      <c r="AE99" s="11" t="str">
        <f t="shared" si="9"/>
        <v/>
      </c>
      <c r="AF99" s="73">
        <f t="shared" si="10"/>
        <v>-9.9999009999999995</v>
      </c>
      <c r="AG99" s="11" t="str">
        <f t="shared" si="11"/>
        <v/>
      </c>
      <c r="AH99" s="73">
        <f t="shared" si="12"/>
        <v>-1.9999009999999999</v>
      </c>
    </row>
    <row r="100" spans="1:34" ht="14.25" customHeight="1">
      <c r="A100" s="11">
        <v>85</v>
      </c>
      <c r="B100" s="66"/>
      <c r="C100" s="67"/>
      <c r="D100" s="67"/>
      <c r="E100" s="67"/>
      <c r="F100" s="67"/>
      <c r="G100" s="67" t="s">
        <v>35</v>
      </c>
      <c r="H100" s="67">
        <v>41596</v>
      </c>
      <c r="I100" s="6" t="s">
        <v>631</v>
      </c>
      <c r="J100" s="9">
        <v>1198677980</v>
      </c>
      <c r="K100" s="68">
        <v>41578</v>
      </c>
      <c r="L100" s="68">
        <v>46022</v>
      </c>
      <c r="M100" s="68">
        <v>46203</v>
      </c>
      <c r="N100" s="69">
        <f t="shared" si="0"/>
        <v>7</v>
      </c>
      <c r="O100" s="69">
        <f t="shared" si="1"/>
        <v>0</v>
      </c>
      <c r="P100" s="70">
        <v>0</v>
      </c>
      <c r="Q100" s="70">
        <v>7</v>
      </c>
      <c r="R100" s="70">
        <v>7</v>
      </c>
      <c r="S100" s="68" t="str">
        <f t="shared" si="2"/>
        <v/>
      </c>
      <c r="T100" s="68"/>
      <c r="U100" s="68"/>
      <c r="V100" s="68"/>
      <c r="W100" s="9"/>
      <c r="X100" s="10"/>
      <c r="Y100" s="71">
        <f t="shared" si="3"/>
        <v>7</v>
      </c>
      <c r="Z100" s="73">
        <f t="shared" si="4"/>
        <v>7</v>
      </c>
      <c r="AA100" s="11" t="str">
        <f t="shared" si="5"/>
        <v/>
      </c>
      <c r="AB100" s="73">
        <f t="shared" si="6"/>
        <v>7</v>
      </c>
      <c r="AC100" s="11" t="str">
        <f t="shared" si="7"/>
        <v/>
      </c>
      <c r="AD100" s="73">
        <f t="shared" si="8"/>
        <v>0</v>
      </c>
      <c r="AE100" s="11" t="str">
        <f t="shared" si="9"/>
        <v/>
      </c>
      <c r="AF100" s="73">
        <f t="shared" si="10"/>
        <v>7.0000999999999998</v>
      </c>
      <c r="AG100" s="11" t="str">
        <f t="shared" si="11"/>
        <v/>
      </c>
      <c r="AH100" s="73">
        <f t="shared" si="12"/>
        <v>1E-4</v>
      </c>
    </row>
    <row r="101" spans="1:34" ht="14.25" customHeight="1">
      <c r="A101" s="11">
        <v>86</v>
      </c>
      <c r="B101" s="66"/>
      <c r="C101" s="67"/>
      <c r="D101" s="67"/>
      <c r="E101" s="67"/>
      <c r="F101" s="67"/>
      <c r="G101" s="67" t="s">
        <v>35</v>
      </c>
      <c r="H101" s="67">
        <v>45477</v>
      </c>
      <c r="I101" s="6" t="s">
        <v>632</v>
      </c>
      <c r="J101" s="9">
        <v>1198682197</v>
      </c>
      <c r="K101" s="68">
        <v>45473</v>
      </c>
      <c r="L101" s="68">
        <v>46022</v>
      </c>
      <c r="M101" s="68">
        <v>46203</v>
      </c>
      <c r="N101" s="69">
        <f t="shared" si="0"/>
        <v>18</v>
      </c>
      <c r="O101" s="69">
        <f t="shared" si="1"/>
        <v>12</v>
      </c>
      <c r="P101" s="70">
        <v>64</v>
      </c>
      <c r="Q101" s="70">
        <v>70</v>
      </c>
      <c r="R101" s="70">
        <v>82</v>
      </c>
      <c r="S101" s="68" t="str">
        <f t="shared" si="2"/>
        <v/>
      </c>
      <c r="T101" s="68"/>
      <c r="U101" s="68"/>
      <c r="V101" s="68"/>
      <c r="W101" s="9"/>
      <c r="X101" s="10"/>
      <c r="Y101" s="71">
        <f t="shared" si="3"/>
        <v>70</v>
      </c>
      <c r="Z101" s="73">
        <f t="shared" si="4"/>
        <v>82</v>
      </c>
      <c r="AA101" s="11" t="str">
        <f t="shared" si="5"/>
        <v/>
      </c>
      <c r="AB101" s="73">
        <f t="shared" si="6"/>
        <v>18</v>
      </c>
      <c r="AC101" s="11" t="str">
        <f t="shared" si="7"/>
        <v/>
      </c>
      <c r="AD101" s="73">
        <f t="shared" si="8"/>
        <v>12</v>
      </c>
      <c r="AE101" s="11" t="str">
        <f t="shared" si="9"/>
        <v/>
      </c>
      <c r="AF101" s="73">
        <f t="shared" si="10"/>
        <v>18.000101000000001</v>
      </c>
      <c r="AG101" s="11" t="str">
        <f t="shared" si="11"/>
        <v/>
      </c>
      <c r="AH101" s="73">
        <f t="shared" si="12"/>
        <v>12.000101000000001</v>
      </c>
    </row>
    <row r="102" spans="1:34" ht="14.25" customHeight="1">
      <c r="A102" s="11">
        <v>87</v>
      </c>
      <c r="B102" s="66"/>
      <c r="C102" s="67"/>
      <c r="D102" s="67"/>
      <c r="E102" s="67"/>
      <c r="F102" s="67"/>
      <c r="G102" s="67" t="s">
        <v>35</v>
      </c>
      <c r="H102" s="67">
        <v>42215</v>
      </c>
      <c r="I102" s="6" t="s">
        <v>633</v>
      </c>
      <c r="J102" s="9">
        <v>1198684569</v>
      </c>
      <c r="K102" s="68">
        <v>42185</v>
      </c>
      <c r="L102" s="68">
        <v>46022</v>
      </c>
      <c r="M102" s="68">
        <v>46203</v>
      </c>
      <c r="N102" s="69">
        <f t="shared" si="0"/>
        <v>48</v>
      </c>
      <c r="O102" s="69">
        <f t="shared" si="1"/>
        <v>-1</v>
      </c>
      <c r="P102" s="70">
        <v>4</v>
      </c>
      <c r="Q102" s="70">
        <v>53</v>
      </c>
      <c r="R102" s="70">
        <v>52</v>
      </c>
      <c r="S102" s="68" t="str">
        <f t="shared" si="2"/>
        <v/>
      </c>
      <c r="T102" s="68"/>
      <c r="U102" s="68"/>
      <c r="V102" s="68"/>
      <c r="W102" s="9"/>
      <c r="X102" s="10"/>
      <c r="Y102" s="71">
        <f t="shared" si="3"/>
        <v>53</v>
      </c>
      <c r="Z102" s="73">
        <f t="shared" si="4"/>
        <v>52</v>
      </c>
      <c r="AA102" s="11" t="str">
        <f t="shared" si="5"/>
        <v/>
      </c>
      <c r="AB102" s="73">
        <f t="shared" si="6"/>
        <v>48</v>
      </c>
      <c r="AC102" s="11" t="str">
        <f t="shared" si="7"/>
        <v/>
      </c>
      <c r="AD102" s="73">
        <f t="shared" si="8"/>
        <v>-1</v>
      </c>
      <c r="AE102" s="11" t="str">
        <f t="shared" si="9"/>
        <v/>
      </c>
      <c r="AF102" s="73">
        <f t="shared" si="10"/>
        <v>48.000101999999998</v>
      </c>
      <c r="AG102" s="11" t="str">
        <f t="shared" si="11"/>
        <v/>
      </c>
      <c r="AH102" s="73">
        <f t="shared" si="12"/>
        <v>-0.99989799999999995</v>
      </c>
    </row>
    <row r="103" spans="1:34" ht="14.25" customHeight="1">
      <c r="A103" s="11">
        <v>88</v>
      </c>
      <c r="B103" s="66"/>
      <c r="C103" s="67"/>
      <c r="D103" s="67"/>
      <c r="E103" s="67"/>
      <c r="F103" s="67"/>
      <c r="G103" s="67" t="s">
        <v>35</v>
      </c>
      <c r="H103" s="67">
        <v>42464</v>
      </c>
      <c r="I103" s="6" t="s">
        <v>634</v>
      </c>
      <c r="J103" s="9">
        <v>1198691245</v>
      </c>
      <c r="K103" s="68">
        <v>42460</v>
      </c>
      <c r="L103" s="68">
        <v>46022</v>
      </c>
      <c r="M103" s="68">
        <v>46203</v>
      </c>
      <c r="N103" s="69">
        <f t="shared" si="0"/>
        <v>696</v>
      </c>
      <c r="O103" s="69">
        <f t="shared" si="1"/>
        <v>-3</v>
      </c>
      <c r="P103" s="70">
        <v>9</v>
      </c>
      <c r="Q103" s="70">
        <v>708</v>
      </c>
      <c r="R103" s="70">
        <v>705</v>
      </c>
      <c r="S103" s="68" t="str">
        <f t="shared" si="2"/>
        <v/>
      </c>
      <c r="T103" s="68"/>
      <c r="U103" s="68"/>
      <c r="V103" s="68"/>
      <c r="W103" s="9"/>
      <c r="X103" s="10"/>
      <c r="Y103" s="71">
        <f t="shared" si="3"/>
        <v>708</v>
      </c>
      <c r="Z103" s="73">
        <f t="shared" si="4"/>
        <v>705</v>
      </c>
      <c r="AA103" s="11" t="str">
        <f t="shared" si="5"/>
        <v/>
      </c>
      <c r="AB103" s="73">
        <f t="shared" si="6"/>
        <v>696</v>
      </c>
      <c r="AC103" s="11" t="str">
        <f t="shared" si="7"/>
        <v/>
      </c>
      <c r="AD103" s="73">
        <f t="shared" si="8"/>
        <v>-3</v>
      </c>
      <c r="AE103" s="11" t="str">
        <f t="shared" si="9"/>
        <v/>
      </c>
      <c r="AF103" s="73">
        <f t="shared" si="10"/>
        <v>696.00010299999997</v>
      </c>
      <c r="AG103" s="11" t="str">
        <f t="shared" si="11"/>
        <v/>
      </c>
      <c r="AH103" s="73">
        <f t="shared" si="12"/>
        <v>-2.9998969999999998</v>
      </c>
    </row>
    <row r="104" spans="1:34" ht="14.25" customHeight="1">
      <c r="A104" s="11">
        <v>89</v>
      </c>
      <c r="B104" s="66"/>
      <c r="C104" s="67"/>
      <c r="D104" s="67"/>
      <c r="E104" s="67"/>
      <c r="F104" s="67"/>
      <c r="G104" s="67" t="s">
        <v>35</v>
      </c>
      <c r="H104" s="67">
        <v>42324</v>
      </c>
      <c r="I104" s="6" t="s">
        <v>635</v>
      </c>
      <c r="J104" s="9">
        <v>1198706425</v>
      </c>
      <c r="K104" s="68">
        <v>42308</v>
      </c>
      <c r="L104" s="68">
        <v>46022</v>
      </c>
      <c r="M104" s="68">
        <v>46203</v>
      </c>
      <c r="N104" s="69">
        <f t="shared" si="0"/>
        <v>36</v>
      </c>
      <c r="O104" s="69">
        <f t="shared" si="1"/>
        <v>-3</v>
      </c>
      <c r="P104" s="70">
        <v>3</v>
      </c>
      <c r="Q104" s="70">
        <v>42</v>
      </c>
      <c r="R104" s="70">
        <v>39</v>
      </c>
      <c r="S104" s="68" t="str">
        <f t="shared" si="2"/>
        <v/>
      </c>
      <c r="T104" s="68"/>
      <c r="U104" s="68"/>
      <c r="V104" s="68"/>
      <c r="W104" s="9"/>
      <c r="X104" s="10"/>
      <c r="Y104" s="71">
        <f t="shared" si="3"/>
        <v>42</v>
      </c>
      <c r="Z104" s="73">
        <f t="shared" si="4"/>
        <v>39</v>
      </c>
      <c r="AA104" s="11" t="str">
        <f t="shared" si="5"/>
        <v/>
      </c>
      <c r="AB104" s="73">
        <f t="shared" si="6"/>
        <v>36</v>
      </c>
      <c r="AC104" s="11" t="str">
        <f t="shared" si="7"/>
        <v/>
      </c>
      <c r="AD104" s="73">
        <f t="shared" si="8"/>
        <v>-3</v>
      </c>
      <c r="AE104" s="11" t="str">
        <f t="shared" si="9"/>
        <v/>
      </c>
      <c r="AF104" s="73">
        <f t="shared" si="10"/>
        <v>36.000104</v>
      </c>
      <c r="AG104" s="11" t="str">
        <f t="shared" si="11"/>
        <v/>
      </c>
      <c r="AH104" s="73">
        <f t="shared" si="12"/>
        <v>-2.9998960000000001</v>
      </c>
    </row>
    <row r="105" spans="1:34" ht="14.25" customHeight="1">
      <c r="A105" s="11">
        <v>90</v>
      </c>
      <c r="B105" s="66"/>
      <c r="C105" s="67"/>
      <c r="D105" s="67"/>
      <c r="E105" s="67"/>
      <c r="F105" s="67"/>
      <c r="G105" s="67" t="s">
        <v>35</v>
      </c>
      <c r="H105" s="67">
        <v>45163</v>
      </c>
      <c r="I105" s="6" t="s">
        <v>636</v>
      </c>
      <c r="J105" s="9">
        <v>1198803046</v>
      </c>
      <c r="K105" s="68">
        <v>45138</v>
      </c>
      <c r="L105" s="68">
        <v>46022</v>
      </c>
      <c r="M105" s="68">
        <v>46203</v>
      </c>
      <c r="N105" s="69">
        <f t="shared" si="0"/>
        <v>29</v>
      </c>
      <c r="O105" s="69">
        <f t="shared" si="1"/>
        <v>8</v>
      </c>
      <c r="P105" s="70">
        <v>0</v>
      </c>
      <c r="Q105" s="70">
        <v>21</v>
      </c>
      <c r="R105" s="70">
        <v>29</v>
      </c>
      <c r="S105" s="68" t="str">
        <f t="shared" si="2"/>
        <v/>
      </c>
      <c r="T105" s="68"/>
      <c r="U105" s="68"/>
      <c r="V105" s="68"/>
      <c r="W105" s="9"/>
      <c r="X105" s="10"/>
      <c r="Y105" s="71">
        <f t="shared" si="3"/>
        <v>21</v>
      </c>
      <c r="Z105" s="73">
        <f t="shared" si="4"/>
        <v>29</v>
      </c>
      <c r="AA105" s="11" t="str">
        <f t="shared" si="5"/>
        <v/>
      </c>
      <c r="AB105" s="73">
        <f t="shared" si="6"/>
        <v>29</v>
      </c>
      <c r="AC105" s="11" t="str">
        <f t="shared" si="7"/>
        <v/>
      </c>
      <c r="AD105" s="73">
        <f t="shared" si="8"/>
        <v>8</v>
      </c>
      <c r="AE105" s="11" t="str">
        <f t="shared" si="9"/>
        <v/>
      </c>
      <c r="AF105" s="73">
        <f t="shared" si="10"/>
        <v>29.000105000000001</v>
      </c>
      <c r="AG105" s="11" t="str">
        <f t="shared" si="11"/>
        <v/>
      </c>
      <c r="AH105" s="73">
        <f t="shared" si="12"/>
        <v>8.0001049999999996</v>
      </c>
    </row>
    <row r="106" spans="1:34" ht="14.25" customHeight="1">
      <c r="A106" s="11">
        <v>91</v>
      </c>
      <c r="B106" s="66" t="s">
        <v>35</v>
      </c>
      <c r="C106" s="67">
        <v>42887</v>
      </c>
      <c r="D106" s="67"/>
      <c r="E106" s="67"/>
      <c r="F106" s="67"/>
      <c r="G106" s="67"/>
      <c r="H106" s="67"/>
      <c r="I106" s="6" t="s">
        <v>637</v>
      </c>
      <c r="J106" s="9">
        <v>1201217259</v>
      </c>
      <c r="K106" s="68">
        <v>42886</v>
      </c>
      <c r="L106" s="68">
        <v>46022</v>
      </c>
      <c r="M106" s="68">
        <v>46203</v>
      </c>
      <c r="N106" s="69">
        <f t="shared" si="0"/>
        <v>0</v>
      </c>
      <c r="O106" s="69">
        <f t="shared" si="1"/>
        <v>0</v>
      </c>
      <c r="P106" s="70">
        <v>0</v>
      </c>
      <c r="Q106" s="70">
        <v>0</v>
      </c>
      <c r="R106" s="70">
        <v>0</v>
      </c>
      <c r="S106" s="68" t="str">
        <f t="shared" si="2"/>
        <v/>
      </c>
      <c r="T106" s="68"/>
      <c r="U106" s="68"/>
      <c r="V106" s="68"/>
      <c r="W106" s="9"/>
      <c r="X106" s="10" t="s">
        <v>638</v>
      </c>
      <c r="Y106" s="71">
        <f t="shared" si="3"/>
        <v>0</v>
      </c>
      <c r="Z106" s="73">
        <f t="shared" si="4"/>
        <v>0</v>
      </c>
      <c r="AA106" s="73">
        <f t="shared" si="5"/>
        <v>0</v>
      </c>
      <c r="AB106" s="11" t="str">
        <f t="shared" si="6"/>
        <v/>
      </c>
      <c r="AC106" s="73">
        <f t="shared" si="7"/>
        <v>0</v>
      </c>
      <c r="AD106" s="11" t="str">
        <f t="shared" si="8"/>
        <v/>
      </c>
      <c r="AE106" s="73">
        <f t="shared" si="9"/>
        <v>1.06E-4</v>
      </c>
      <c r="AF106" s="11" t="str">
        <f t="shared" si="10"/>
        <v/>
      </c>
      <c r="AG106" s="73">
        <f t="shared" si="11"/>
        <v>1.06E-4</v>
      </c>
      <c r="AH106" s="11" t="str">
        <f t="shared" si="12"/>
        <v/>
      </c>
    </row>
    <row r="107" spans="1:34" ht="14.25" customHeight="1">
      <c r="A107" s="11">
        <v>92</v>
      </c>
      <c r="B107" s="66"/>
      <c r="C107" s="67"/>
      <c r="D107" s="67"/>
      <c r="E107" s="67"/>
      <c r="F107" s="67"/>
      <c r="G107" s="67" t="s">
        <v>35</v>
      </c>
      <c r="H107" s="67">
        <v>44412</v>
      </c>
      <c r="I107" s="6" t="s">
        <v>639</v>
      </c>
      <c r="J107" s="9">
        <v>1208759505</v>
      </c>
      <c r="K107" s="68">
        <v>44408</v>
      </c>
      <c r="L107" s="68">
        <v>46022</v>
      </c>
      <c r="M107" s="68">
        <v>46203</v>
      </c>
      <c r="N107" s="69">
        <f t="shared" si="0"/>
        <v>4</v>
      </c>
      <c r="O107" s="69">
        <f t="shared" si="1"/>
        <v>-19</v>
      </c>
      <c r="P107" s="70">
        <v>44</v>
      </c>
      <c r="Q107" s="70">
        <v>67</v>
      </c>
      <c r="R107" s="70">
        <v>48</v>
      </c>
      <c r="S107" s="68" t="str">
        <f t="shared" si="2"/>
        <v/>
      </c>
      <c r="T107" s="68"/>
      <c r="U107" s="68"/>
      <c r="V107" s="68"/>
      <c r="W107" s="9"/>
      <c r="X107" s="10"/>
      <c r="Y107" s="71">
        <f t="shared" si="3"/>
        <v>67</v>
      </c>
      <c r="Z107" s="73">
        <f t="shared" si="4"/>
        <v>48</v>
      </c>
      <c r="AA107" s="11" t="str">
        <f t="shared" si="5"/>
        <v/>
      </c>
      <c r="AB107" s="73">
        <f t="shared" si="6"/>
        <v>4</v>
      </c>
      <c r="AC107" s="11" t="str">
        <f t="shared" si="7"/>
        <v/>
      </c>
      <c r="AD107" s="73">
        <f t="shared" si="8"/>
        <v>-19</v>
      </c>
      <c r="AE107" s="11" t="str">
        <f t="shared" si="9"/>
        <v/>
      </c>
      <c r="AF107" s="73">
        <f t="shared" si="10"/>
        <v>4.0001069999999999</v>
      </c>
      <c r="AG107" s="11" t="str">
        <f t="shared" si="11"/>
        <v/>
      </c>
      <c r="AH107" s="73">
        <f t="shared" si="12"/>
        <v>-18.999893</v>
      </c>
    </row>
    <row r="108" spans="1:34" ht="14.25" customHeight="1">
      <c r="A108" s="11">
        <v>93</v>
      </c>
      <c r="B108" s="66"/>
      <c r="C108" s="67"/>
      <c r="D108" s="67"/>
      <c r="E108" s="67"/>
      <c r="F108" s="67"/>
      <c r="G108" s="67" t="s">
        <v>35</v>
      </c>
      <c r="H108" s="67">
        <v>42450</v>
      </c>
      <c r="I108" s="6" t="s">
        <v>640</v>
      </c>
      <c r="J108" s="9">
        <v>1208759693</v>
      </c>
      <c r="K108" s="68">
        <v>42429</v>
      </c>
      <c r="L108" s="68">
        <v>46022</v>
      </c>
      <c r="M108" s="68">
        <v>46203</v>
      </c>
      <c r="N108" s="69">
        <f t="shared" si="0"/>
        <v>4</v>
      </c>
      <c r="O108" s="69">
        <f t="shared" si="1"/>
        <v>-1</v>
      </c>
      <c r="P108" s="70">
        <v>5</v>
      </c>
      <c r="Q108" s="70">
        <v>10</v>
      </c>
      <c r="R108" s="70">
        <v>9</v>
      </c>
      <c r="S108" s="68" t="str">
        <f t="shared" si="2"/>
        <v/>
      </c>
      <c r="T108" s="68"/>
      <c r="U108" s="68"/>
      <c r="V108" s="68"/>
      <c r="W108" s="9"/>
      <c r="X108" s="10"/>
      <c r="Y108" s="71">
        <f t="shared" si="3"/>
        <v>10</v>
      </c>
      <c r="Z108" s="73">
        <f t="shared" si="4"/>
        <v>9</v>
      </c>
      <c r="AA108" s="11" t="str">
        <f t="shared" si="5"/>
        <v/>
      </c>
      <c r="AB108" s="73">
        <f t="shared" si="6"/>
        <v>4</v>
      </c>
      <c r="AC108" s="11" t="str">
        <f t="shared" si="7"/>
        <v/>
      </c>
      <c r="AD108" s="73">
        <f t="shared" si="8"/>
        <v>-1</v>
      </c>
      <c r="AE108" s="11" t="str">
        <f t="shared" si="9"/>
        <v/>
      </c>
      <c r="AF108" s="73">
        <f t="shared" si="10"/>
        <v>4.000108</v>
      </c>
      <c r="AG108" s="11" t="str">
        <f t="shared" si="11"/>
        <v/>
      </c>
      <c r="AH108" s="73">
        <f t="shared" si="12"/>
        <v>-0.999892</v>
      </c>
    </row>
    <row r="109" spans="1:34" ht="14.25" customHeight="1">
      <c r="A109" s="11">
        <v>94</v>
      </c>
      <c r="B109" s="66"/>
      <c r="C109" s="67"/>
      <c r="D109" s="67"/>
      <c r="E109" s="67"/>
      <c r="F109" s="67"/>
      <c r="G109" s="67" t="s">
        <v>35</v>
      </c>
      <c r="H109" s="67">
        <v>41864</v>
      </c>
      <c r="I109" s="6" t="s">
        <v>641</v>
      </c>
      <c r="J109" s="9">
        <v>1208761559</v>
      </c>
      <c r="K109" s="68">
        <v>41851</v>
      </c>
      <c r="L109" s="68">
        <v>46022</v>
      </c>
      <c r="M109" s="68">
        <v>46203</v>
      </c>
      <c r="N109" s="69">
        <f t="shared" si="0"/>
        <v>214</v>
      </c>
      <c r="O109" s="69">
        <f t="shared" si="1"/>
        <v>1</v>
      </c>
      <c r="P109" s="70">
        <v>16</v>
      </c>
      <c r="Q109" s="70">
        <v>229</v>
      </c>
      <c r="R109" s="70">
        <v>230</v>
      </c>
      <c r="S109" s="68" t="str">
        <f t="shared" si="2"/>
        <v/>
      </c>
      <c r="T109" s="68"/>
      <c r="U109" s="68"/>
      <c r="V109" s="68"/>
      <c r="W109" s="9"/>
      <c r="X109" s="10"/>
      <c r="Y109" s="71">
        <f t="shared" si="3"/>
        <v>229</v>
      </c>
      <c r="Z109" s="73">
        <f t="shared" si="4"/>
        <v>230</v>
      </c>
      <c r="AA109" s="11" t="str">
        <f t="shared" si="5"/>
        <v/>
      </c>
      <c r="AB109" s="73">
        <f t="shared" si="6"/>
        <v>214</v>
      </c>
      <c r="AC109" s="11" t="str">
        <f t="shared" si="7"/>
        <v/>
      </c>
      <c r="AD109" s="73">
        <f t="shared" si="8"/>
        <v>1</v>
      </c>
      <c r="AE109" s="11" t="str">
        <f t="shared" si="9"/>
        <v/>
      </c>
      <c r="AF109" s="73">
        <f t="shared" si="10"/>
        <v>214.00010900000001</v>
      </c>
      <c r="AG109" s="11" t="str">
        <f t="shared" si="11"/>
        <v/>
      </c>
      <c r="AH109" s="73">
        <f t="shared" si="12"/>
        <v>1.0001089999999999</v>
      </c>
    </row>
    <row r="110" spans="1:34" ht="14.25" customHeight="1">
      <c r="A110" s="11">
        <v>95</v>
      </c>
      <c r="B110" s="66"/>
      <c r="C110" s="67"/>
      <c r="D110" s="67"/>
      <c r="E110" s="67"/>
      <c r="F110" s="67"/>
      <c r="G110" s="67" t="s">
        <v>35</v>
      </c>
      <c r="H110" s="67">
        <v>41465</v>
      </c>
      <c r="I110" s="6" t="s">
        <v>642</v>
      </c>
      <c r="J110" s="9">
        <v>1208765763</v>
      </c>
      <c r="K110" s="68">
        <v>41455</v>
      </c>
      <c r="L110" s="68">
        <v>46022</v>
      </c>
      <c r="M110" s="68">
        <v>46203</v>
      </c>
      <c r="N110" s="69">
        <f t="shared" si="0"/>
        <v>2058</v>
      </c>
      <c r="O110" s="69">
        <f t="shared" si="1"/>
        <v>-24</v>
      </c>
      <c r="P110" s="70">
        <v>77</v>
      </c>
      <c r="Q110" s="70">
        <v>2159</v>
      </c>
      <c r="R110" s="70">
        <v>2135</v>
      </c>
      <c r="S110" s="68" t="str">
        <f t="shared" si="2"/>
        <v/>
      </c>
      <c r="T110" s="68"/>
      <c r="U110" s="68"/>
      <c r="V110" s="68"/>
      <c r="W110" s="9"/>
      <c r="X110" s="10"/>
      <c r="Y110" s="71">
        <f t="shared" si="3"/>
        <v>2159</v>
      </c>
      <c r="Z110" s="73">
        <f t="shared" si="4"/>
        <v>2135</v>
      </c>
      <c r="AA110" s="11" t="str">
        <f t="shared" si="5"/>
        <v/>
      </c>
      <c r="AB110" s="73">
        <f t="shared" si="6"/>
        <v>2058</v>
      </c>
      <c r="AC110" s="11" t="str">
        <f t="shared" si="7"/>
        <v/>
      </c>
      <c r="AD110" s="73">
        <f t="shared" si="8"/>
        <v>-24</v>
      </c>
      <c r="AE110" s="11" t="str">
        <f t="shared" si="9"/>
        <v/>
      </c>
      <c r="AF110" s="73">
        <f t="shared" si="10"/>
        <v>2058.0001099999999</v>
      </c>
      <c r="AG110" s="11" t="str">
        <f t="shared" si="11"/>
        <v/>
      </c>
      <c r="AH110" s="73">
        <f t="shared" si="12"/>
        <v>-23.999890000000001</v>
      </c>
    </row>
    <row r="111" spans="1:34" ht="14.25" customHeight="1">
      <c r="A111" s="11">
        <v>96</v>
      </c>
      <c r="B111" s="66"/>
      <c r="C111" s="67"/>
      <c r="D111" s="67"/>
      <c r="E111" s="67"/>
      <c r="F111" s="67"/>
      <c r="G111" s="67" t="s">
        <v>35</v>
      </c>
      <c r="H111" s="67">
        <v>43266</v>
      </c>
      <c r="I111" s="6" t="s">
        <v>643</v>
      </c>
      <c r="J111" s="9">
        <v>1208771630</v>
      </c>
      <c r="K111" s="68">
        <v>43251</v>
      </c>
      <c r="L111" s="68">
        <v>46022</v>
      </c>
      <c r="M111" s="68">
        <v>46203</v>
      </c>
      <c r="N111" s="69">
        <f t="shared" si="0"/>
        <v>0</v>
      </c>
      <c r="O111" s="69">
        <f t="shared" si="1"/>
        <v>-22</v>
      </c>
      <c r="P111" s="70">
        <v>31</v>
      </c>
      <c r="Q111" s="70">
        <v>53</v>
      </c>
      <c r="R111" s="70">
        <v>31</v>
      </c>
      <c r="S111" s="68" t="str">
        <f t="shared" si="2"/>
        <v/>
      </c>
      <c r="T111" s="68"/>
      <c r="U111" s="68"/>
      <c r="V111" s="68"/>
      <c r="W111" s="9"/>
      <c r="X111" s="10"/>
      <c r="Y111" s="71">
        <f t="shared" si="3"/>
        <v>53</v>
      </c>
      <c r="Z111" s="73">
        <f t="shared" si="4"/>
        <v>31</v>
      </c>
      <c r="AA111" s="11" t="str">
        <f t="shared" si="5"/>
        <v/>
      </c>
      <c r="AB111" s="73">
        <f t="shared" si="6"/>
        <v>0</v>
      </c>
      <c r="AC111" s="11" t="str">
        <f t="shared" si="7"/>
        <v/>
      </c>
      <c r="AD111" s="73">
        <f t="shared" si="8"/>
        <v>-22</v>
      </c>
      <c r="AE111" s="11" t="str">
        <f t="shared" si="9"/>
        <v/>
      </c>
      <c r="AF111" s="73">
        <f t="shared" si="10"/>
        <v>1.11E-4</v>
      </c>
      <c r="AG111" s="11" t="str">
        <f t="shared" si="11"/>
        <v/>
      </c>
      <c r="AH111" s="73">
        <f t="shared" si="12"/>
        <v>-21.999889</v>
      </c>
    </row>
    <row r="112" spans="1:34" ht="14.25" customHeight="1">
      <c r="A112" s="11">
        <v>97</v>
      </c>
      <c r="B112" s="66"/>
      <c r="C112" s="67"/>
      <c r="D112" s="67"/>
      <c r="E112" s="67"/>
      <c r="F112" s="67"/>
      <c r="G112" s="67" t="s">
        <v>35</v>
      </c>
      <c r="H112" s="67">
        <v>41791</v>
      </c>
      <c r="I112" s="6" t="s">
        <v>644</v>
      </c>
      <c r="J112" s="9">
        <v>1208792182</v>
      </c>
      <c r="K112" s="68">
        <v>41790</v>
      </c>
      <c r="L112" s="68">
        <v>46022</v>
      </c>
      <c r="M112" s="68">
        <v>46203</v>
      </c>
      <c r="N112" s="69">
        <f t="shared" si="0"/>
        <v>8</v>
      </c>
      <c r="O112" s="69">
        <f t="shared" si="1"/>
        <v>-74</v>
      </c>
      <c r="P112" s="70">
        <v>5</v>
      </c>
      <c r="Q112" s="70">
        <v>87</v>
      </c>
      <c r="R112" s="70">
        <v>13</v>
      </c>
      <c r="S112" s="68" t="str">
        <f t="shared" si="2"/>
        <v/>
      </c>
      <c r="T112" s="68"/>
      <c r="U112" s="68"/>
      <c r="V112" s="68"/>
      <c r="W112" s="9"/>
      <c r="X112" s="10"/>
      <c r="Y112" s="71">
        <f t="shared" si="3"/>
        <v>87</v>
      </c>
      <c r="Z112" s="73">
        <f t="shared" si="4"/>
        <v>13</v>
      </c>
      <c r="AA112" s="11" t="str">
        <f t="shared" si="5"/>
        <v/>
      </c>
      <c r="AB112" s="73">
        <f t="shared" si="6"/>
        <v>8</v>
      </c>
      <c r="AC112" s="11" t="str">
        <f t="shared" si="7"/>
        <v/>
      </c>
      <c r="AD112" s="73">
        <f t="shared" si="8"/>
        <v>-74</v>
      </c>
      <c r="AE112" s="11" t="str">
        <f t="shared" si="9"/>
        <v/>
      </c>
      <c r="AF112" s="73">
        <f t="shared" si="10"/>
        <v>8.0001119999999997</v>
      </c>
      <c r="AG112" s="11" t="str">
        <f t="shared" si="11"/>
        <v/>
      </c>
      <c r="AH112" s="73">
        <f t="shared" si="12"/>
        <v>-73.999887999999999</v>
      </c>
    </row>
    <row r="113" spans="1:34" ht="14.25" customHeight="1">
      <c r="A113" s="11">
        <v>98</v>
      </c>
      <c r="B113" s="66"/>
      <c r="C113" s="67"/>
      <c r="D113" s="67"/>
      <c r="E113" s="67"/>
      <c r="F113" s="67"/>
      <c r="G113" s="67" t="s">
        <v>35</v>
      </c>
      <c r="H113" s="67">
        <v>42277</v>
      </c>
      <c r="I113" s="6" t="s">
        <v>645</v>
      </c>
      <c r="J113" s="9">
        <v>1208793560</v>
      </c>
      <c r="K113" s="68">
        <v>42247</v>
      </c>
      <c r="L113" s="68">
        <v>46022</v>
      </c>
      <c r="M113" s="68">
        <v>46203</v>
      </c>
      <c r="N113" s="69">
        <f t="shared" si="0"/>
        <v>75</v>
      </c>
      <c r="O113" s="69">
        <f t="shared" si="1"/>
        <v>-1</v>
      </c>
      <c r="P113" s="70">
        <v>38</v>
      </c>
      <c r="Q113" s="70">
        <v>114</v>
      </c>
      <c r="R113" s="70">
        <v>113</v>
      </c>
      <c r="S113" s="68" t="str">
        <f t="shared" si="2"/>
        <v/>
      </c>
      <c r="T113" s="68"/>
      <c r="U113" s="68"/>
      <c r="V113" s="68"/>
      <c r="W113" s="9"/>
      <c r="X113" s="10"/>
      <c r="Y113" s="71">
        <f t="shared" si="3"/>
        <v>114</v>
      </c>
      <c r="Z113" s="73">
        <f t="shared" si="4"/>
        <v>113</v>
      </c>
      <c r="AA113" s="11" t="str">
        <f t="shared" si="5"/>
        <v/>
      </c>
      <c r="AB113" s="73">
        <f t="shared" si="6"/>
        <v>75</v>
      </c>
      <c r="AC113" s="11" t="str">
        <f t="shared" si="7"/>
        <v/>
      </c>
      <c r="AD113" s="73">
        <f t="shared" si="8"/>
        <v>-1</v>
      </c>
      <c r="AE113" s="11" t="str">
        <f t="shared" si="9"/>
        <v/>
      </c>
      <c r="AF113" s="73">
        <f t="shared" si="10"/>
        <v>75.000112999999999</v>
      </c>
      <c r="AG113" s="11" t="str">
        <f t="shared" si="11"/>
        <v/>
      </c>
      <c r="AH113" s="73">
        <f t="shared" si="12"/>
        <v>-0.99988699999999997</v>
      </c>
    </row>
    <row r="114" spans="1:34" ht="14.25" customHeight="1">
      <c r="A114" s="11">
        <v>99</v>
      </c>
      <c r="B114" s="66"/>
      <c r="C114" s="67"/>
      <c r="D114" s="67"/>
      <c r="E114" s="67"/>
      <c r="F114" s="67"/>
      <c r="G114" s="67" t="s">
        <v>24</v>
      </c>
      <c r="H114" s="67">
        <v>41757</v>
      </c>
      <c r="I114" s="6" t="s">
        <v>646</v>
      </c>
      <c r="J114" s="9">
        <v>1208795587</v>
      </c>
      <c r="K114" s="68">
        <v>41729</v>
      </c>
      <c r="L114" s="68" t="s">
        <v>230</v>
      </c>
      <c r="M114" s="68">
        <v>42766</v>
      </c>
      <c r="N114" s="69">
        <f t="shared" si="0"/>
        <v>-7</v>
      </c>
      <c r="O114" s="69" t="str">
        <f t="shared" si="1"/>
        <v>N/A</v>
      </c>
      <c r="P114" s="70">
        <v>7</v>
      </c>
      <c r="Q114" s="70"/>
      <c r="R114" s="70">
        <v>0</v>
      </c>
      <c r="S114" s="68">
        <f t="shared" si="2"/>
        <v>42754</v>
      </c>
      <c r="T114" s="68">
        <v>42754</v>
      </c>
      <c r="U114" s="68"/>
      <c r="V114" s="68"/>
      <c r="W114" s="9"/>
      <c r="X114" s="10"/>
      <c r="Y114" s="65" t="str">
        <f t="shared" si="3"/>
        <v/>
      </c>
      <c r="Z114" s="11" t="str">
        <f t="shared" si="4"/>
        <v/>
      </c>
      <c r="AA114" s="11" t="str">
        <f t="shared" si="5"/>
        <v/>
      </c>
      <c r="AB114" s="73">
        <f t="shared" si="6"/>
        <v>-7</v>
      </c>
      <c r="AC114" s="11" t="str">
        <f t="shared" si="7"/>
        <v/>
      </c>
      <c r="AD114" s="11" t="str">
        <f t="shared" si="8"/>
        <v/>
      </c>
      <c r="AE114" s="11" t="str">
        <f t="shared" si="9"/>
        <v/>
      </c>
      <c r="AF114" s="73">
        <f t="shared" si="10"/>
        <v>-6.9998860000000001</v>
      </c>
      <c r="AG114" s="11" t="str">
        <f t="shared" si="11"/>
        <v/>
      </c>
      <c r="AH114" s="11" t="str">
        <f t="shared" si="12"/>
        <v/>
      </c>
    </row>
    <row r="115" spans="1:34" ht="14.25" customHeight="1">
      <c r="A115" s="11">
        <v>100</v>
      </c>
      <c r="B115" s="66"/>
      <c r="C115" s="67"/>
      <c r="D115" s="67"/>
      <c r="E115" s="67"/>
      <c r="F115" s="67"/>
      <c r="G115" s="67" t="s">
        <v>24</v>
      </c>
      <c r="H115" s="67">
        <v>42482</v>
      </c>
      <c r="I115" s="6" t="s">
        <v>647</v>
      </c>
      <c r="J115" s="9">
        <v>1208799526</v>
      </c>
      <c r="K115" s="68">
        <v>42460</v>
      </c>
      <c r="L115" s="68" t="s">
        <v>230</v>
      </c>
      <c r="M115" s="68">
        <v>44985</v>
      </c>
      <c r="N115" s="69">
        <f t="shared" si="0"/>
        <v>-41</v>
      </c>
      <c r="O115" s="69" t="str">
        <f t="shared" si="1"/>
        <v>N/A</v>
      </c>
      <c r="P115" s="70">
        <v>41</v>
      </c>
      <c r="Q115" s="70"/>
      <c r="R115" s="70">
        <v>0</v>
      </c>
      <c r="S115" s="68">
        <f t="shared" si="2"/>
        <v>44978</v>
      </c>
      <c r="T115" s="68">
        <v>44978</v>
      </c>
      <c r="U115" s="68"/>
      <c r="V115" s="68"/>
      <c r="W115" s="9"/>
      <c r="X115" s="10"/>
      <c r="Y115" s="65" t="str">
        <f t="shared" si="3"/>
        <v/>
      </c>
      <c r="Z115" s="11" t="str">
        <f t="shared" si="4"/>
        <v/>
      </c>
      <c r="AA115" s="11" t="str">
        <f t="shared" si="5"/>
        <v/>
      </c>
      <c r="AB115" s="73">
        <f t="shared" si="6"/>
        <v>-41</v>
      </c>
      <c r="AC115" s="11" t="str">
        <f t="shared" si="7"/>
        <v/>
      </c>
      <c r="AD115" s="11" t="str">
        <f t="shared" si="8"/>
        <v/>
      </c>
      <c r="AE115" s="11" t="str">
        <f t="shared" si="9"/>
        <v/>
      </c>
      <c r="AF115" s="73">
        <f t="shared" si="10"/>
        <v>-40.999884999999999</v>
      </c>
      <c r="AG115" s="11" t="str">
        <f t="shared" si="11"/>
        <v/>
      </c>
      <c r="AH115" s="11" t="str">
        <f t="shared" si="12"/>
        <v/>
      </c>
    </row>
    <row r="116" spans="1:34" ht="14.25" customHeight="1">
      <c r="A116" s="11">
        <v>101</v>
      </c>
      <c r="B116" s="66"/>
      <c r="C116" s="67"/>
      <c r="D116" s="67"/>
      <c r="E116" s="67"/>
      <c r="F116" s="67"/>
      <c r="G116" s="67" t="s">
        <v>35</v>
      </c>
      <c r="H116" s="67">
        <v>41859</v>
      </c>
      <c r="I116" s="6" t="s">
        <v>648</v>
      </c>
      <c r="J116" s="9">
        <v>1208801280</v>
      </c>
      <c r="K116" s="68">
        <v>41851</v>
      </c>
      <c r="L116" s="68">
        <v>46022</v>
      </c>
      <c r="M116" s="68">
        <v>46203</v>
      </c>
      <c r="N116" s="69">
        <f t="shared" si="0"/>
        <v>1779</v>
      </c>
      <c r="O116" s="69">
        <f t="shared" si="1"/>
        <v>-211</v>
      </c>
      <c r="P116" s="70">
        <v>5</v>
      </c>
      <c r="Q116" s="70">
        <v>1995</v>
      </c>
      <c r="R116" s="70">
        <v>1784</v>
      </c>
      <c r="S116" s="68" t="str">
        <f t="shared" si="2"/>
        <v/>
      </c>
      <c r="T116" s="68"/>
      <c r="U116" s="68"/>
      <c r="V116" s="68"/>
      <c r="W116" s="9"/>
      <c r="X116" s="10"/>
      <c r="Y116" s="71">
        <f t="shared" si="3"/>
        <v>1995</v>
      </c>
      <c r="Z116" s="73">
        <f t="shared" si="4"/>
        <v>1784</v>
      </c>
      <c r="AA116" s="11" t="str">
        <f t="shared" si="5"/>
        <v/>
      </c>
      <c r="AB116" s="73">
        <f t="shared" si="6"/>
        <v>1779</v>
      </c>
      <c r="AC116" s="11" t="str">
        <f t="shared" si="7"/>
        <v/>
      </c>
      <c r="AD116" s="73">
        <f t="shared" si="8"/>
        <v>-211</v>
      </c>
      <c r="AE116" s="11" t="str">
        <f t="shared" si="9"/>
        <v/>
      </c>
      <c r="AF116" s="73">
        <f t="shared" si="10"/>
        <v>1779.0001159999999</v>
      </c>
      <c r="AG116" s="11" t="str">
        <f t="shared" si="11"/>
        <v/>
      </c>
      <c r="AH116" s="73">
        <f t="shared" si="12"/>
        <v>-210.99988400000001</v>
      </c>
    </row>
    <row r="117" spans="1:34" ht="14.25" customHeight="1">
      <c r="A117" s="11">
        <v>102</v>
      </c>
      <c r="B117" s="66"/>
      <c r="C117" s="67"/>
      <c r="D117" s="67"/>
      <c r="E117" s="67"/>
      <c r="F117" s="67"/>
      <c r="G117" s="67" t="s">
        <v>35</v>
      </c>
      <c r="H117" s="67">
        <v>42165</v>
      </c>
      <c r="I117" s="6" t="s">
        <v>649</v>
      </c>
      <c r="J117" s="9">
        <v>1208805364</v>
      </c>
      <c r="K117" s="68">
        <v>42155</v>
      </c>
      <c r="L117" s="68">
        <v>46022</v>
      </c>
      <c r="M117" s="68">
        <v>46203</v>
      </c>
      <c r="N117" s="69">
        <f t="shared" si="0"/>
        <v>105</v>
      </c>
      <c r="O117" s="69">
        <f t="shared" si="1"/>
        <v>10</v>
      </c>
      <c r="P117" s="70">
        <v>10</v>
      </c>
      <c r="Q117" s="70">
        <v>105</v>
      </c>
      <c r="R117" s="70">
        <v>115</v>
      </c>
      <c r="S117" s="68" t="str">
        <f t="shared" si="2"/>
        <v/>
      </c>
      <c r="T117" s="68"/>
      <c r="U117" s="68"/>
      <c r="V117" s="68"/>
      <c r="W117" s="9"/>
      <c r="X117" s="10"/>
      <c r="Y117" s="71">
        <f t="shared" si="3"/>
        <v>105</v>
      </c>
      <c r="Z117" s="73">
        <f t="shared" si="4"/>
        <v>115</v>
      </c>
      <c r="AA117" s="11" t="str">
        <f t="shared" si="5"/>
        <v/>
      </c>
      <c r="AB117" s="73">
        <f t="shared" si="6"/>
        <v>105</v>
      </c>
      <c r="AC117" s="11" t="str">
        <f t="shared" si="7"/>
        <v/>
      </c>
      <c r="AD117" s="73">
        <f t="shared" si="8"/>
        <v>10</v>
      </c>
      <c r="AE117" s="11" t="str">
        <f t="shared" si="9"/>
        <v/>
      </c>
      <c r="AF117" s="73">
        <f t="shared" si="10"/>
        <v>105.000117</v>
      </c>
      <c r="AG117" s="11" t="str">
        <f t="shared" si="11"/>
        <v/>
      </c>
      <c r="AH117" s="73">
        <f t="shared" si="12"/>
        <v>10.000116999999999</v>
      </c>
    </row>
    <row r="118" spans="1:34" ht="14.25" customHeight="1">
      <c r="A118" s="11">
        <v>103</v>
      </c>
      <c r="B118" s="66" t="s">
        <v>35</v>
      </c>
      <c r="C118" s="67">
        <v>41791</v>
      </c>
      <c r="D118" s="67"/>
      <c r="E118" s="67"/>
      <c r="F118" s="67"/>
      <c r="G118" s="67"/>
      <c r="H118" s="67"/>
      <c r="I118" s="6" t="s">
        <v>650</v>
      </c>
      <c r="J118" s="9">
        <v>1208806475</v>
      </c>
      <c r="K118" s="68">
        <v>41790</v>
      </c>
      <c r="L118" s="68">
        <v>46022</v>
      </c>
      <c r="M118" s="68">
        <v>46203</v>
      </c>
      <c r="N118" s="69">
        <f t="shared" si="0"/>
        <v>0</v>
      </c>
      <c r="O118" s="69">
        <f t="shared" si="1"/>
        <v>0</v>
      </c>
      <c r="P118" s="70">
        <v>0</v>
      </c>
      <c r="Q118" s="70">
        <v>0</v>
      </c>
      <c r="R118" s="70">
        <v>0</v>
      </c>
      <c r="S118" s="68" t="str">
        <f t="shared" si="2"/>
        <v/>
      </c>
      <c r="T118" s="68"/>
      <c r="U118" s="68"/>
      <c r="V118" s="68"/>
      <c r="W118" s="9"/>
      <c r="X118" s="10" t="s">
        <v>651</v>
      </c>
      <c r="Y118" s="71">
        <f t="shared" si="3"/>
        <v>0</v>
      </c>
      <c r="Z118" s="73">
        <f t="shared" si="4"/>
        <v>0</v>
      </c>
      <c r="AA118" s="73">
        <f t="shared" si="5"/>
        <v>0</v>
      </c>
      <c r="AB118" s="11" t="str">
        <f t="shared" si="6"/>
        <v/>
      </c>
      <c r="AC118" s="73">
        <f t="shared" si="7"/>
        <v>0</v>
      </c>
      <c r="AD118" s="11" t="str">
        <f t="shared" si="8"/>
        <v/>
      </c>
      <c r="AE118" s="73">
        <f t="shared" si="9"/>
        <v>1.18E-4</v>
      </c>
      <c r="AF118" s="11" t="str">
        <f t="shared" si="10"/>
        <v/>
      </c>
      <c r="AG118" s="73">
        <f t="shared" si="11"/>
        <v>1.18E-4</v>
      </c>
      <c r="AH118" s="11" t="str">
        <f t="shared" si="12"/>
        <v/>
      </c>
    </row>
    <row r="119" spans="1:34" ht="14.25" customHeight="1">
      <c r="A119" s="11">
        <v>104</v>
      </c>
      <c r="B119" s="66"/>
      <c r="C119" s="67"/>
      <c r="D119" s="67"/>
      <c r="E119" s="67"/>
      <c r="F119" s="67"/>
      <c r="G119" s="67" t="s">
        <v>24</v>
      </c>
      <c r="H119" s="67">
        <v>42019</v>
      </c>
      <c r="I119" s="6" t="s">
        <v>653</v>
      </c>
      <c r="J119" s="9">
        <v>1208807421</v>
      </c>
      <c r="K119" s="68">
        <v>42004</v>
      </c>
      <c r="L119" s="68" t="s">
        <v>230</v>
      </c>
      <c r="M119" s="68">
        <v>43373</v>
      </c>
      <c r="N119" s="69">
        <f t="shared" si="0"/>
        <v>-4</v>
      </c>
      <c r="O119" s="69" t="str">
        <f t="shared" si="1"/>
        <v>N/A</v>
      </c>
      <c r="P119" s="70">
        <v>4</v>
      </c>
      <c r="Q119" s="70"/>
      <c r="R119" s="70">
        <v>0</v>
      </c>
      <c r="S119" s="68">
        <f t="shared" si="2"/>
        <v>43351</v>
      </c>
      <c r="T119" s="68">
        <v>43351</v>
      </c>
      <c r="U119" s="68"/>
      <c r="V119" s="68"/>
      <c r="W119" s="9"/>
      <c r="X119" s="10"/>
      <c r="Y119" s="65" t="str">
        <f t="shared" si="3"/>
        <v/>
      </c>
      <c r="Z119" s="11" t="str">
        <f t="shared" si="4"/>
        <v/>
      </c>
      <c r="AA119" s="11" t="str">
        <f t="shared" si="5"/>
        <v/>
      </c>
      <c r="AB119" s="73">
        <f t="shared" si="6"/>
        <v>-4</v>
      </c>
      <c r="AC119" s="11" t="str">
        <f t="shared" si="7"/>
        <v/>
      </c>
      <c r="AD119" s="11" t="str">
        <f t="shared" si="8"/>
        <v/>
      </c>
      <c r="AE119" s="11" t="str">
        <f t="shared" si="9"/>
        <v/>
      </c>
      <c r="AF119" s="73">
        <f t="shared" si="10"/>
        <v>-3.9998809999999998</v>
      </c>
      <c r="AG119" s="11" t="str">
        <f t="shared" si="11"/>
        <v/>
      </c>
      <c r="AH119" s="11" t="str">
        <f t="shared" si="12"/>
        <v/>
      </c>
    </row>
    <row r="120" spans="1:34" ht="14.25" customHeight="1">
      <c r="A120" s="11">
        <v>105</v>
      </c>
      <c r="B120" s="66"/>
      <c r="C120" s="67"/>
      <c r="D120" s="67"/>
      <c r="E120" s="67"/>
      <c r="F120" s="67"/>
      <c r="G120" s="67" t="s">
        <v>35</v>
      </c>
      <c r="H120" s="67">
        <v>41677</v>
      </c>
      <c r="I120" s="6" t="s">
        <v>656</v>
      </c>
      <c r="J120" s="9">
        <v>1208807834</v>
      </c>
      <c r="K120" s="68">
        <v>41670</v>
      </c>
      <c r="L120" s="68">
        <v>46022</v>
      </c>
      <c r="M120" s="68">
        <v>46203</v>
      </c>
      <c r="N120" s="69">
        <f t="shared" si="0"/>
        <v>2</v>
      </c>
      <c r="O120" s="69">
        <f t="shared" si="1"/>
        <v>2</v>
      </c>
      <c r="P120" s="70">
        <v>0</v>
      </c>
      <c r="Q120" s="70">
        <v>0</v>
      </c>
      <c r="R120" s="70">
        <v>2</v>
      </c>
      <c r="S120" s="68" t="str">
        <f t="shared" si="2"/>
        <v/>
      </c>
      <c r="T120" s="68"/>
      <c r="U120" s="68"/>
      <c r="V120" s="68"/>
      <c r="W120" s="9"/>
      <c r="X120" s="10"/>
      <c r="Y120" s="71">
        <f t="shared" si="3"/>
        <v>0</v>
      </c>
      <c r="Z120" s="73">
        <f t="shared" si="4"/>
        <v>2</v>
      </c>
      <c r="AA120" s="11" t="str">
        <f t="shared" si="5"/>
        <v/>
      </c>
      <c r="AB120" s="73">
        <f t="shared" si="6"/>
        <v>2</v>
      </c>
      <c r="AC120" s="11" t="str">
        <f t="shared" si="7"/>
        <v/>
      </c>
      <c r="AD120" s="73">
        <f t="shared" si="8"/>
        <v>2</v>
      </c>
      <c r="AE120" s="11" t="str">
        <f t="shared" si="9"/>
        <v/>
      </c>
      <c r="AF120" s="73">
        <f t="shared" si="10"/>
        <v>2.0001199999999999</v>
      </c>
      <c r="AG120" s="11" t="str">
        <f t="shared" si="11"/>
        <v/>
      </c>
      <c r="AH120" s="73">
        <f t="shared" si="12"/>
        <v>2.0001199999999999</v>
      </c>
    </row>
    <row r="121" spans="1:34" ht="14.25" customHeight="1">
      <c r="A121" s="11">
        <v>106</v>
      </c>
      <c r="B121" s="66"/>
      <c r="C121" s="67"/>
      <c r="D121" s="67"/>
      <c r="E121" s="67"/>
      <c r="F121" s="67"/>
      <c r="G121" s="67" t="s">
        <v>35</v>
      </c>
      <c r="H121" s="67">
        <v>43314</v>
      </c>
      <c r="I121" s="6" t="s">
        <v>659</v>
      </c>
      <c r="J121" s="9">
        <v>1208808982</v>
      </c>
      <c r="K121" s="68">
        <v>43312</v>
      </c>
      <c r="L121" s="68">
        <v>46022</v>
      </c>
      <c r="M121" s="68">
        <v>46203</v>
      </c>
      <c r="N121" s="69">
        <f t="shared" si="0"/>
        <v>2</v>
      </c>
      <c r="O121" s="69">
        <f t="shared" si="1"/>
        <v>-4</v>
      </c>
      <c r="P121" s="70">
        <v>24</v>
      </c>
      <c r="Q121" s="70">
        <v>30</v>
      </c>
      <c r="R121" s="70">
        <v>26</v>
      </c>
      <c r="S121" s="68" t="str">
        <f t="shared" si="2"/>
        <v/>
      </c>
      <c r="T121" s="68"/>
      <c r="U121" s="68"/>
      <c r="V121" s="68"/>
      <c r="W121" s="9"/>
      <c r="X121" s="10"/>
      <c r="Y121" s="71">
        <f t="shared" si="3"/>
        <v>30</v>
      </c>
      <c r="Z121" s="73">
        <f t="shared" si="4"/>
        <v>26</v>
      </c>
      <c r="AA121" s="11" t="str">
        <f t="shared" si="5"/>
        <v/>
      </c>
      <c r="AB121" s="73">
        <f t="shared" si="6"/>
        <v>2</v>
      </c>
      <c r="AC121" s="11" t="str">
        <f t="shared" si="7"/>
        <v/>
      </c>
      <c r="AD121" s="73">
        <f t="shared" si="8"/>
        <v>-4</v>
      </c>
      <c r="AE121" s="11" t="str">
        <f t="shared" si="9"/>
        <v/>
      </c>
      <c r="AF121" s="73">
        <f t="shared" si="10"/>
        <v>2.000121</v>
      </c>
      <c r="AG121" s="11" t="str">
        <f t="shared" si="11"/>
        <v/>
      </c>
      <c r="AH121" s="73">
        <f t="shared" si="12"/>
        <v>-3.999879</v>
      </c>
    </row>
    <row r="122" spans="1:34" ht="14.25" customHeight="1">
      <c r="A122" s="11">
        <v>107</v>
      </c>
      <c r="B122" s="66"/>
      <c r="C122" s="67"/>
      <c r="D122" s="67"/>
      <c r="E122" s="67"/>
      <c r="F122" s="67"/>
      <c r="G122" s="67" t="s">
        <v>35</v>
      </c>
      <c r="H122" s="67">
        <v>42216</v>
      </c>
      <c r="I122" s="6" t="s">
        <v>663</v>
      </c>
      <c r="J122" s="9">
        <v>1208809958</v>
      </c>
      <c r="K122" s="68">
        <v>42185</v>
      </c>
      <c r="L122" s="68">
        <v>46022</v>
      </c>
      <c r="M122" s="68">
        <v>46203</v>
      </c>
      <c r="N122" s="69">
        <f t="shared" si="0"/>
        <v>-6</v>
      </c>
      <c r="O122" s="69">
        <f t="shared" si="1"/>
        <v>0</v>
      </c>
      <c r="P122" s="70">
        <v>9</v>
      </c>
      <c r="Q122" s="70">
        <v>3</v>
      </c>
      <c r="R122" s="70">
        <v>3</v>
      </c>
      <c r="S122" s="68" t="str">
        <f t="shared" si="2"/>
        <v/>
      </c>
      <c r="T122" s="68"/>
      <c r="U122" s="68"/>
      <c r="V122" s="68"/>
      <c r="W122" s="9"/>
      <c r="X122" s="10"/>
      <c r="Y122" s="71">
        <f t="shared" si="3"/>
        <v>3</v>
      </c>
      <c r="Z122" s="73">
        <f t="shared" si="4"/>
        <v>3</v>
      </c>
      <c r="AA122" s="11" t="str">
        <f t="shared" si="5"/>
        <v/>
      </c>
      <c r="AB122" s="73">
        <f t="shared" si="6"/>
        <v>-6</v>
      </c>
      <c r="AC122" s="11" t="str">
        <f t="shared" si="7"/>
        <v/>
      </c>
      <c r="AD122" s="73">
        <f t="shared" si="8"/>
        <v>0</v>
      </c>
      <c r="AE122" s="11" t="str">
        <f t="shared" si="9"/>
        <v/>
      </c>
      <c r="AF122" s="73">
        <f t="shared" si="10"/>
        <v>-5.9998779999999998</v>
      </c>
      <c r="AG122" s="11" t="str">
        <f t="shared" si="11"/>
        <v/>
      </c>
      <c r="AH122" s="73">
        <f t="shared" si="12"/>
        <v>1.22E-4</v>
      </c>
    </row>
    <row r="123" spans="1:34" ht="14.25" customHeight="1">
      <c r="A123" s="11">
        <v>108</v>
      </c>
      <c r="B123" s="66"/>
      <c r="C123" s="67"/>
      <c r="D123" s="67"/>
      <c r="E123" s="67"/>
      <c r="F123" s="67"/>
      <c r="G123" s="67" t="s">
        <v>24</v>
      </c>
      <c r="H123" s="67">
        <v>41995</v>
      </c>
      <c r="I123" s="6" t="s">
        <v>667</v>
      </c>
      <c r="J123" s="9">
        <v>1208818364</v>
      </c>
      <c r="K123" s="68">
        <v>41973</v>
      </c>
      <c r="L123" s="68" t="s">
        <v>230</v>
      </c>
      <c r="M123" s="68">
        <v>44104</v>
      </c>
      <c r="N123" s="69">
        <f t="shared" si="0"/>
        <v>-1</v>
      </c>
      <c r="O123" s="69" t="str">
        <f t="shared" si="1"/>
        <v>N/A</v>
      </c>
      <c r="P123" s="70">
        <v>1</v>
      </c>
      <c r="Q123" s="70"/>
      <c r="R123" s="70">
        <v>0</v>
      </c>
      <c r="S123" s="68">
        <f t="shared" si="2"/>
        <v>44099</v>
      </c>
      <c r="T123" s="68">
        <v>44099</v>
      </c>
      <c r="U123" s="68"/>
      <c r="V123" s="68"/>
      <c r="W123" s="9"/>
      <c r="X123" s="10"/>
      <c r="Y123" s="65" t="str">
        <f t="shared" si="3"/>
        <v/>
      </c>
      <c r="Z123" s="11" t="str">
        <f t="shared" si="4"/>
        <v/>
      </c>
      <c r="AA123" s="11" t="str">
        <f t="shared" si="5"/>
        <v/>
      </c>
      <c r="AB123" s="73">
        <f t="shared" si="6"/>
        <v>-1</v>
      </c>
      <c r="AC123" s="11" t="str">
        <f t="shared" si="7"/>
        <v/>
      </c>
      <c r="AD123" s="11" t="str">
        <f t="shared" si="8"/>
        <v/>
      </c>
      <c r="AE123" s="11" t="str">
        <f t="shared" si="9"/>
        <v/>
      </c>
      <c r="AF123" s="73">
        <f t="shared" si="10"/>
        <v>-0.99987700000000002</v>
      </c>
      <c r="AG123" s="11" t="str">
        <f t="shared" si="11"/>
        <v/>
      </c>
      <c r="AH123" s="11" t="str">
        <f t="shared" si="12"/>
        <v/>
      </c>
    </row>
    <row r="124" spans="1:34" ht="14.25" customHeight="1">
      <c r="A124" s="11">
        <v>109</v>
      </c>
      <c r="B124" s="66" t="s">
        <v>672</v>
      </c>
      <c r="C124" s="67">
        <v>42551</v>
      </c>
      <c r="D124" s="67">
        <v>42366</v>
      </c>
      <c r="E124" s="67"/>
      <c r="F124" s="67"/>
      <c r="G124" s="67" t="s">
        <v>35</v>
      </c>
      <c r="H124" s="67">
        <v>42747</v>
      </c>
      <c r="I124" s="6" t="s">
        <v>673</v>
      </c>
      <c r="J124" s="9">
        <v>1208820123</v>
      </c>
      <c r="K124" s="68">
        <v>42338</v>
      </c>
      <c r="L124" s="68">
        <v>46022</v>
      </c>
      <c r="M124" s="68">
        <v>46203</v>
      </c>
      <c r="N124" s="69">
        <f t="shared" si="0"/>
        <v>6</v>
      </c>
      <c r="O124" s="69">
        <f t="shared" si="1"/>
        <v>1</v>
      </c>
      <c r="P124" s="70">
        <v>3</v>
      </c>
      <c r="Q124" s="70">
        <v>8</v>
      </c>
      <c r="R124" s="70">
        <v>9</v>
      </c>
      <c r="S124" s="68" t="str">
        <f t="shared" si="2"/>
        <v/>
      </c>
      <c r="T124" s="68"/>
      <c r="U124" s="68">
        <v>45657</v>
      </c>
      <c r="V124" s="68"/>
      <c r="W124" s="9"/>
      <c r="X124" s="10"/>
      <c r="Y124" s="71">
        <f t="shared" si="3"/>
        <v>8</v>
      </c>
      <c r="Z124" s="73">
        <f t="shared" si="4"/>
        <v>9</v>
      </c>
      <c r="AA124" s="73">
        <f t="shared" si="5"/>
        <v>6</v>
      </c>
      <c r="AB124" s="73">
        <f t="shared" si="6"/>
        <v>6</v>
      </c>
      <c r="AC124" s="73">
        <f t="shared" si="7"/>
        <v>1</v>
      </c>
      <c r="AD124" s="73">
        <f t="shared" si="8"/>
        <v>1</v>
      </c>
      <c r="AE124" s="73">
        <f t="shared" si="9"/>
        <v>6.0001239999999996</v>
      </c>
      <c r="AF124" s="73">
        <f t="shared" si="10"/>
        <v>6.0001239999999996</v>
      </c>
      <c r="AG124" s="73">
        <f t="shared" si="11"/>
        <v>1.000124</v>
      </c>
      <c r="AH124" s="73">
        <f t="shared" si="12"/>
        <v>1.000124</v>
      </c>
    </row>
    <row r="125" spans="1:34" ht="14.25" customHeight="1">
      <c r="A125" s="11">
        <v>110</v>
      </c>
      <c r="B125" s="66"/>
      <c r="C125" s="67"/>
      <c r="D125" s="67"/>
      <c r="E125" s="67"/>
      <c r="F125" s="67"/>
      <c r="G125" s="67" t="s">
        <v>24</v>
      </c>
      <c r="H125" s="67">
        <v>41990</v>
      </c>
      <c r="I125" s="6" t="s">
        <v>676</v>
      </c>
      <c r="J125" s="9">
        <v>1208822311</v>
      </c>
      <c r="K125" s="68">
        <v>41973</v>
      </c>
      <c r="L125" s="68" t="s">
        <v>230</v>
      </c>
      <c r="M125" s="68">
        <v>44742</v>
      </c>
      <c r="N125" s="69">
        <f t="shared" si="0"/>
        <v>0</v>
      </c>
      <c r="O125" s="69" t="str">
        <f t="shared" si="1"/>
        <v>N/A</v>
      </c>
      <c r="P125" s="70">
        <v>0</v>
      </c>
      <c r="Q125" s="70"/>
      <c r="R125" s="70">
        <v>0</v>
      </c>
      <c r="S125" s="68">
        <f t="shared" si="2"/>
        <v>44727</v>
      </c>
      <c r="T125" s="68">
        <v>44727</v>
      </c>
      <c r="U125" s="68"/>
      <c r="V125" s="68"/>
      <c r="W125" s="9"/>
      <c r="X125" s="10"/>
      <c r="Y125" s="65" t="str">
        <f t="shared" si="3"/>
        <v/>
      </c>
      <c r="Z125" s="11" t="str">
        <f t="shared" si="4"/>
        <v/>
      </c>
      <c r="AA125" s="11" t="str">
        <f t="shared" si="5"/>
        <v/>
      </c>
      <c r="AB125" s="73">
        <f t="shared" si="6"/>
        <v>0</v>
      </c>
      <c r="AC125" s="11" t="str">
        <f t="shared" si="7"/>
        <v/>
      </c>
      <c r="AD125" s="11" t="str">
        <f t="shared" si="8"/>
        <v/>
      </c>
      <c r="AE125" s="11" t="str">
        <f t="shared" si="9"/>
        <v/>
      </c>
      <c r="AF125" s="73">
        <f t="shared" si="10"/>
        <v>1.25E-4</v>
      </c>
      <c r="AG125" s="11" t="str">
        <f t="shared" si="11"/>
        <v/>
      </c>
      <c r="AH125" s="11" t="str">
        <f t="shared" si="12"/>
        <v/>
      </c>
    </row>
    <row r="126" spans="1:34" ht="14.25" customHeight="1">
      <c r="A126" s="11">
        <v>111</v>
      </c>
      <c r="B126" s="66"/>
      <c r="C126" s="67"/>
      <c r="D126" s="67"/>
      <c r="E126" s="67"/>
      <c r="F126" s="67"/>
      <c r="G126" s="67" t="s">
        <v>35</v>
      </c>
      <c r="H126" s="67">
        <v>42492</v>
      </c>
      <c r="I126" s="6" t="s">
        <v>677</v>
      </c>
      <c r="J126" s="9">
        <v>1208822325</v>
      </c>
      <c r="K126" s="68">
        <v>42490</v>
      </c>
      <c r="L126" s="68">
        <v>46022</v>
      </c>
      <c r="M126" s="68">
        <v>46203</v>
      </c>
      <c r="N126" s="69">
        <f t="shared" si="0"/>
        <v>153</v>
      </c>
      <c r="O126" s="69">
        <f t="shared" si="1"/>
        <v>16</v>
      </c>
      <c r="P126" s="70">
        <v>2</v>
      </c>
      <c r="Q126" s="70">
        <v>139</v>
      </c>
      <c r="R126" s="70">
        <v>155</v>
      </c>
      <c r="S126" s="68" t="str">
        <f t="shared" si="2"/>
        <v/>
      </c>
      <c r="T126" s="68"/>
      <c r="U126" s="68"/>
      <c r="V126" s="68"/>
      <c r="W126" s="9"/>
      <c r="X126" s="10"/>
      <c r="Y126" s="71">
        <f t="shared" si="3"/>
        <v>139</v>
      </c>
      <c r="Z126" s="73">
        <f t="shared" si="4"/>
        <v>155</v>
      </c>
      <c r="AA126" s="11" t="str">
        <f t="shared" si="5"/>
        <v/>
      </c>
      <c r="AB126" s="73">
        <f t="shared" si="6"/>
        <v>153</v>
      </c>
      <c r="AC126" s="11" t="str">
        <f t="shared" si="7"/>
        <v/>
      </c>
      <c r="AD126" s="73">
        <f t="shared" si="8"/>
        <v>16</v>
      </c>
      <c r="AE126" s="11" t="str">
        <f t="shared" si="9"/>
        <v/>
      </c>
      <c r="AF126" s="73">
        <f t="shared" si="10"/>
        <v>153.00012599999999</v>
      </c>
      <c r="AG126" s="11" t="str">
        <f t="shared" si="11"/>
        <v/>
      </c>
      <c r="AH126" s="73">
        <f t="shared" si="12"/>
        <v>16.000126000000002</v>
      </c>
    </row>
    <row r="127" spans="1:34" ht="14.25" customHeight="1">
      <c r="A127" s="11">
        <v>112</v>
      </c>
      <c r="B127" s="66" t="s">
        <v>35</v>
      </c>
      <c r="C127" s="67">
        <v>41275</v>
      </c>
      <c r="D127" s="67"/>
      <c r="E127" s="67"/>
      <c r="F127" s="67"/>
      <c r="G127" s="67"/>
      <c r="H127" s="67"/>
      <c r="I127" s="6" t="s">
        <v>678</v>
      </c>
      <c r="J127" s="9">
        <v>1208822422</v>
      </c>
      <c r="K127" s="68">
        <v>41274</v>
      </c>
      <c r="L127" s="68">
        <v>46022</v>
      </c>
      <c r="M127" s="68">
        <v>46203</v>
      </c>
      <c r="N127" s="69">
        <f t="shared" si="0"/>
        <v>74</v>
      </c>
      <c r="O127" s="69">
        <f t="shared" si="1"/>
        <v>7</v>
      </c>
      <c r="P127" s="70">
        <v>0</v>
      </c>
      <c r="Q127" s="70">
        <v>67</v>
      </c>
      <c r="R127" s="70">
        <v>74</v>
      </c>
      <c r="S127" s="68" t="str">
        <f t="shared" si="2"/>
        <v/>
      </c>
      <c r="T127" s="68"/>
      <c r="U127" s="68"/>
      <c r="V127" s="68"/>
      <c r="W127" s="9"/>
      <c r="X127" s="10"/>
      <c r="Y127" s="71">
        <f t="shared" si="3"/>
        <v>67</v>
      </c>
      <c r="Z127" s="73">
        <f t="shared" si="4"/>
        <v>74</v>
      </c>
      <c r="AA127" s="73">
        <f t="shared" si="5"/>
        <v>74</v>
      </c>
      <c r="AB127" s="11" t="str">
        <f t="shared" si="6"/>
        <v/>
      </c>
      <c r="AC127" s="73">
        <f t="shared" si="7"/>
        <v>7</v>
      </c>
      <c r="AD127" s="11" t="str">
        <f t="shared" si="8"/>
        <v/>
      </c>
      <c r="AE127" s="73">
        <f t="shared" si="9"/>
        <v>74.000127000000006</v>
      </c>
      <c r="AF127" s="11" t="str">
        <f t="shared" si="10"/>
        <v/>
      </c>
      <c r="AG127" s="73">
        <f t="shared" si="11"/>
        <v>7.000127</v>
      </c>
      <c r="AH127" s="11" t="str">
        <f t="shared" si="12"/>
        <v/>
      </c>
    </row>
    <row r="128" spans="1:34" ht="14.25" customHeight="1">
      <c r="A128" s="11">
        <v>113</v>
      </c>
      <c r="B128" s="66" t="s">
        <v>24</v>
      </c>
      <c r="C128" s="67">
        <v>43665</v>
      </c>
      <c r="D128" s="67"/>
      <c r="E128" s="67"/>
      <c r="F128" s="67"/>
      <c r="G128" s="67"/>
      <c r="H128" s="67"/>
      <c r="I128" s="6" t="s">
        <v>679</v>
      </c>
      <c r="J128" s="9">
        <v>1218633419</v>
      </c>
      <c r="K128" s="68">
        <v>43646</v>
      </c>
      <c r="L128" s="68" t="s">
        <v>230</v>
      </c>
      <c r="M128" s="68">
        <v>45107</v>
      </c>
      <c r="N128" s="69">
        <f t="shared" si="0"/>
        <v>-2</v>
      </c>
      <c r="O128" s="69" t="str">
        <f t="shared" si="1"/>
        <v>N/A</v>
      </c>
      <c r="P128" s="70">
        <v>2</v>
      </c>
      <c r="Q128" s="70"/>
      <c r="R128" s="70">
        <v>0</v>
      </c>
      <c r="S128" s="68">
        <f t="shared" si="2"/>
        <v>45107</v>
      </c>
      <c r="T128" s="68">
        <v>45107</v>
      </c>
      <c r="U128" s="68"/>
      <c r="V128" s="68"/>
      <c r="W128" s="9"/>
      <c r="X128" s="10"/>
      <c r="Y128" s="65" t="str">
        <f t="shared" si="3"/>
        <v/>
      </c>
      <c r="Z128" s="11" t="str">
        <f t="shared" si="4"/>
        <v/>
      </c>
      <c r="AA128" s="73">
        <f t="shared" si="5"/>
        <v>-2</v>
      </c>
      <c r="AB128" s="11" t="str">
        <f t="shared" si="6"/>
        <v/>
      </c>
      <c r="AC128" s="11" t="str">
        <f t="shared" si="7"/>
        <v/>
      </c>
      <c r="AD128" s="11" t="str">
        <f t="shared" si="8"/>
        <v/>
      </c>
      <c r="AE128" s="73">
        <f t="shared" si="9"/>
        <v>-1.9998720000000001</v>
      </c>
      <c r="AF128" s="11" t="str">
        <f t="shared" si="10"/>
        <v/>
      </c>
      <c r="AG128" s="11" t="str">
        <f t="shared" si="11"/>
        <v/>
      </c>
      <c r="AH128" s="11" t="str">
        <f t="shared" si="12"/>
        <v/>
      </c>
    </row>
    <row r="129" spans="1:34" ht="14.25" customHeight="1">
      <c r="A129" s="11">
        <v>114</v>
      </c>
      <c r="B129" s="66"/>
      <c r="C129" s="67"/>
      <c r="D129" s="67"/>
      <c r="E129" s="67"/>
      <c r="F129" s="67"/>
      <c r="G129" s="67" t="s">
        <v>35</v>
      </c>
      <c r="H129" s="67">
        <v>43962</v>
      </c>
      <c r="I129" s="6" t="s">
        <v>680</v>
      </c>
      <c r="J129" s="9">
        <v>1218641068</v>
      </c>
      <c r="K129" s="68">
        <v>43951</v>
      </c>
      <c r="L129" s="68">
        <v>46022</v>
      </c>
      <c r="M129" s="68">
        <v>46203</v>
      </c>
      <c r="N129" s="69">
        <f t="shared" si="0"/>
        <v>18</v>
      </c>
      <c r="O129" s="69">
        <f t="shared" si="1"/>
        <v>-5</v>
      </c>
      <c r="P129" s="70">
        <v>18</v>
      </c>
      <c r="Q129" s="70">
        <v>41</v>
      </c>
      <c r="R129" s="70">
        <v>36</v>
      </c>
      <c r="S129" s="68" t="str">
        <f t="shared" si="2"/>
        <v/>
      </c>
      <c r="T129" s="68"/>
      <c r="U129" s="68"/>
      <c r="V129" s="68"/>
      <c r="W129" s="9"/>
      <c r="X129" s="10"/>
      <c r="Y129" s="71">
        <f t="shared" si="3"/>
        <v>41</v>
      </c>
      <c r="Z129" s="73">
        <f t="shared" si="4"/>
        <v>36</v>
      </c>
      <c r="AA129" s="11" t="str">
        <f t="shared" si="5"/>
        <v/>
      </c>
      <c r="AB129" s="73">
        <f t="shared" si="6"/>
        <v>18</v>
      </c>
      <c r="AC129" s="11" t="str">
        <f t="shared" si="7"/>
        <v/>
      </c>
      <c r="AD129" s="73">
        <f t="shared" si="8"/>
        <v>-5</v>
      </c>
      <c r="AE129" s="11" t="str">
        <f t="shared" si="9"/>
        <v/>
      </c>
      <c r="AF129" s="73">
        <f t="shared" si="10"/>
        <v>18.000129000000001</v>
      </c>
      <c r="AG129" s="11" t="str">
        <f t="shared" si="11"/>
        <v/>
      </c>
      <c r="AH129" s="73">
        <f t="shared" si="12"/>
        <v>-4.9998709999999997</v>
      </c>
    </row>
    <row r="130" spans="1:34" ht="14.25" customHeight="1">
      <c r="A130" s="11">
        <v>115</v>
      </c>
      <c r="B130" s="66" t="s">
        <v>681</v>
      </c>
      <c r="C130" s="67">
        <v>42683</v>
      </c>
      <c r="D130" s="67">
        <v>42717</v>
      </c>
      <c r="E130" s="67"/>
      <c r="F130" s="67"/>
      <c r="G130" s="67" t="s">
        <v>24</v>
      </c>
      <c r="H130" s="67">
        <v>42718</v>
      </c>
      <c r="I130" s="6" t="s">
        <v>682</v>
      </c>
      <c r="J130" s="9">
        <v>1228626094</v>
      </c>
      <c r="K130" s="68">
        <v>42674</v>
      </c>
      <c r="L130" s="68" t="s">
        <v>230</v>
      </c>
      <c r="M130" s="68">
        <v>44561</v>
      </c>
      <c r="N130" s="69">
        <f t="shared" si="0"/>
        <v>-9</v>
      </c>
      <c r="O130" s="69" t="str">
        <f t="shared" si="1"/>
        <v>N/A</v>
      </c>
      <c r="P130" s="70">
        <v>9</v>
      </c>
      <c r="Q130" s="70"/>
      <c r="R130" s="70">
        <v>0</v>
      </c>
      <c r="S130" s="68">
        <f t="shared" si="2"/>
        <v>44561</v>
      </c>
      <c r="T130" s="68">
        <v>44561</v>
      </c>
      <c r="U130" s="68"/>
      <c r="V130" s="68">
        <v>43812</v>
      </c>
      <c r="W130" s="9"/>
      <c r="X130" s="10"/>
      <c r="Y130" s="65" t="str">
        <f t="shared" si="3"/>
        <v/>
      </c>
      <c r="Z130" s="11" t="str">
        <f t="shared" si="4"/>
        <v/>
      </c>
      <c r="AA130" s="73">
        <f t="shared" si="5"/>
        <v>-9</v>
      </c>
      <c r="AB130" s="73">
        <f t="shared" si="6"/>
        <v>-9</v>
      </c>
      <c r="AC130" s="11" t="str">
        <f t="shared" si="7"/>
        <v/>
      </c>
      <c r="AD130" s="11" t="str">
        <f t="shared" si="8"/>
        <v/>
      </c>
      <c r="AE130" s="73">
        <f t="shared" si="9"/>
        <v>-8.9998699999999996</v>
      </c>
      <c r="AF130" s="73">
        <f t="shared" si="10"/>
        <v>-8.9998699999999996</v>
      </c>
      <c r="AG130" s="11" t="str">
        <f t="shared" si="11"/>
        <v/>
      </c>
      <c r="AH130" s="11" t="str">
        <f t="shared" si="12"/>
        <v/>
      </c>
    </row>
    <row r="131" spans="1:34" ht="14.25" customHeight="1">
      <c r="A131" s="11">
        <v>116</v>
      </c>
      <c r="B131" s="66" t="s">
        <v>35</v>
      </c>
      <c r="C131" s="67">
        <v>45444</v>
      </c>
      <c r="D131" s="67">
        <v>44985</v>
      </c>
      <c r="E131" s="67"/>
      <c r="F131" s="67"/>
      <c r="G131" s="67" t="s">
        <v>35</v>
      </c>
      <c r="H131" s="67">
        <v>45477</v>
      </c>
      <c r="I131" s="6" t="s">
        <v>684</v>
      </c>
      <c r="J131" s="9">
        <v>1228701163</v>
      </c>
      <c r="K131" s="68">
        <v>44957</v>
      </c>
      <c r="L131" s="68">
        <v>46022</v>
      </c>
      <c r="M131" s="68">
        <v>46203</v>
      </c>
      <c r="N131" s="69">
        <f t="shared" si="0"/>
        <v>12</v>
      </c>
      <c r="O131" s="69">
        <f t="shared" si="1"/>
        <v>5</v>
      </c>
      <c r="P131" s="70">
        <v>10</v>
      </c>
      <c r="Q131" s="70">
        <v>17</v>
      </c>
      <c r="R131" s="70">
        <v>22</v>
      </c>
      <c r="S131" s="68" t="str">
        <f t="shared" si="2"/>
        <v/>
      </c>
      <c r="T131" s="68"/>
      <c r="U131" s="68"/>
      <c r="V131" s="68"/>
      <c r="W131" s="9"/>
      <c r="X131" s="10"/>
      <c r="Y131" s="71">
        <f t="shared" si="3"/>
        <v>17</v>
      </c>
      <c r="Z131" s="73">
        <f t="shared" si="4"/>
        <v>22</v>
      </c>
      <c r="AA131" s="73">
        <f t="shared" si="5"/>
        <v>12</v>
      </c>
      <c r="AB131" s="73">
        <f t="shared" si="6"/>
        <v>12</v>
      </c>
      <c r="AC131" s="73">
        <f t="shared" si="7"/>
        <v>5</v>
      </c>
      <c r="AD131" s="73">
        <f t="shared" si="8"/>
        <v>5</v>
      </c>
      <c r="AE131" s="73">
        <f t="shared" si="9"/>
        <v>12.000131</v>
      </c>
      <c r="AF131" s="73">
        <f t="shared" si="10"/>
        <v>12.000131</v>
      </c>
      <c r="AG131" s="73">
        <f t="shared" si="11"/>
        <v>5.0001309999999997</v>
      </c>
      <c r="AH131" s="73">
        <f t="shared" si="12"/>
        <v>5.0001309999999997</v>
      </c>
    </row>
    <row r="132" spans="1:34" ht="14.25" customHeight="1">
      <c r="A132" s="11">
        <v>117</v>
      </c>
      <c r="B132" s="66"/>
      <c r="C132" s="67"/>
      <c r="D132" s="67"/>
      <c r="E132" s="67"/>
      <c r="F132" s="67"/>
      <c r="G132" s="67" t="s">
        <v>35</v>
      </c>
      <c r="H132" s="67">
        <v>43039</v>
      </c>
      <c r="I132" s="6" t="s">
        <v>688</v>
      </c>
      <c r="J132" s="9">
        <v>1238138259</v>
      </c>
      <c r="K132" s="68">
        <v>43008</v>
      </c>
      <c r="L132" s="68">
        <v>46022</v>
      </c>
      <c r="M132" s="68">
        <v>46203</v>
      </c>
      <c r="N132" s="69">
        <f t="shared" si="0"/>
        <v>-23</v>
      </c>
      <c r="O132" s="69">
        <f t="shared" si="1"/>
        <v>2</v>
      </c>
      <c r="P132" s="70">
        <v>34</v>
      </c>
      <c r="Q132" s="70">
        <v>9</v>
      </c>
      <c r="R132" s="70">
        <v>11</v>
      </c>
      <c r="S132" s="68" t="str">
        <f t="shared" si="2"/>
        <v/>
      </c>
      <c r="T132" s="68"/>
      <c r="U132" s="68"/>
      <c r="V132" s="68"/>
      <c r="W132" s="9"/>
      <c r="X132" s="10"/>
      <c r="Y132" s="71">
        <f t="shared" si="3"/>
        <v>9</v>
      </c>
      <c r="Z132" s="73">
        <f t="shared" si="4"/>
        <v>11</v>
      </c>
      <c r="AA132" s="11" t="str">
        <f t="shared" si="5"/>
        <v/>
      </c>
      <c r="AB132" s="73">
        <f t="shared" si="6"/>
        <v>-23</v>
      </c>
      <c r="AC132" s="11" t="str">
        <f t="shared" si="7"/>
        <v/>
      </c>
      <c r="AD132" s="73">
        <f t="shared" si="8"/>
        <v>2</v>
      </c>
      <c r="AE132" s="11" t="str">
        <f t="shared" si="9"/>
        <v/>
      </c>
      <c r="AF132" s="73">
        <f t="shared" si="10"/>
        <v>-22.999867999999999</v>
      </c>
      <c r="AG132" s="11" t="str">
        <f t="shared" si="11"/>
        <v/>
      </c>
      <c r="AH132" s="73">
        <f t="shared" si="12"/>
        <v>2.0001319999999998</v>
      </c>
    </row>
    <row r="133" spans="1:34" ht="14.25" customHeight="1">
      <c r="A133" s="11">
        <v>118</v>
      </c>
      <c r="B133" s="66"/>
      <c r="C133" s="67"/>
      <c r="D133" s="67"/>
      <c r="E133" s="67"/>
      <c r="F133" s="67"/>
      <c r="G133" s="67" t="s">
        <v>35</v>
      </c>
      <c r="H133" s="67">
        <v>42377</v>
      </c>
      <c r="I133" s="6" t="s">
        <v>692</v>
      </c>
      <c r="J133" s="9">
        <v>1238619086</v>
      </c>
      <c r="K133" s="68">
        <v>42369</v>
      </c>
      <c r="L133" s="68">
        <v>46022</v>
      </c>
      <c r="M133" s="68">
        <v>46203</v>
      </c>
      <c r="N133" s="69">
        <f t="shared" si="0"/>
        <v>26</v>
      </c>
      <c r="O133" s="69">
        <f t="shared" si="1"/>
        <v>2</v>
      </c>
      <c r="P133" s="70">
        <v>11</v>
      </c>
      <c r="Q133" s="70">
        <v>35</v>
      </c>
      <c r="R133" s="70">
        <v>37</v>
      </c>
      <c r="S133" s="68" t="str">
        <f t="shared" si="2"/>
        <v/>
      </c>
      <c r="T133" s="68"/>
      <c r="U133" s="68"/>
      <c r="V133" s="68"/>
      <c r="W133" s="9"/>
      <c r="X133" s="10"/>
      <c r="Y133" s="71">
        <f t="shared" si="3"/>
        <v>35</v>
      </c>
      <c r="Z133" s="73">
        <f t="shared" si="4"/>
        <v>37</v>
      </c>
      <c r="AA133" s="11" t="str">
        <f t="shared" si="5"/>
        <v/>
      </c>
      <c r="AB133" s="73">
        <f t="shared" si="6"/>
        <v>26</v>
      </c>
      <c r="AC133" s="11" t="str">
        <f t="shared" si="7"/>
        <v/>
      </c>
      <c r="AD133" s="73">
        <f t="shared" si="8"/>
        <v>2</v>
      </c>
      <c r="AE133" s="11" t="str">
        <f t="shared" si="9"/>
        <v/>
      </c>
      <c r="AF133" s="73">
        <f t="shared" si="10"/>
        <v>26.000133000000002</v>
      </c>
      <c r="AG133" s="11" t="str">
        <f t="shared" si="11"/>
        <v/>
      </c>
      <c r="AH133" s="73">
        <f t="shared" si="12"/>
        <v>2.0001329999999999</v>
      </c>
    </row>
    <row r="134" spans="1:34" ht="14.25" customHeight="1">
      <c r="A134" s="11">
        <v>119</v>
      </c>
      <c r="B134" s="66" t="s">
        <v>35</v>
      </c>
      <c r="C134" s="67">
        <v>42259</v>
      </c>
      <c r="D134" s="67"/>
      <c r="E134" s="67"/>
      <c r="F134" s="67"/>
      <c r="G134" s="67"/>
      <c r="H134" s="67"/>
      <c r="I134" s="6" t="s">
        <v>697</v>
      </c>
      <c r="J134" s="9">
        <v>1248748126</v>
      </c>
      <c r="K134" s="68">
        <v>42247</v>
      </c>
      <c r="L134" s="68">
        <v>46022</v>
      </c>
      <c r="M134" s="68">
        <v>46203</v>
      </c>
      <c r="N134" s="69">
        <f t="shared" si="0"/>
        <v>17</v>
      </c>
      <c r="O134" s="69">
        <f t="shared" si="1"/>
        <v>1</v>
      </c>
      <c r="P134" s="70">
        <v>5</v>
      </c>
      <c r="Q134" s="70">
        <v>21</v>
      </c>
      <c r="R134" s="70">
        <v>22</v>
      </c>
      <c r="S134" s="68" t="str">
        <f t="shared" si="2"/>
        <v/>
      </c>
      <c r="T134" s="68"/>
      <c r="U134" s="68"/>
      <c r="V134" s="68"/>
      <c r="W134" s="9"/>
      <c r="X134" s="10"/>
      <c r="Y134" s="71">
        <f t="shared" si="3"/>
        <v>21</v>
      </c>
      <c r="Z134" s="73">
        <f t="shared" si="4"/>
        <v>22</v>
      </c>
      <c r="AA134" s="73">
        <f t="shared" si="5"/>
        <v>17</v>
      </c>
      <c r="AB134" s="11" t="str">
        <f t="shared" si="6"/>
        <v/>
      </c>
      <c r="AC134" s="73">
        <f t="shared" si="7"/>
        <v>1</v>
      </c>
      <c r="AD134" s="11" t="str">
        <f t="shared" si="8"/>
        <v/>
      </c>
      <c r="AE134" s="73">
        <f t="shared" si="9"/>
        <v>17.000133999999999</v>
      </c>
      <c r="AF134" s="11" t="str">
        <f t="shared" si="10"/>
        <v/>
      </c>
      <c r="AG134" s="73">
        <f t="shared" si="11"/>
        <v>1.0001340000000001</v>
      </c>
      <c r="AH134" s="11" t="str">
        <f t="shared" si="12"/>
        <v/>
      </c>
    </row>
    <row r="135" spans="1:34" ht="14.25" customHeight="1">
      <c r="A135" s="11">
        <v>120</v>
      </c>
      <c r="B135" s="66"/>
      <c r="C135" s="67"/>
      <c r="D135" s="67"/>
      <c r="E135" s="67"/>
      <c r="F135" s="67"/>
      <c r="G135" s="67" t="s">
        <v>35</v>
      </c>
      <c r="H135" s="67">
        <v>45859</v>
      </c>
      <c r="I135" s="6" t="s">
        <v>698</v>
      </c>
      <c r="J135" s="94">
        <v>1268682195</v>
      </c>
      <c r="K135" s="68">
        <v>45838</v>
      </c>
      <c r="L135" s="68">
        <v>46022</v>
      </c>
      <c r="M135" s="68">
        <v>46203</v>
      </c>
      <c r="N135" s="69">
        <f t="shared" si="0"/>
        <v>22</v>
      </c>
      <c r="O135" s="69">
        <f t="shared" si="1"/>
        <v>11</v>
      </c>
      <c r="P135" s="70">
        <v>81</v>
      </c>
      <c r="Q135" s="70">
        <v>92</v>
      </c>
      <c r="R135" s="70">
        <v>103</v>
      </c>
      <c r="S135" s="68" t="str">
        <f t="shared" si="2"/>
        <v/>
      </c>
      <c r="T135" s="68"/>
      <c r="U135" s="95"/>
      <c r="V135" s="68"/>
      <c r="W135" s="6"/>
      <c r="X135" s="10"/>
      <c r="Y135" s="71">
        <f t="shared" si="3"/>
        <v>92</v>
      </c>
      <c r="Z135" s="73">
        <f t="shared" si="4"/>
        <v>103</v>
      </c>
      <c r="AA135" s="11" t="str">
        <f t="shared" si="5"/>
        <v/>
      </c>
      <c r="AB135" s="73">
        <f t="shared" si="6"/>
        <v>22</v>
      </c>
      <c r="AC135" s="11" t="str">
        <f t="shared" si="7"/>
        <v/>
      </c>
      <c r="AD135" s="73">
        <f t="shared" si="8"/>
        <v>11</v>
      </c>
      <c r="AE135" s="11" t="str">
        <f t="shared" si="9"/>
        <v/>
      </c>
      <c r="AF135" s="73">
        <f t="shared" si="10"/>
        <v>22.000135</v>
      </c>
      <c r="AG135" s="11" t="str">
        <f t="shared" si="11"/>
        <v/>
      </c>
      <c r="AH135" s="73">
        <f t="shared" si="12"/>
        <v>11.000135</v>
      </c>
    </row>
    <row r="136" spans="1:34" ht="14.25" customHeight="1">
      <c r="A136" s="11">
        <v>121</v>
      </c>
      <c r="B136" s="66"/>
      <c r="C136" s="67"/>
      <c r="D136" s="67"/>
      <c r="E136" s="67"/>
      <c r="F136" s="67"/>
      <c r="G136" s="67" t="s">
        <v>35</v>
      </c>
      <c r="H136" s="67">
        <v>44699</v>
      </c>
      <c r="I136" s="6" t="s">
        <v>699</v>
      </c>
      <c r="J136" s="9">
        <v>1278702153</v>
      </c>
      <c r="K136" s="68">
        <v>44681</v>
      </c>
      <c r="L136" s="68">
        <v>46022</v>
      </c>
      <c r="M136" s="68">
        <v>46203</v>
      </c>
      <c r="N136" s="69">
        <f t="shared" si="0"/>
        <v>126</v>
      </c>
      <c r="O136" s="69">
        <f t="shared" si="1"/>
        <v>18</v>
      </c>
      <c r="P136" s="70">
        <v>8</v>
      </c>
      <c r="Q136" s="70">
        <v>116</v>
      </c>
      <c r="R136" s="70">
        <v>134</v>
      </c>
      <c r="S136" s="68" t="str">
        <f t="shared" si="2"/>
        <v/>
      </c>
      <c r="T136" s="68"/>
      <c r="U136" s="68"/>
      <c r="V136" s="68"/>
      <c r="W136" s="9"/>
      <c r="X136" s="10"/>
      <c r="Y136" s="71">
        <f t="shared" si="3"/>
        <v>116</v>
      </c>
      <c r="Z136" s="73">
        <f t="shared" si="4"/>
        <v>134</v>
      </c>
      <c r="AA136" s="11" t="str">
        <f t="shared" si="5"/>
        <v/>
      </c>
      <c r="AB136" s="73">
        <f t="shared" si="6"/>
        <v>126</v>
      </c>
      <c r="AC136" s="11" t="str">
        <f t="shared" si="7"/>
        <v/>
      </c>
      <c r="AD136" s="73">
        <f t="shared" si="8"/>
        <v>18</v>
      </c>
      <c r="AE136" s="11" t="str">
        <f t="shared" si="9"/>
        <v/>
      </c>
      <c r="AF136" s="73">
        <f t="shared" si="10"/>
        <v>126.000136</v>
      </c>
      <c r="AG136" s="11" t="str">
        <f t="shared" si="11"/>
        <v/>
      </c>
      <c r="AH136" s="73">
        <f t="shared" si="12"/>
        <v>18.000136000000001</v>
      </c>
    </row>
    <row r="137" spans="1:34" ht="14.25" customHeight="1">
      <c r="A137" s="11">
        <v>122</v>
      </c>
      <c r="B137" s="66"/>
      <c r="C137" s="67"/>
      <c r="D137" s="67"/>
      <c r="E137" s="67"/>
      <c r="F137" s="67"/>
      <c r="G137" s="67" t="s">
        <v>35</v>
      </c>
      <c r="H137" s="67">
        <v>45268</v>
      </c>
      <c r="I137" s="6" t="s">
        <v>700</v>
      </c>
      <c r="J137" s="9">
        <v>1278801919</v>
      </c>
      <c r="K137" s="68">
        <v>45260</v>
      </c>
      <c r="L137" s="68">
        <v>46022</v>
      </c>
      <c r="M137" s="68">
        <v>46203</v>
      </c>
      <c r="N137" s="69">
        <f t="shared" si="0"/>
        <v>3</v>
      </c>
      <c r="O137" s="69">
        <f t="shared" si="1"/>
        <v>-1</v>
      </c>
      <c r="P137" s="70">
        <v>12</v>
      </c>
      <c r="Q137" s="70">
        <v>16</v>
      </c>
      <c r="R137" s="70">
        <v>15</v>
      </c>
      <c r="S137" s="68" t="str">
        <f t="shared" si="2"/>
        <v/>
      </c>
      <c r="T137" s="68"/>
      <c r="U137" s="68"/>
      <c r="V137" s="68"/>
      <c r="W137" s="9"/>
      <c r="X137" s="10"/>
      <c r="Y137" s="71">
        <f t="shared" si="3"/>
        <v>16</v>
      </c>
      <c r="Z137" s="73">
        <f t="shared" si="4"/>
        <v>15</v>
      </c>
      <c r="AA137" s="11" t="str">
        <f t="shared" si="5"/>
        <v/>
      </c>
      <c r="AB137" s="73">
        <f t="shared" si="6"/>
        <v>3</v>
      </c>
      <c r="AC137" s="11" t="str">
        <f t="shared" si="7"/>
        <v/>
      </c>
      <c r="AD137" s="73">
        <f t="shared" si="8"/>
        <v>-1</v>
      </c>
      <c r="AE137" s="11" t="str">
        <f t="shared" si="9"/>
        <v/>
      </c>
      <c r="AF137" s="73">
        <f t="shared" si="10"/>
        <v>3.0001370000000001</v>
      </c>
      <c r="AG137" s="11" t="str">
        <f t="shared" si="11"/>
        <v/>
      </c>
      <c r="AH137" s="73">
        <f t="shared" si="12"/>
        <v>-0.99986299999999995</v>
      </c>
    </row>
    <row r="138" spans="1:34" ht="14.25" customHeight="1">
      <c r="A138" s="11">
        <v>123</v>
      </c>
      <c r="B138" s="66"/>
      <c r="C138" s="67"/>
      <c r="D138" s="67"/>
      <c r="E138" s="67"/>
      <c r="F138" s="67"/>
      <c r="G138" s="67" t="s">
        <v>35</v>
      </c>
      <c r="H138" s="67">
        <v>42265</v>
      </c>
      <c r="I138" s="6" t="s">
        <v>701</v>
      </c>
      <c r="J138" s="9">
        <v>1288714477</v>
      </c>
      <c r="K138" s="68">
        <v>42247</v>
      </c>
      <c r="L138" s="68">
        <v>46022</v>
      </c>
      <c r="M138" s="68">
        <v>46203</v>
      </c>
      <c r="N138" s="69">
        <f t="shared" si="0"/>
        <v>0</v>
      </c>
      <c r="O138" s="69">
        <f t="shared" si="1"/>
        <v>0</v>
      </c>
      <c r="P138" s="70">
        <v>2</v>
      </c>
      <c r="Q138" s="70">
        <v>2</v>
      </c>
      <c r="R138" s="70">
        <v>2</v>
      </c>
      <c r="S138" s="68" t="str">
        <f t="shared" si="2"/>
        <v/>
      </c>
      <c r="T138" s="68"/>
      <c r="U138" s="68"/>
      <c r="V138" s="68"/>
      <c r="W138" s="9"/>
      <c r="X138" s="10"/>
      <c r="Y138" s="71">
        <f t="shared" si="3"/>
        <v>2</v>
      </c>
      <c r="Z138" s="73">
        <f t="shared" si="4"/>
        <v>2</v>
      </c>
      <c r="AA138" s="11" t="str">
        <f t="shared" si="5"/>
        <v/>
      </c>
      <c r="AB138" s="73">
        <f t="shared" si="6"/>
        <v>0</v>
      </c>
      <c r="AC138" s="11" t="str">
        <f t="shared" si="7"/>
        <v/>
      </c>
      <c r="AD138" s="73">
        <f t="shared" si="8"/>
        <v>0</v>
      </c>
      <c r="AE138" s="11" t="str">
        <f t="shared" si="9"/>
        <v/>
      </c>
      <c r="AF138" s="73">
        <f t="shared" si="10"/>
        <v>1.3799999999999999E-4</v>
      </c>
      <c r="AG138" s="11" t="str">
        <f t="shared" si="11"/>
        <v/>
      </c>
      <c r="AH138" s="73">
        <f t="shared" si="12"/>
        <v>1.3799999999999999E-4</v>
      </c>
    </row>
    <row r="139" spans="1:34" ht="14.25" customHeight="1">
      <c r="A139" s="11">
        <v>124</v>
      </c>
      <c r="B139" s="66" t="s">
        <v>35</v>
      </c>
      <c r="C139" s="67">
        <v>45261</v>
      </c>
      <c r="D139" s="67"/>
      <c r="E139" s="67"/>
      <c r="F139" s="67"/>
      <c r="G139" s="67"/>
      <c r="H139" s="67"/>
      <c r="I139" s="6" t="s">
        <v>702</v>
      </c>
      <c r="J139" s="9">
        <v>1288720931</v>
      </c>
      <c r="K139" s="68">
        <v>45260</v>
      </c>
      <c r="L139" s="68">
        <v>46022</v>
      </c>
      <c r="M139" s="68">
        <v>46203</v>
      </c>
      <c r="N139" s="69">
        <f t="shared" si="0"/>
        <v>1</v>
      </c>
      <c r="O139" s="69">
        <f t="shared" si="1"/>
        <v>0</v>
      </c>
      <c r="P139" s="70">
        <v>4</v>
      </c>
      <c r="Q139" s="70">
        <v>5</v>
      </c>
      <c r="R139" s="70">
        <v>5</v>
      </c>
      <c r="S139" s="68" t="str">
        <f t="shared" si="2"/>
        <v/>
      </c>
      <c r="T139" s="68"/>
      <c r="U139" s="68"/>
      <c r="V139" s="68"/>
      <c r="W139" s="9"/>
      <c r="X139" s="10"/>
      <c r="Y139" s="71">
        <f t="shared" si="3"/>
        <v>5</v>
      </c>
      <c r="Z139" s="73">
        <f t="shared" si="4"/>
        <v>5</v>
      </c>
      <c r="AA139" s="73">
        <f t="shared" si="5"/>
        <v>1</v>
      </c>
      <c r="AB139" s="11" t="str">
        <f t="shared" si="6"/>
        <v/>
      </c>
      <c r="AC139" s="73">
        <f t="shared" si="7"/>
        <v>0</v>
      </c>
      <c r="AD139" s="11" t="str">
        <f t="shared" si="8"/>
        <v/>
      </c>
      <c r="AE139" s="73">
        <f t="shared" si="9"/>
        <v>1.0001389999999999</v>
      </c>
      <c r="AF139" s="11" t="str">
        <f t="shared" si="10"/>
        <v/>
      </c>
      <c r="AG139" s="73">
        <f t="shared" si="11"/>
        <v>1.3899999999999999E-4</v>
      </c>
      <c r="AH139" s="11" t="str">
        <f t="shared" si="12"/>
        <v/>
      </c>
    </row>
    <row r="140" spans="1:34" ht="14.25" customHeight="1">
      <c r="A140" s="11">
        <v>125</v>
      </c>
      <c r="B140" s="66"/>
      <c r="C140" s="67"/>
      <c r="D140" s="67"/>
      <c r="E140" s="67"/>
      <c r="F140" s="67"/>
      <c r="G140" s="67" t="s">
        <v>35</v>
      </c>
      <c r="H140" s="67">
        <v>44923</v>
      </c>
      <c r="I140" s="6" t="s">
        <v>703</v>
      </c>
      <c r="J140" s="9">
        <v>1288800892</v>
      </c>
      <c r="K140" s="68">
        <v>44895</v>
      </c>
      <c r="L140" s="68">
        <v>46022</v>
      </c>
      <c r="M140" s="68">
        <v>46203</v>
      </c>
      <c r="N140" s="69">
        <f t="shared" si="0"/>
        <v>0</v>
      </c>
      <c r="O140" s="69">
        <f t="shared" si="1"/>
        <v>1</v>
      </c>
      <c r="P140" s="70">
        <v>7</v>
      </c>
      <c r="Q140" s="70">
        <v>6</v>
      </c>
      <c r="R140" s="70">
        <v>7</v>
      </c>
      <c r="S140" s="68" t="str">
        <f t="shared" si="2"/>
        <v/>
      </c>
      <c r="T140" s="68"/>
      <c r="U140" s="68"/>
      <c r="V140" s="68"/>
      <c r="W140" s="9"/>
      <c r="X140" s="10"/>
      <c r="Y140" s="71">
        <f t="shared" si="3"/>
        <v>6</v>
      </c>
      <c r="Z140" s="73">
        <f t="shared" si="4"/>
        <v>7</v>
      </c>
      <c r="AA140" s="11" t="str">
        <f t="shared" si="5"/>
        <v/>
      </c>
      <c r="AB140" s="73">
        <f t="shared" si="6"/>
        <v>0</v>
      </c>
      <c r="AC140" s="11" t="str">
        <f t="shared" si="7"/>
        <v/>
      </c>
      <c r="AD140" s="73">
        <f t="shared" si="8"/>
        <v>1</v>
      </c>
      <c r="AE140" s="11" t="str">
        <f t="shared" si="9"/>
        <v/>
      </c>
      <c r="AF140" s="73">
        <f t="shared" si="10"/>
        <v>1.3999999999999999E-4</v>
      </c>
      <c r="AG140" s="11" t="str">
        <f t="shared" si="11"/>
        <v/>
      </c>
      <c r="AH140" s="73">
        <f t="shared" si="12"/>
        <v>1.00014</v>
      </c>
    </row>
    <row r="141" spans="1:34" ht="14.25" customHeight="1">
      <c r="A141" s="11">
        <v>126</v>
      </c>
      <c r="B141" s="66"/>
      <c r="C141" s="67"/>
      <c r="D141" s="67"/>
      <c r="E141" s="67"/>
      <c r="F141" s="67"/>
      <c r="G141" s="67" t="s">
        <v>35</v>
      </c>
      <c r="H141" s="67">
        <v>44228</v>
      </c>
      <c r="I141" s="6" t="s">
        <v>704</v>
      </c>
      <c r="J141" s="9">
        <v>1288801251</v>
      </c>
      <c r="K141" s="68">
        <v>44227</v>
      </c>
      <c r="L141" s="68">
        <v>46022</v>
      </c>
      <c r="M141" s="68">
        <v>46203</v>
      </c>
      <c r="N141" s="69">
        <f t="shared" si="0"/>
        <v>-6</v>
      </c>
      <c r="O141" s="69">
        <f t="shared" si="1"/>
        <v>0</v>
      </c>
      <c r="P141" s="70">
        <v>15</v>
      </c>
      <c r="Q141" s="70">
        <v>9</v>
      </c>
      <c r="R141" s="70">
        <v>9</v>
      </c>
      <c r="S141" s="68" t="str">
        <f t="shared" si="2"/>
        <v/>
      </c>
      <c r="T141" s="68"/>
      <c r="U141" s="68"/>
      <c r="V141" s="68"/>
      <c r="W141" s="9"/>
      <c r="X141" s="10"/>
      <c r="Y141" s="71">
        <f t="shared" si="3"/>
        <v>9</v>
      </c>
      <c r="Z141" s="73">
        <f t="shared" si="4"/>
        <v>9</v>
      </c>
      <c r="AA141" s="11" t="str">
        <f t="shared" si="5"/>
        <v/>
      </c>
      <c r="AB141" s="73">
        <f t="shared" si="6"/>
        <v>-6</v>
      </c>
      <c r="AC141" s="11" t="str">
        <f t="shared" si="7"/>
        <v/>
      </c>
      <c r="AD141" s="73">
        <f t="shared" si="8"/>
        <v>0</v>
      </c>
      <c r="AE141" s="11" t="str">
        <f t="shared" si="9"/>
        <v/>
      </c>
      <c r="AF141" s="73">
        <f t="shared" si="10"/>
        <v>-5.9998589999999998</v>
      </c>
      <c r="AG141" s="11" t="str">
        <f t="shared" si="11"/>
        <v/>
      </c>
      <c r="AH141" s="73">
        <f t="shared" si="12"/>
        <v>1.4100000000000001E-4</v>
      </c>
    </row>
    <row r="142" spans="1:34" ht="14.25" customHeight="1">
      <c r="A142" s="11">
        <v>127</v>
      </c>
      <c r="B142" s="66"/>
      <c r="C142" s="67"/>
      <c r="D142" s="67"/>
      <c r="E142" s="67"/>
      <c r="F142" s="67"/>
      <c r="G142" s="67" t="s">
        <v>283</v>
      </c>
      <c r="H142" s="67">
        <v>44125</v>
      </c>
      <c r="I142" s="6" t="s">
        <v>705</v>
      </c>
      <c r="J142" s="9">
        <v>1288801299</v>
      </c>
      <c r="K142" s="68">
        <v>44104</v>
      </c>
      <c r="L142" s="68" t="s">
        <v>230</v>
      </c>
      <c r="M142" s="68">
        <v>45747</v>
      </c>
      <c r="N142" s="69">
        <f t="shared" si="0"/>
        <v>-5</v>
      </c>
      <c r="O142" s="69" t="str">
        <f t="shared" si="1"/>
        <v>N/A</v>
      </c>
      <c r="P142" s="70">
        <v>5</v>
      </c>
      <c r="Q142" s="70"/>
      <c r="R142" s="70">
        <v>0</v>
      </c>
      <c r="S142" s="68">
        <f t="shared" si="2"/>
        <v>45721</v>
      </c>
      <c r="T142" s="68">
        <v>45961</v>
      </c>
      <c r="U142" s="68"/>
      <c r="V142" s="68"/>
      <c r="W142" s="68">
        <v>45721</v>
      </c>
      <c r="X142" s="10"/>
      <c r="Y142" s="65" t="str">
        <f t="shared" si="3"/>
        <v/>
      </c>
      <c r="Z142" s="11" t="str">
        <f t="shared" si="4"/>
        <v/>
      </c>
      <c r="AA142" s="11" t="str">
        <f t="shared" si="5"/>
        <v/>
      </c>
      <c r="AB142" s="73">
        <f t="shared" si="6"/>
        <v>-5</v>
      </c>
      <c r="AC142" s="11" t="str">
        <f t="shared" si="7"/>
        <v/>
      </c>
      <c r="AD142" s="11" t="str">
        <f t="shared" si="8"/>
        <v/>
      </c>
      <c r="AE142" s="11" t="str">
        <f t="shared" si="9"/>
        <v/>
      </c>
      <c r="AF142" s="73">
        <f t="shared" si="10"/>
        <v>-4.9998579999999997</v>
      </c>
      <c r="AG142" s="11" t="str">
        <f t="shared" si="11"/>
        <v/>
      </c>
      <c r="AH142" s="11" t="str">
        <f t="shared" si="12"/>
        <v/>
      </c>
    </row>
    <row r="143" spans="1:34" ht="14.25" customHeight="1">
      <c r="A143" s="11">
        <v>128</v>
      </c>
      <c r="B143" s="66"/>
      <c r="C143" s="67"/>
      <c r="D143" s="67"/>
      <c r="E143" s="67"/>
      <c r="F143" s="67"/>
      <c r="G143" s="67" t="s">
        <v>35</v>
      </c>
      <c r="H143" s="67">
        <v>44531</v>
      </c>
      <c r="I143" s="6" t="s">
        <v>706</v>
      </c>
      <c r="J143" s="9">
        <v>1298608739</v>
      </c>
      <c r="K143" s="68">
        <v>44530</v>
      </c>
      <c r="L143" s="68">
        <v>46022</v>
      </c>
      <c r="M143" s="68">
        <v>46203</v>
      </c>
      <c r="N143" s="69">
        <f t="shared" si="0"/>
        <v>-7</v>
      </c>
      <c r="O143" s="69">
        <f t="shared" si="1"/>
        <v>2</v>
      </c>
      <c r="P143" s="70">
        <v>23</v>
      </c>
      <c r="Q143" s="70">
        <v>14</v>
      </c>
      <c r="R143" s="70">
        <v>16</v>
      </c>
      <c r="S143" s="68" t="str">
        <f t="shared" si="2"/>
        <v/>
      </c>
      <c r="T143" s="68"/>
      <c r="U143" s="68"/>
      <c r="V143" s="68"/>
      <c r="W143" s="9"/>
      <c r="X143" s="10"/>
      <c r="Y143" s="71">
        <f t="shared" si="3"/>
        <v>14</v>
      </c>
      <c r="Z143" s="73">
        <f t="shared" si="4"/>
        <v>16</v>
      </c>
      <c r="AA143" s="11" t="str">
        <f t="shared" si="5"/>
        <v/>
      </c>
      <c r="AB143" s="73">
        <f t="shared" si="6"/>
        <v>-7</v>
      </c>
      <c r="AC143" s="11" t="str">
        <f t="shared" si="7"/>
        <v/>
      </c>
      <c r="AD143" s="73">
        <f t="shared" si="8"/>
        <v>2</v>
      </c>
      <c r="AE143" s="11" t="str">
        <f t="shared" si="9"/>
        <v/>
      </c>
      <c r="AF143" s="73">
        <f t="shared" si="10"/>
        <v>-6.9998570000000004</v>
      </c>
      <c r="AG143" s="11" t="str">
        <f t="shared" si="11"/>
        <v/>
      </c>
      <c r="AH143" s="73">
        <f t="shared" si="12"/>
        <v>2.000143</v>
      </c>
    </row>
    <row r="144" spans="1:34" ht="14.25" customHeight="1">
      <c r="A144" s="11">
        <v>129</v>
      </c>
      <c r="B144" s="66"/>
      <c r="C144" s="67"/>
      <c r="D144" s="67"/>
      <c r="E144" s="67"/>
      <c r="F144" s="67"/>
      <c r="G144" s="67" t="s">
        <v>35</v>
      </c>
      <c r="H144" s="67">
        <v>45467</v>
      </c>
      <c r="I144" s="6" t="s">
        <v>707</v>
      </c>
      <c r="J144" s="9">
        <v>1298609534</v>
      </c>
      <c r="K144" s="68">
        <v>45443</v>
      </c>
      <c r="L144" s="68">
        <v>46022</v>
      </c>
      <c r="M144" s="68">
        <v>46203</v>
      </c>
      <c r="N144" s="69">
        <f t="shared" si="0"/>
        <v>25</v>
      </c>
      <c r="O144" s="69">
        <f t="shared" si="1"/>
        <v>8</v>
      </c>
      <c r="P144" s="70">
        <v>21</v>
      </c>
      <c r="Q144" s="70">
        <v>38</v>
      </c>
      <c r="R144" s="70">
        <v>46</v>
      </c>
      <c r="S144" s="68" t="str">
        <f t="shared" si="2"/>
        <v/>
      </c>
      <c r="T144" s="68"/>
      <c r="U144" s="68"/>
      <c r="V144" s="68"/>
      <c r="W144" s="9"/>
      <c r="X144" s="10"/>
      <c r="Y144" s="71">
        <f t="shared" si="3"/>
        <v>38</v>
      </c>
      <c r="Z144" s="73">
        <f t="shared" si="4"/>
        <v>46</v>
      </c>
      <c r="AA144" s="11" t="str">
        <f t="shared" si="5"/>
        <v/>
      </c>
      <c r="AB144" s="73">
        <f t="shared" si="6"/>
        <v>25</v>
      </c>
      <c r="AC144" s="11" t="str">
        <f t="shared" si="7"/>
        <v/>
      </c>
      <c r="AD144" s="73">
        <f t="shared" si="8"/>
        <v>8</v>
      </c>
      <c r="AE144" s="11" t="str">
        <f t="shared" si="9"/>
        <v/>
      </c>
      <c r="AF144" s="73">
        <f t="shared" si="10"/>
        <v>25.000143999999999</v>
      </c>
      <c r="AG144" s="11" t="str">
        <f t="shared" si="11"/>
        <v/>
      </c>
      <c r="AH144" s="73">
        <f t="shared" si="12"/>
        <v>8.0001440000000006</v>
      </c>
    </row>
    <row r="145" spans="1:34" ht="14.25" customHeight="1">
      <c r="A145" s="11">
        <v>130</v>
      </c>
      <c r="B145" s="66"/>
      <c r="C145" s="67"/>
      <c r="D145" s="67"/>
      <c r="E145" s="67"/>
      <c r="F145" s="67"/>
      <c r="G145" s="67" t="s">
        <v>35</v>
      </c>
      <c r="H145" s="67">
        <v>45922</v>
      </c>
      <c r="I145" s="6" t="s">
        <v>708</v>
      </c>
      <c r="J145" s="94">
        <v>1298630906</v>
      </c>
      <c r="K145" s="68">
        <v>45900</v>
      </c>
      <c r="L145" s="68">
        <v>46022</v>
      </c>
      <c r="M145" s="68">
        <v>46203</v>
      </c>
      <c r="N145" s="69">
        <f t="shared" si="0"/>
        <v>-2</v>
      </c>
      <c r="O145" s="69">
        <f t="shared" si="1"/>
        <v>-3</v>
      </c>
      <c r="P145" s="70">
        <v>202</v>
      </c>
      <c r="Q145" s="70">
        <v>203</v>
      </c>
      <c r="R145" s="70">
        <v>200</v>
      </c>
      <c r="S145" s="68" t="str">
        <f t="shared" si="2"/>
        <v/>
      </c>
      <c r="T145" s="68"/>
      <c r="U145" s="95"/>
      <c r="V145" s="68"/>
      <c r="W145" s="6"/>
      <c r="X145" s="10"/>
      <c r="Y145" s="71">
        <f t="shared" si="3"/>
        <v>203</v>
      </c>
      <c r="Z145" s="73">
        <f t="shared" si="4"/>
        <v>200</v>
      </c>
      <c r="AA145" s="11" t="str">
        <f t="shared" si="5"/>
        <v/>
      </c>
      <c r="AB145" s="73">
        <f t="shared" si="6"/>
        <v>-2</v>
      </c>
      <c r="AC145" s="11" t="str">
        <f t="shared" si="7"/>
        <v/>
      </c>
      <c r="AD145" s="73">
        <f t="shared" si="8"/>
        <v>-3</v>
      </c>
      <c r="AE145" s="11" t="str">
        <f t="shared" si="9"/>
        <v/>
      </c>
      <c r="AF145" s="73">
        <f t="shared" si="10"/>
        <v>-1.9998549999999999</v>
      </c>
      <c r="AG145" s="11" t="str">
        <f t="shared" si="11"/>
        <v/>
      </c>
      <c r="AH145" s="73">
        <f t="shared" si="12"/>
        <v>-2.9998550000000002</v>
      </c>
    </row>
    <row r="146" spans="1:34" ht="14.25" customHeight="1">
      <c r="A146" s="11">
        <v>131</v>
      </c>
      <c r="B146" s="66"/>
      <c r="C146" s="67"/>
      <c r="D146" s="67"/>
      <c r="E146" s="67"/>
      <c r="F146" s="67"/>
      <c r="G146" s="67" t="s">
        <v>35</v>
      </c>
      <c r="H146" s="67">
        <v>41759</v>
      </c>
      <c r="I146" s="6" t="s">
        <v>709</v>
      </c>
      <c r="J146" s="9">
        <v>1298660720</v>
      </c>
      <c r="K146" s="68">
        <v>41729</v>
      </c>
      <c r="L146" s="68">
        <v>46022</v>
      </c>
      <c r="M146" s="68">
        <v>46203</v>
      </c>
      <c r="N146" s="69">
        <f t="shared" si="0"/>
        <v>16</v>
      </c>
      <c r="O146" s="69">
        <f t="shared" si="1"/>
        <v>6</v>
      </c>
      <c r="P146" s="70">
        <v>52</v>
      </c>
      <c r="Q146" s="70">
        <v>62</v>
      </c>
      <c r="R146" s="70">
        <v>68</v>
      </c>
      <c r="S146" s="68" t="str">
        <f t="shared" si="2"/>
        <v/>
      </c>
      <c r="T146" s="68"/>
      <c r="U146" s="68"/>
      <c r="V146" s="68"/>
      <c r="W146" s="9"/>
      <c r="X146" s="10"/>
      <c r="Y146" s="71">
        <f t="shared" si="3"/>
        <v>62</v>
      </c>
      <c r="Z146" s="73">
        <f t="shared" si="4"/>
        <v>68</v>
      </c>
      <c r="AA146" s="11" t="str">
        <f t="shared" si="5"/>
        <v/>
      </c>
      <c r="AB146" s="73">
        <f t="shared" si="6"/>
        <v>16</v>
      </c>
      <c r="AC146" s="11" t="str">
        <f t="shared" si="7"/>
        <v/>
      </c>
      <c r="AD146" s="73">
        <f t="shared" si="8"/>
        <v>6</v>
      </c>
      <c r="AE146" s="11" t="str">
        <f t="shared" si="9"/>
        <v/>
      </c>
      <c r="AF146" s="73">
        <f t="shared" si="10"/>
        <v>16.000146000000001</v>
      </c>
      <c r="AG146" s="11" t="str">
        <f t="shared" si="11"/>
        <v/>
      </c>
      <c r="AH146" s="73">
        <f t="shared" si="12"/>
        <v>6.000146</v>
      </c>
    </row>
    <row r="147" spans="1:34" ht="14.25" customHeight="1">
      <c r="A147" s="11">
        <v>132</v>
      </c>
      <c r="B147" s="66"/>
      <c r="C147" s="67"/>
      <c r="D147" s="67"/>
      <c r="E147" s="67"/>
      <c r="F147" s="67"/>
      <c r="G147" s="67" t="s">
        <v>35</v>
      </c>
      <c r="H147" s="67">
        <v>42460</v>
      </c>
      <c r="I147" s="6" t="s">
        <v>710</v>
      </c>
      <c r="J147" s="9">
        <v>1298700068</v>
      </c>
      <c r="K147" s="68">
        <v>42429</v>
      </c>
      <c r="L147" s="68">
        <v>46022</v>
      </c>
      <c r="M147" s="68">
        <v>46203</v>
      </c>
      <c r="N147" s="69">
        <f t="shared" si="0"/>
        <v>80</v>
      </c>
      <c r="O147" s="69">
        <f t="shared" si="1"/>
        <v>12</v>
      </c>
      <c r="P147" s="70">
        <v>4</v>
      </c>
      <c r="Q147" s="70">
        <v>72</v>
      </c>
      <c r="R147" s="70">
        <v>84</v>
      </c>
      <c r="S147" s="68" t="str">
        <f t="shared" si="2"/>
        <v/>
      </c>
      <c r="T147" s="68"/>
      <c r="U147" s="68"/>
      <c r="V147" s="68"/>
      <c r="W147" s="9"/>
      <c r="X147" s="10"/>
      <c r="Y147" s="71">
        <f t="shared" si="3"/>
        <v>72</v>
      </c>
      <c r="Z147" s="73">
        <f t="shared" si="4"/>
        <v>84</v>
      </c>
      <c r="AA147" s="11" t="str">
        <f t="shared" si="5"/>
        <v/>
      </c>
      <c r="AB147" s="73">
        <f t="shared" si="6"/>
        <v>80</v>
      </c>
      <c r="AC147" s="11" t="str">
        <f t="shared" si="7"/>
        <v/>
      </c>
      <c r="AD147" s="73">
        <f t="shared" si="8"/>
        <v>12</v>
      </c>
      <c r="AE147" s="11" t="str">
        <f t="shared" si="9"/>
        <v/>
      </c>
      <c r="AF147" s="73">
        <f t="shared" si="10"/>
        <v>80.000146999999998</v>
      </c>
      <c r="AG147" s="11" t="str">
        <f t="shared" si="11"/>
        <v/>
      </c>
      <c r="AH147" s="73">
        <f t="shared" si="12"/>
        <v>12.000147</v>
      </c>
    </row>
    <row r="148" spans="1:34" ht="14.25" customHeight="1">
      <c r="A148" s="11">
        <v>133</v>
      </c>
      <c r="B148" s="66" t="s">
        <v>35</v>
      </c>
      <c r="C148" s="67"/>
      <c r="D148" s="67">
        <v>46149</v>
      </c>
      <c r="E148" s="67">
        <v>46113</v>
      </c>
      <c r="F148" s="67"/>
      <c r="G148" s="67" t="s">
        <v>35</v>
      </c>
      <c r="H148" s="67">
        <v>45947</v>
      </c>
      <c r="I148" s="6" t="s">
        <v>711</v>
      </c>
      <c r="J148" s="94">
        <v>1308196785</v>
      </c>
      <c r="K148" s="68">
        <v>45930</v>
      </c>
      <c r="L148" s="68">
        <v>46022</v>
      </c>
      <c r="M148" s="68">
        <v>46203</v>
      </c>
      <c r="N148" s="69">
        <f t="shared" si="0"/>
        <v>1</v>
      </c>
      <c r="O148" s="69">
        <f t="shared" si="1"/>
        <v>0</v>
      </c>
      <c r="P148" s="70">
        <v>13</v>
      </c>
      <c r="Q148" s="70">
        <v>14</v>
      </c>
      <c r="R148" s="70">
        <v>14</v>
      </c>
      <c r="S148" s="68" t="str">
        <f t="shared" si="2"/>
        <v/>
      </c>
      <c r="T148" s="68"/>
      <c r="U148" s="95"/>
      <c r="V148" s="68"/>
      <c r="W148" s="6"/>
      <c r="X148" s="10"/>
      <c r="Y148" s="71">
        <f t="shared" si="3"/>
        <v>14</v>
      </c>
      <c r="Z148" s="73">
        <f t="shared" si="4"/>
        <v>14</v>
      </c>
      <c r="AA148" s="73">
        <f t="shared" si="5"/>
        <v>1</v>
      </c>
      <c r="AB148" s="73">
        <f t="shared" si="6"/>
        <v>1</v>
      </c>
      <c r="AC148" s="73">
        <f t="shared" si="7"/>
        <v>0</v>
      </c>
      <c r="AD148" s="73">
        <f t="shared" si="8"/>
        <v>0</v>
      </c>
      <c r="AE148" s="73">
        <f t="shared" si="9"/>
        <v>1.000148</v>
      </c>
      <c r="AF148" s="73">
        <f t="shared" si="10"/>
        <v>1.000148</v>
      </c>
      <c r="AG148" s="73">
        <f t="shared" si="11"/>
        <v>1.4799999999999999E-4</v>
      </c>
      <c r="AH148" s="73">
        <f t="shared" si="12"/>
        <v>1.4799999999999999E-4</v>
      </c>
    </row>
    <row r="149" spans="1:34" ht="14.25" customHeight="1">
      <c r="A149" s="11">
        <v>134</v>
      </c>
      <c r="B149" s="66"/>
      <c r="C149" s="67"/>
      <c r="D149" s="67"/>
      <c r="E149" s="67"/>
      <c r="F149" s="67"/>
      <c r="G149" s="67" t="s">
        <v>35</v>
      </c>
      <c r="H149" s="67">
        <v>42916</v>
      </c>
      <c r="I149" s="6" t="s">
        <v>712</v>
      </c>
      <c r="J149" s="9">
        <v>1308601717</v>
      </c>
      <c r="K149" s="68">
        <v>42886</v>
      </c>
      <c r="L149" s="68">
        <v>46022</v>
      </c>
      <c r="M149" s="68">
        <v>46203</v>
      </c>
      <c r="N149" s="69">
        <f t="shared" si="0"/>
        <v>-35</v>
      </c>
      <c r="O149" s="69">
        <f t="shared" si="1"/>
        <v>-3</v>
      </c>
      <c r="P149" s="70">
        <v>56</v>
      </c>
      <c r="Q149" s="70">
        <v>24</v>
      </c>
      <c r="R149" s="70">
        <v>21</v>
      </c>
      <c r="S149" s="68" t="str">
        <f t="shared" si="2"/>
        <v/>
      </c>
      <c r="T149" s="68"/>
      <c r="U149" s="68"/>
      <c r="V149" s="68"/>
      <c r="W149" s="9"/>
      <c r="X149" s="10"/>
      <c r="Y149" s="71">
        <f t="shared" si="3"/>
        <v>24</v>
      </c>
      <c r="Z149" s="73">
        <f t="shared" si="4"/>
        <v>21</v>
      </c>
      <c r="AA149" s="11" t="str">
        <f t="shared" si="5"/>
        <v/>
      </c>
      <c r="AB149" s="73">
        <f t="shared" si="6"/>
        <v>-35</v>
      </c>
      <c r="AC149" s="11" t="str">
        <f t="shared" si="7"/>
        <v/>
      </c>
      <c r="AD149" s="73">
        <f t="shared" si="8"/>
        <v>-3</v>
      </c>
      <c r="AE149" s="11" t="str">
        <f t="shared" si="9"/>
        <v/>
      </c>
      <c r="AF149" s="73">
        <f t="shared" si="10"/>
        <v>-34.999851</v>
      </c>
      <c r="AG149" s="11" t="str">
        <f t="shared" si="11"/>
        <v/>
      </c>
      <c r="AH149" s="73">
        <f t="shared" si="12"/>
        <v>-2.999851</v>
      </c>
    </row>
    <row r="150" spans="1:34" ht="14.25" customHeight="1">
      <c r="A150" s="11">
        <v>135</v>
      </c>
      <c r="B150" s="66"/>
      <c r="C150" s="67"/>
      <c r="D150" s="67"/>
      <c r="E150" s="67"/>
      <c r="F150" s="67"/>
      <c r="G150" s="67" t="s">
        <v>35</v>
      </c>
      <c r="H150" s="67">
        <v>45476</v>
      </c>
      <c r="I150" s="6" t="s">
        <v>713</v>
      </c>
      <c r="J150" s="9">
        <v>1318673816</v>
      </c>
      <c r="K150" s="68">
        <v>45473</v>
      </c>
      <c r="L150" s="68">
        <v>46022</v>
      </c>
      <c r="M150" s="68">
        <v>46203</v>
      </c>
      <c r="N150" s="69">
        <f t="shared" si="0"/>
        <v>4</v>
      </c>
      <c r="O150" s="69">
        <f t="shared" si="1"/>
        <v>0</v>
      </c>
      <c r="P150" s="70">
        <v>3</v>
      </c>
      <c r="Q150" s="70">
        <v>7</v>
      </c>
      <c r="R150" s="70">
        <v>7</v>
      </c>
      <c r="S150" s="68" t="str">
        <f t="shared" si="2"/>
        <v/>
      </c>
      <c r="T150" s="68"/>
      <c r="U150" s="68"/>
      <c r="V150" s="68"/>
      <c r="W150" s="9"/>
      <c r="X150" s="10"/>
      <c r="Y150" s="71">
        <f t="shared" si="3"/>
        <v>7</v>
      </c>
      <c r="Z150" s="73">
        <f t="shared" si="4"/>
        <v>7</v>
      </c>
      <c r="AA150" s="11" t="str">
        <f t="shared" si="5"/>
        <v/>
      </c>
      <c r="AB150" s="73">
        <f t="shared" si="6"/>
        <v>4</v>
      </c>
      <c r="AC150" s="11" t="str">
        <f t="shared" si="7"/>
        <v/>
      </c>
      <c r="AD150" s="73">
        <f t="shared" si="8"/>
        <v>0</v>
      </c>
      <c r="AE150" s="11" t="str">
        <f t="shared" si="9"/>
        <v/>
      </c>
      <c r="AF150" s="73">
        <f t="shared" si="10"/>
        <v>4.0001499999999997</v>
      </c>
      <c r="AG150" s="11" t="str">
        <f t="shared" si="11"/>
        <v/>
      </c>
      <c r="AH150" s="73">
        <f t="shared" si="12"/>
        <v>1.4999999999999999E-4</v>
      </c>
    </row>
    <row r="151" spans="1:34" ht="14.25" customHeight="1">
      <c r="A151" s="11">
        <v>136</v>
      </c>
      <c r="B151" s="66"/>
      <c r="C151" s="67"/>
      <c r="D151" s="67"/>
      <c r="E151" s="67"/>
      <c r="F151" s="67"/>
      <c r="G151" s="67" t="s">
        <v>24</v>
      </c>
      <c r="H151" s="67">
        <v>42383</v>
      </c>
      <c r="I151" s="6" t="s">
        <v>714</v>
      </c>
      <c r="J151" s="9">
        <v>1318700149</v>
      </c>
      <c r="K151" s="68">
        <v>42369</v>
      </c>
      <c r="L151" s="68" t="s">
        <v>230</v>
      </c>
      <c r="M151" s="68">
        <v>44196</v>
      </c>
      <c r="N151" s="69">
        <f t="shared" si="0"/>
        <v>-4</v>
      </c>
      <c r="O151" s="69" t="str">
        <f t="shared" si="1"/>
        <v>N/A</v>
      </c>
      <c r="P151" s="70">
        <v>4</v>
      </c>
      <c r="Q151" s="70"/>
      <c r="R151" s="70">
        <v>0</v>
      </c>
      <c r="S151" s="68">
        <f t="shared" si="2"/>
        <v>44167</v>
      </c>
      <c r="T151" s="68">
        <v>44167</v>
      </c>
      <c r="U151" s="68"/>
      <c r="V151" s="68"/>
      <c r="W151" s="9"/>
      <c r="X151" s="10"/>
      <c r="Y151" s="65" t="str">
        <f t="shared" si="3"/>
        <v/>
      </c>
      <c r="Z151" s="11" t="str">
        <f t="shared" si="4"/>
        <v/>
      </c>
      <c r="AA151" s="11" t="str">
        <f t="shared" si="5"/>
        <v/>
      </c>
      <c r="AB151" s="73">
        <f t="shared" si="6"/>
        <v>-4</v>
      </c>
      <c r="AC151" s="11" t="str">
        <f t="shared" si="7"/>
        <v/>
      </c>
      <c r="AD151" s="11" t="str">
        <f t="shared" si="8"/>
        <v/>
      </c>
      <c r="AE151" s="11" t="str">
        <f t="shared" si="9"/>
        <v/>
      </c>
      <c r="AF151" s="73">
        <f t="shared" si="10"/>
        <v>-3.9998490000000002</v>
      </c>
      <c r="AG151" s="11" t="str">
        <f t="shared" si="11"/>
        <v/>
      </c>
      <c r="AH151" s="11" t="str">
        <f t="shared" si="12"/>
        <v/>
      </c>
    </row>
    <row r="152" spans="1:34" ht="14.25" customHeight="1">
      <c r="A152" s="11">
        <v>137</v>
      </c>
      <c r="B152" s="66"/>
      <c r="C152" s="67"/>
      <c r="D152" s="67"/>
      <c r="E152" s="67"/>
      <c r="F152" s="67"/>
      <c r="G152" s="67" t="s">
        <v>35</v>
      </c>
      <c r="H152" s="67">
        <v>43398</v>
      </c>
      <c r="I152" s="6" t="s">
        <v>715</v>
      </c>
      <c r="J152" s="9">
        <v>1318801223</v>
      </c>
      <c r="K152" s="68">
        <v>43373</v>
      </c>
      <c r="L152" s="68">
        <v>46022</v>
      </c>
      <c r="M152" s="68">
        <v>46203</v>
      </c>
      <c r="N152" s="69">
        <f t="shared" si="0"/>
        <v>3</v>
      </c>
      <c r="O152" s="69">
        <f t="shared" si="1"/>
        <v>0</v>
      </c>
      <c r="P152" s="70">
        <v>0</v>
      </c>
      <c r="Q152" s="70">
        <v>3</v>
      </c>
      <c r="R152" s="70">
        <v>3</v>
      </c>
      <c r="S152" s="68" t="str">
        <f t="shared" si="2"/>
        <v/>
      </c>
      <c r="T152" s="68"/>
      <c r="U152" s="68"/>
      <c r="V152" s="68"/>
      <c r="W152" s="9"/>
      <c r="X152" s="10"/>
      <c r="Y152" s="71">
        <f t="shared" si="3"/>
        <v>3</v>
      </c>
      <c r="Z152" s="73">
        <f t="shared" si="4"/>
        <v>3</v>
      </c>
      <c r="AA152" s="11" t="str">
        <f t="shared" si="5"/>
        <v/>
      </c>
      <c r="AB152" s="73">
        <f t="shared" si="6"/>
        <v>3</v>
      </c>
      <c r="AC152" s="11" t="str">
        <f t="shared" si="7"/>
        <v/>
      </c>
      <c r="AD152" s="73">
        <f t="shared" si="8"/>
        <v>0</v>
      </c>
      <c r="AE152" s="11" t="str">
        <f t="shared" si="9"/>
        <v/>
      </c>
      <c r="AF152" s="73">
        <f t="shared" si="10"/>
        <v>3.0001519999999999</v>
      </c>
      <c r="AG152" s="11" t="str">
        <f t="shared" si="11"/>
        <v/>
      </c>
      <c r="AH152" s="73">
        <f t="shared" si="12"/>
        <v>1.5200000000000001E-4</v>
      </c>
    </row>
    <row r="153" spans="1:34" ht="14.25" customHeight="1">
      <c r="A153" s="11">
        <v>138</v>
      </c>
      <c r="B153" s="66"/>
      <c r="C153" s="67"/>
      <c r="D153" s="67"/>
      <c r="E153" s="67"/>
      <c r="F153" s="67"/>
      <c r="G153" s="67" t="s">
        <v>35</v>
      </c>
      <c r="H153" s="67">
        <v>45805</v>
      </c>
      <c r="I153" s="6" t="s">
        <v>716</v>
      </c>
      <c r="J153" s="9">
        <v>1338702314</v>
      </c>
      <c r="K153" s="68">
        <v>45777</v>
      </c>
      <c r="L153" s="68">
        <v>46022</v>
      </c>
      <c r="M153" s="68">
        <v>46203</v>
      </c>
      <c r="N153" s="69">
        <f t="shared" si="0"/>
        <v>12</v>
      </c>
      <c r="O153" s="69">
        <f t="shared" si="1"/>
        <v>0</v>
      </c>
      <c r="P153" s="70">
        <v>8</v>
      </c>
      <c r="Q153" s="70">
        <v>20</v>
      </c>
      <c r="R153" s="70">
        <v>20</v>
      </c>
      <c r="S153" s="68" t="str">
        <f t="shared" si="2"/>
        <v/>
      </c>
      <c r="T153" s="68"/>
      <c r="U153" s="68"/>
      <c r="V153" s="68"/>
      <c r="W153" s="9"/>
      <c r="X153" s="10"/>
      <c r="Y153" s="71">
        <f t="shared" si="3"/>
        <v>20</v>
      </c>
      <c r="Z153" s="73">
        <f t="shared" si="4"/>
        <v>20</v>
      </c>
      <c r="AA153" s="11" t="str">
        <f t="shared" si="5"/>
        <v/>
      </c>
      <c r="AB153" s="73">
        <f t="shared" si="6"/>
        <v>12</v>
      </c>
      <c r="AC153" s="11" t="str">
        <f t="shared" si="7"/>
        <v/>
      </c>
      <c r="AD153" s="73">
        <f t="shared" si="8"/>
        <v>0</v>
      </c>
      <c r="AE153" s="11" t="str">
        <f t="shared" si="9"/>
        <v/>
      </c>
      <c r="AF153" s="73">
        <f t="shared" si="10"/>
        <v>12.000152999999999</v>
      </c>
      <c r="AG153" s="11" t="str">
        <f t="shared" si="11"/>
        <v/>
      </c>
      <c r="AH153" s="73">
        <f t="shared" si="12"/>
        <v>1.5300000000000001E-4</v>
      </c>
    </row>
    <row r="154" spans="1:34" ht="14.25" customHeight="1">
      <c r="A154" s="11">
        <v>139</v>
      </c>
      <c r="B154" s="66"/>
      <c r="C154" s="67"/>
      <c r="D154" s="67"/>
      <c r="E154" s="67"/>
      <c r="F154" s="67"/>
      <c r="G154" s="67" t="s">
        <v>35</v>
      </c>
      <c r="H154" s="67">
        <v>45666</v>
      </c>
      <c r="I154" s="6" t="s">
        <v>717</v>
      </c>
      <c r="J154" s="9">
        <v>1348159647</v>
      </c>
      <c r="K154" s="68">
        <v>45657</v>
      </c>
      <c r="L154" s="68">
        <v>46022</v>
      </c>
      <c r="M154" s="68">
        <v>46203</v>
      </c>
      <c r="N154" s="69">
        <f t="shared" si="0"/>
        <v>36</v>
      </c>
      <c r="O154" s="69">
        <f t="shared" si="1"/>
        <v>16</v>
      </c>
      <c r="P154" s="70">
        <v>193</v>
      </c>
      <c r="Q154" s="70">
        <v>213</v>
      </c>
      <c r="R154" s="70">
        <v>229</v>
      </c>
      <c r="S154" s="68" t="str">
        <f t="shared" si="2"/>
        <v/>
      </c>
      <c r="T154" s="68"/>
      <c r="U154" s="68"/>
      <c r="V154" s="68"/>
      <c r="W154" s="9"/>
      <c r="X154" s="10"/>
      <c r="Y154" s="71">
        <f t="shared" si="3"/>
        <v>213</v>
      </c>
      <c r="Z154" s="73">
        <f t="shared" si="4"/>
        <v>229</v>
      </c>
      <c r="AA154" s="11" t="str">
        <f t="shared" si="5"/>
        <v/>
      </c>
      <c r="AB154" s="73">
        <f t="shared" si="6"/>
        <v>36</v>
      </c>
      <c r="AC154" s="11" t="str">
        <f t="shared" si="7"/>
        <v/>
      </c>
      <c r="AD154" s="73">
        <f t="shared" si="8"/>
        <v>16</v>
      </c>
      <c r="AE154" s="11" t="str">
        <f t="shared" si="9"/>
        <v/>
      </c>
      <c r="AF154" s="73">
        <f t="shared" si="10"/>
        <v>36.000154000000002</v>
      </c>
      <c r="AG154" s="11" t="str">
        <f t="shared" si="11"/>
        <v/>
      </c>
      <c r="AH154" s="73">
        <f t="shared" si="12"/>
        <v>16.000153999999998</v>
      </c>
    </row>
    <row r="155" spans="1:34" ht="14.25" customHeight="1">
      <c r="A155" s="11">
        <v>140</v>
      </c>
      <c r="B155" s="66"/>
      <c r="C155" s="67"/>
      <c r="D155" s="67"/>
      <c r="E155" s="67"/>
      <c r="F155" s="67"/>
      <c r="G155" s="67" t="s">
        <v>35</v>
      </c>
      <c r="H155" s="67">
        <v>41886</v>
      </c>
      <c r="I155" s="6" t="s">
        <v>718</v>
      </c>
      <c r="J155" s="9">
        <v>1348673663</v>
      </c>
      <c r="K155" s="68">
        <v>41882</v>
      </c>
      <c r="L155" s="68">
        <v>46022</v>
      </c>
      <c r="M155" s="68">
        <v>46203</v>
      </c>
      <c r="N155" s="69">
        <f t="shared" si="0"/>
        <v>35</v>
      </c>
      <c r="O155" s="69">
        <f t="shared" si="1"/>
        <v>-4</v>
      </c>
      <c r="P155" s="70">
        <v>6</v>
      </c>
      <c r="Q155" s="70">
        <v>45</v>
      </c>
      <c r="R155" s="70">
        <v>41</v>
      </c>
      <c r="S155" s="68" t="str">
        <f t="shared" si="2"/>
        <v/>
      </c>
      <c r="T155" s="68"/>
      <c r="U155" s="68"/>
      <c r="V155" s="68"/>
      <c r="W155" s="9"/>
      <c r="X155" s="10"/>
      <c r="Y155" s="71">
        <f t="shared" si="3"/>
        <v>45</v>
      </c>
      <c r="Z155" s="73">
        <f t="shared" si="4"/>
        <v>41</v>
      </c>
      <c r="AA155" s="11" t="str">
        <f t="shared" si="5"/>
        <v/>
      </c>
      <c r="AB155" s="73">
        <f t="shared" si="6"/>
        <v>35</v>
      </c>
      <c r="AC155" s="11" t="str">
        <f t="shared" si="7"/>
        <v/>
      </c>
      <c r="AD155" s="73">
        <f t="shared" si="8"/>
        <v>-4</v>
      </c>
      <c r="AE155" s="11" t="str">
        <f t="shared" si="9"/>
        <v/>
      </c>
      <c r="AF155" s="73">
        <f t="shared" si="10"/>
        <v>35.000154999999999</v>
      </c>
      <c r="AG155" s="11" t="str">
        <f t="shared" si="11"/>
        <v/>
      </c>
      <c r="AH155" s="73">
        <f t="shared" si="12"/>
        <v>-3.9998450000000001</v>
      </c>
    </row>
    <row r="156" spans="1:34" ht="14.25" customHeight="1">
      <c r="A156" s="11">
        <v>141</v>
      </c>
      <c r="B156" s="66"/>
      <c r="C156" s="67"/>
      <c r="D156" s="67"/>
      <c r="E156" s="67"/>
      <c r="F156" s="67"/>
      <c r="G156" s="67" t="s">
        <v>35</v>
      </c>
      <c r="H156" s="67">
        <v>45301</v>
      </c>
      <c r="I156" s="6" t="s">
        <v>719</v>
      </c>
      <c r="J156" s="9">
        <v>1348682110</v>
      </c>
      <c r="K156" s="68">
        <v>45291</v>
      </c>
      <c r="L156" s="68">
        <v>46022</v>
      </c>
      <c r="M156" s="68">
        <v>46203</v>
      </c>
      <c r="N156" s="69">
        <f t="shared" si="0"/>
        <v>4</v>
      </c>
      <c r="O156" s="69">
        <f t="shared" si="1"/>
        <v>0</v>
      </c>
      <c r="P156" s="70">
        <v>17</v>
      </c>
      <c r="Q156" s="70">
        <v>21</v>
      </c>
      <c r="R156" s="70">
        <v>21</v>
      </c>
      <c r="S156" s="68" t="str">
        <f t="shared" si="2"/>
        <v/>
      </c>
      <c r="T156" s="68"/>
      <c r="U156" s="68"/>
      <c r="V156" s="68"/>
      <c r="W156" s="9"/>
      <c r="X156" s="10"/>
      <c r="Y156" s="71">
        <f t="shared" si="3"/>
        <v>21</v>
      </c>
      <c r="Z156" s="73">
        <f t="shared" si="4"/>
        <v>21</v>
      </c>
      <c r="AA156" s="11" t="str">
        <f t="shared" si="5"/>
        <v/>
      </c>
      <c r="AB156" s="73">
        <f t="shared" si="6"/>
        <v>4</v>
      </c>
      <c r="AC156" s="11" t="str">
        <f t="shared" si="7"/>
        <v/>
      </c>
      <c r="AD156" s="73">
        <f t="shared" si="8"/>
        <v>0</v>
      </c>
      <c r="AE156" s="11" t="str">
        <f t="shared" si="9"/>
        <v/>
      </c>
      <c r="AF156" s="73">
        <f t="shared" si="10"/>
        <v>4.0001559999999996</v>
      </c>
      <c r="AG156" s="11" t="str">
        <f t="shared" si="11"/>
        <v/>
      </c>
      <c r="AH156" s="73">
        <f t="shared" si="12"/>
        <v>1.56E-4</v>
      </c>
    </row>
    <row r="157" spans="1:34" ht="14.25" customHeight="1">
      <c r="A157" s="11">
        <v>142</v>
      </c>
      <c r="B157" s="66" t="s">
        <v>35</v>
      </c>
      <c r="C157" s="67">
        <v>42036</v>
      </c>
      <c r="D157" s="67"/>
      <c r="E157" s="67"/>
      <c r="F157" s="67"/>
      <c r="G157" s="67"/>
      <c r="H157" s="67"/>
      <c r="I157" s="6" t="s">
        <v>720</v>
      </c>
      <c r="J157" s="9">
        <v>1348720367</v>
      </c>
      <c r="K157" s="68">
        <v>42035</v>
      </c>
      <c r="L157" s="68">
        <v>46022</v>
      </c>
      <c r="M157" s="68">
        <v>46203</v>
      </c>
      <c r="N157" s="69">
        <f t="shared" si="0"/>
        <v>5</v>
      </c>
      <c r="O157" s="69">
        <f t="shared" si="1"/>
        <v>-3</v>
      </c>
      <c r="P157" s="70">
        <v>0</v>
      </c>
      <c r="Q157" s="70">
        <v>8</v>
      </c>
      <c r="R157" s="70">
        <v>5</v>
      </c>
      <c r="S157" s="68" t="str">
        <f t="shared" si="2"/>
        <v/>
      </c>
      <c r="T157" s="68"/>
      <c r="U157" s="68"/>
      <c r="V157" s="68"/>
      <c r="W157" s="9"/>
      <c r="X157" s="10"/>
      <c r="Y157" s="71">
        <f t="shared" si="3"/>
        <v>8</v>
      </c>
      <c r="Z157" s="73">
        <f t="shared" si="4"/>
        <v>5</v>
      </c>
      <c r="AA157" s="73">
        <f t="shared" si="5"/>
        <v>5</v>
      </c>
      <c r="AB157" s="11" t="str">
        <f t="shared" si="6"/>
        <v/>
      </c>
      <c r="AC157" s="73">
        <f t="shared" si="7"/>
        <v>-3</v>
      </c>
      <c r="AD157" s="11" t="str">
        <f t="shared" si="8"/>
        <v/>
      </c>
      <c r="AE157" s="73">
        <f t="shared" si="9"/>
        <v>5.0001569999999997</v>
      </c>
      <c r="AF157" s="11" t="str">
        <f t="shared" si="10"/>
        <v/>
      </c>
      <c r="AG157" s="73">
        <f t="shared" si="11"/>
        <v>-2.9998429999999998</v>
      </c>
      <c r="AH157" s="11" t="str">
        <f t="shared" si="12"/>
        <v/>
      </c>
    </row>
    <row r="158" spans="1:34" ht="14.25" customHeight="1">
      <c r="A158" s="11">
        <v>143</v>
      </c>
      <c r="B158" s="121" t="s">
        <v>24</v>
      </c>
      <c r="C158" s="67">
        <v>43222</v>
      </c>
      <c r="D158" s="67">
        <v>43021</v>
      </c>
      <c r="E158" s="67"/>
      <c r="F158" s="67"/>
      <c r="G158" s="67"/>
      <c r="H158" s="67"/>
      <c r="I158" s="6" t="s">
        <v>721</v>
      </c>
      <c r="J158" s="9">
        <v>1348730318</v>
      </c>
      <c r="K158" s="68">
        <v>43008</v>
      </c>
      <c r="L158" s="68" t="s">
        <v>230</v>
      </c>
      <c r="M158" s="68">
        <v>44804</v>
      </c>
      <c r="N158" s="69">
        <f t="shared" si="0"/>
        <v>-13</v>
      </c>
      <c r="O158" s="69" t="str">
        <f t="shared" si="1"/>
        <v>N/A</v>
      </c>
      <c r="P158" s="70">
        <v>13</v>
      </c>
      <c r="Q158" s="70"/>
      <c r="R158" s="70">
        <v>0</v>
      </c>
      <c r="S158" s="68">
        <f t="shared" si="2"/>
        <v>44797</v>
      </c>
      <c r="T158" s="68">
        <v>44797</v>
      </c>
      <c r="U158" s="68">
        <v>44561</v>
      </c>
      <c r="V158" s="68">
        <v>45560</v>
      </c>
      <c r="W158" s="9"/>
      <c r="X158" s="93"/>
      <c r="Y158" s="65" t="str">
        <f t="shared" si="3"/>
        <v/>
      </c>
      <c r="Z158" s="11" t="str">
        <f t="shared" si="4"/>
        <v/>
      </c>
      <c r="AA158" s="73">
        <f t="shared" si="5"/>
        <v>-13</v>
      </c>
      <c r="AB158" s="11" t="str">
        <f t="shared" si="6"/>
        <v/>
      </c>
      <c r="AC158" s="11" t="str">
        <f t="shared" si="7"/>
        <v/>
      </c>
      <c r="AD158" s="11" t="str">
        <f t="shared" si="8"/>
        <v/>
      </c>
      <c r="AE158" s="73">
        <f t="shared" si="9"/>
        <v>-12.999841999999999</v>
      </c>
      <c r="AF158" s="11" t="str">
        <f t="shared" si="10"/>
        <v/>
      </c>
      <c r="AG158" s="11" t="str">
        <f t="shared" si="11"/>
        <v/>
      </c>
      <c r="AH158" s="11" t="str">
        <f t="shared" si="12"/>
        <v/>
      </c>
    </row>
    <row r="159" spans="1:34" ht="14.25" customHeight="1">
      <c r="A159" s="11">
        <v>144</v>
      </c>
      <c r="B159" s="66" t="s">
        <v>35</v>
      </c>
      <c r="C159" s="67">
        <v>42887</v>
      </c>
      <c r="D159" s="67"/>
      <c r="E159" s="67"/>
      <c r="F159" s="67"/>
      <c r="G159" s="67"/>
      <c r="H159" s="67"/>
      <c r="I159" s="6" t="s">
        <v>722</v>
      </c>
      <c r="J159" s="9">
        <v>1348730550</v>
      </c>
      <c r="K159" s="68">
        <v>42886</v>
      </c>
      <c r="L159" s="68">
        <v>46022</v>
      </c>
      <c r="M159" s="68">
        <v>46203</v>
      </c>
      <c r="N159" s="69">
        <f t="shared" si="0"/>
        <v>14</v>
      </c>
      <c r="O159" s="69">
        <f t="shared" si="1"/>
        <v>0</v>
      </c>
      <c r="P159" s="70">
        <v>0</v>
      </c>
      <c r="Q159" s="70">
        <v>14</v>
      </c>
      <c r="R159" s="70">
        <v>14</v>
      </c>
      <c r="S159" s="68" t="str">
        <f t="shared" si="2"/>
        <v/>
      </c>
      <c r="T159" s="68"/>
      <c r="U159" s="68"/>
      <c r="V159" s="68"/>
      <c r="W159" s="9"/>
      <c r="X159" s="10"/>
      <c r="Y159" s="71">
        <f t="shared" si="3"/>
        <v>14</v>
      </c>
      <c r="Z159" s="73">
        <f t="shared" si="4"/>
        <v>14</v>
      </c>
      <c r="AA159" s="73">
        <f t="shared" si="5"/>
        <v>14</v>
      </c>
      <c r="AB159" s="11" t="str">
        <f t="shared" si="6"/>
        <v/>
      </c>
      <c r="AC159" s="73">
        <f t="shared" si="7"/>
        <v>0</v>
      </c>
      <c r="AD159" s="11" t="str">
        <f t="shared" si="8"/>
        <v/>
      </c>
      <c r="AE159" s="73">
        <f t="shared" si="9"/>
        <v>14.000159</v>
      </c>
      <c r="AF159" s="11" t="str">
        <f t="shared" si="10"/>
        <v/>
      </c>
      <c r="AG159" s="73">
        <f t="shared" si="11"/>
        <v>1.5899999999999999E-4</v>
      </c>
      <c r="AH159" s="11" t="str">
        <f t="shared" si="12"/>
        <v/>
      </c>
    </row>
    <row r="160" spans="1:34" ht="14.25" customHeight="1">
      <c r="A160" s="11">
        <v>145</v>
      </c>
      <c r="B160" s="66"/>
      <c r="C160" s="67"/>
      <c r="D160" s="67"/>
      <c r="E160" s="67"/>
      <c r="F160" s="67"/>
      <c r="G160" s="67" t="s">
        <v>35</v>
      </c>
      <c r="H160" s="67">
        <v>45296</v>
      </c>
      <c r="I160" s="6" t="s">
        <v>723</v>
      </c>
      <c r="J160" s="9">
        <v>1358615477</v>
      </c>
      <c r="K160" s="68">
        <v>45291</v>
      </c>
      <c r="L160" s="68">
        <v>46022</v>
      </c>
      <c r="M160" s="68">
        <v>46203</v>
      </c>
      <c r="N160" s="69">
        <f t="shared" si="0"/>
        <v>2</v>
      </c>
      <c r="O160" s="69">
        <f t="shared" si="1"/>
        <v>-1</v>
      </c>
      <c r="P160" s="70">
        <v>27</v>
      </c>
      <c r="Q160" s="70">
        <v>30</v>
      </c>
      <c r="R160" s="70">
        <v>29</v>
      </c>
      <c r="S160" s="68" t="str">
        <f t="shared" si="2"/>
        <v/>
      </c>
      <c r="T160" s="68"/>
      <c r="U160" s="68"/>
      <c r="V160" s="68"/>
      <c r="W160" s="9"/>
      <c r="X160" s="10"/>
      <c r="Y160" s="71">
        <f t="shared" si="3"/>
        <v>30</v>
      </c>
      <c r="Z160" s="73">
        <f t="shared" si="4"/>
        <v>29</v>
      </c>
      <c r="AA160" s="11" t="str">
        <f t="shared" si="5"/>
        <v/>
      </c>
      <c r="AB160" s="73">
        <f t="shared" si="6"/>
        <v>2</v>
      </c>
      <c r="AC160" s="11" t="str">
        <f t="shared" si="7"/>
        <v/>
      </c>
      <c r="AD160" s="73">
        <f t="shared" si="8"/>
        <v>-1</v>
      </c>
      <c r="AE160" s="11" t="str">
        <f t="shared" si="9"/>
        <v/>
      </c>
      <c r="AF160" s="73">
        <f t="shared" si="10"/>
        <v>2.0001600000000002</v>
      </c>
      <c r="AG160" s="11" t="str">
        <f t="shared" si="11"/>
        <v/>
      </c>
      <c r="AH160" s="73">
        <f t="shared" si="12"/>
        <v>-0.99983999999999995</v>
      </c>
    </row>
    <row r="161" spans="1:34" ht="14.25" customHeight="1">
      <c r="A161" s="11">
        <v>146</v>
      </c>
      <c r="B161" s="66"/>
      <c r="C161" s="67"/>
      <c r="D161" s="67"/>
      <c r="E161" s="67"/>
      <c r="F161" s="67"/>
      <c r="G161" s="67" t="s">
        <v>35</v>
      </c>
      <c r="H161" s="67">
        <v>44376</v>
      </c>
      <c r="I161" s="6" t="s">
        <v>724</v>
      </c>
      <c r="J161" s="9">
        <v>1358639601</v>
      </c>
      <c r="K161" s="68">
        <v>44347</v>
      </c>
      <c r="L161" s="68">
        <v>46022</v>
      </c>
      <c r="M161" s="68">
        <v>46203</v>
      </c>
      <c r="N161" s="69">
        <f t="shared" si="0"/>
        <v>-30</v>
      </c>
      <c r="O161" s="69">
        <f t="shared" si="1"/>
        <v>0</v>
      </c>
      <c r="P161" s="70">
        <v>43</v>
      </c>
      <c r="Q161" s="70">
        <v>13</v>
      </c>
      <c r="R161" s="70">
        <v>13</v>
      </c>
      <c r="S161" s="68" t="str">
        <f t="shared" si="2"/>
        <v/>
      </c>
      <c r="T161" s="68"/>
      <c r="U161" s="68"/>
      <c r="V161" s="68"/>
      <c r="W161" s="9"/>
      <c r="X161" s="10"/>
      <c r="Y161" s="71">
        <f t="shared" si="3"/>
        <v>13</v>
      </c>
      <c r="Z161" s="73">
        <f t="shared" si="4"/>
        <v>13</v>
      </c>
      <c r="AA161" s="11" t="str">
        <f t="shared" si="5"/>
        <v/>
      </c>
      <c r="AB161" s="73">
        <f t="shared" si="6"/>
        <v>-30</v>
      </c>
      <c r="AC161" s="11" t="str">
        <f t="shared" si="7"/>
        <v/>
      </c>
      <c r="AD161" s="73">
        <f t="shared" si="8"/>
        <v>0</v>
      </c>
      <c r="AE161" s="11" t="str">
        <f t="shared" si="9"/>
        <v/>
      </c>
      <c r="AF161" s="73">
        <f t="shared" si="10"/>
        <v>-29.999839000000001</v>
      </c>
      <c r="AG161" s="11" t="str">
        <f t="shared" si="11"/>
        <v/>
      </c>
      <c r="AH161" s="73">
        <f t="shared" si="12"/>
        <v>1.6100000000000001E-4</v>
      </c>
    </row>
    <row r="162" spans="1:34" ht="14.25" customHeight="1">
      <c r="A162" s="11">
        <v>147</v>
      </c>
      <c r="B162" s="66"/>
      <c r="C162" s="67"/>
      <c r="D162" s="67"/>
      <c r="E162" s="67"/>
      <c r="F162" s="67"/>
      <c r="G162" s="67" t="s">
        <v>35</v>
      </c>
      <c r="H162" s="67">
        <v>45842</v>
      </c>
      <c r="I162" s="6" t="s">
        <v>725</v>
      </c>
      <c r="J162" s="94">
        <v>1358642334</v>
      </c>
      <c r="K162" s="68">
        <v>45838</v>
      </c>
      <c r="L162" s="68">
        <v>46022</v>
      </c>
      <c r="M162" s="68">
        <v>46203</v>
      </c>
      <c r="N162" s="69">
        <f t="shared" si="0"/>
        <v>2</v>
      </c>
      <c r="O162" s="69">
        <f t="shared" si="1"/>
        <v>2</v>
      </c>
      <c r="P162" s="70">
        <v>9</v>
      </c>
      <c r="Q162" s="70">
        <v>9</v>
      </c>
      <c r="R162" s="70">
        <v>11</v>
      </c>
      <c r="S162" s="68" t="str">
        <f t="shared" si="2"/>
        <v/>
      </c>
      <c r="T162" s="68"/>
      <c r="U162" s="95"/>
      <c r="V162" s="68"/>
      <c r="W162" s="6"/>
      <c r="X162" s="10"/>
      <c r="Y162" s="71">
        <f t="shared" si="3"/>
        <v>9</v>
      </c>
      <c r="Z162" s="73">
        <f t="shared" si="4"/>
        <v>11</v>
      </c>
      <c r="AA162" s="11" t="str">
        <f t="shared" si="5"/>
        <v/>
      </c>
      <c r="AB162" s="73">
        <f t="shared" si="6"/>
        <v>2</v>
      </c>
      <c r="AC162" s="11" t="str">
        <f t="shared" si="7"/>
        <v/>
      </c>
      <c r="AD162" s="73">
        <f t="shared" si="8"/>
        <v>2</v>
      </c>
      <c r="AE162" s="11" t="str">
        <f t="shared" si="9"/>
        <v/>
      </c>
      <c r="AF162" s="73">
        <f t="shared" si="10"/>
        <v>2.000162</v>
      </c>
      <c r="AG162" s="11" t="str">
        <f t="shared" si="11"/>
        <v/>
      </c>
      <c r="AH162" s="73">
        <f t="shared" si="12"/>
        <v>2.000162</v>
      </c>
    </row>
    <row r="163" spans="1:34" ht="14.25" customHeight="1">
      <c r="A163" s="11">
        <v>148</v>
      </c>
      <c r="B163" s="66"/>
      <c r="C163" s="67"/>
      <c r="D163" s="67"/>
      <c r="E163" s="67"/>
      <c r="F163" s="67"/>
      <c r="G163" s="67" t="s">
        <v>35</v>
      </c>
      <c r="H163" s="67">
        <v>41996</v>
      </c>
      <c r="I163" s="6" t="s">
        <v>726</v>
      </c>
      <c r="J163" s="9">
        <v>1358650644</v>
      </c>
      <c r="K163" s="68">
        <v>41973</v>
      </c>
      <c r="L163" s="68">
        <v>46022</v>
      </c>
      <c r="M163" s="68">
        <v>46203</v>
      </c>
      <c r="N163" s="69">
        <f t="shared" si="0"/>
        <v>166</v>
      </c>
      <c r="O163" s="69">
        <f t="shared" si="1"/>
        <v>7</v>
      </c>
      <c r="P163" s="70">
        <v>0</v>
      </c>
      <c r="Q163" s="70">
        <v>159</v>
      </c>
      <c r="R163" s="70">
        <v>166</v>
      </c>
      <c r="S163" s="68" t="str">
        <f t="shared" si="2"/>
        <v/>
      </c>
      <c r="T163" s="68"/>
      <c r="U163" s="68"/>
      <c r="V163" s="68"/>
      <c r="W163" s="9"/>
      <c r="X163" s="10"/>
      <c r="Y163" s="71">
        <f t="shared" si="3"/>
        <v>159</v>
      </c>
      <c r="Z163" s="73">
        <f t="shared" si="4"/>
        <v>166</v>
      </c>
      <c r="AA163" s="11" t="str">
        <f t="shared" si="5"/>
        <v/>
      </c>
      <c r="AB163" s="73">
        <f t="shared" si="6"/>
        <v>166</v>
      </c>
      <c r="AC163" s="11" t="str">
        <f t="shared" si="7"/>
        <v/>
      </c>
      <c r="AD163" s="73">
        <f t="shared" si="8"/>
        <v>7</v>
      </c>
      <c r="AE163" s="11" t="str">
        <f t="shared" si="9"/>
        <v/>
      </c>
      <c r="AF163" s="73">
        <f t="shared" si="10"/>
        <v>166.00016299999999</v>
      </c>
      <c r="AG163" s="11" t="str">
        <f t="shared" si="11"/>
        <v/>
      </c>
      <c r="AH163" s="73">
        <f t="shared" si="12"/>
        <v>7.0001629999999997</v>
      </c>
    </row>
    <row r="164" spans="1:34" ht="14.25" customHeight="1">
      <c r="A164" s="11">
        <v>149</v>
      </c>
      <c r="B164" s="66"/>
      <c r="C164" s="67"/>
      <c r="D164" s="67"/>
      <c r="E164" s="67"/>
      <c r="F164" s="67"/>
      <c r="G164" s="67" t="s">
        <v>283</v>
      </c>
      <c r="H164" s="67">
        <v>43696</v>
      </c>
      <c r="I164" s="6" t="s">
        <v>727</v>
      </c>
      <c r="J164" s="9">
        <v>1358701121</v>
      </c>
      <c r="K164" s="68">
        <v>43677</v>
      </c>
      <c r="L164" s="68" t="s">
        <v>230</v>
      </c>
      <c r="M164" s="68">
        <v>45747</v>
      </c>
      <c r="N164" s="69">
        <f t="shared" si="0"/>
        <v>-6</v>
      </c>
      <c r="O164" s="69" t="str">
        <f t="shared" si="1"/>
        <v>N/A</v>
      </c>
      <c r="P164" s="70">
        <v>6</v>
      </c>
      <c r="Q164" s="70"/>
      <c r="R164" s="70">
        <v>0</v>
      </c>
      <c r="S164" s="68">
        <f t="shared" si="2"/>
        <v>45721</v>
      </c>
      <c r="T164" s="68"/>
      <c r="U164" s="68"/>
      <c r="V164" s="68"/>
      <c r="W164" s="68">
        <v>45721</v>
      </c>
      <c r="X164" s="10"/>
      <c r="Y164" s="65" t="str">
        <f t="shared" si="3"/>
        <v/>
      </c>
      <c r="Z164" s="11" t="str">
        <f t="shared" si="4"/>
        <v/>
      </c>
      <c r="AA164" s="11" t="str">
        <f t="shared" si="5"/>
        <v/>
      </c>
      <c r="AB164" s="73">
        <f t="shared" si="6"/>
        <v>-6</v>
      </c>
      <c r="AC164" s="11" t="str">
        <f t="shared" si="7"/>
        <v/>
      </c>
      <c r="AD164" s="11" t="str">
        <f t="shared" si="8"/>
        <v/>
      </c>
      <c r="AE164" s="11" t="str">
        <f t="shared" si="9"/>
        <v/>
      </c>
      <c r="AF164" s="73">
        <f t="shared" si="10"/>
        <v>-5.9998360000000002</v>
      </c>
      <c r="AG164" s="11" t="str">
        <f t="shared" si="11"/>
        <v/>
      </c>
      <c r="AH164" s="11" t="str">
        <f t="shared" si="12"/>
        <v/>
      </c>
    </row>
    <row r="165" spans="1:34" ht="14.25" customHeight="1">
      <c r="A165" s="11">
        <v>150</v>
      </c>
      <c r="B165" s="66" t="s">
        <v>35</v>
      </c>
      <c r="C165" s="67">
        <v>42552</v>
      </c>
      <c r="D165" s="67">
        <v>43081</v>
      </c>
      <c r="E165" s="67"/>
      <c r="F165" s="67"/>
      <c r="G165" s="67" t="s">
        <v>35</v>
      </c>
      <c r="H165" s="67">
        <v>43082</v>
      </c>
      <c r="I165" s="6" t="s">
        <v>728</v>
      </c>
      <c r="J165" s="9">
        <v>1358800584</v>
      </c>
      <c r="K165" s="68">
        <v>42551</v>
      </c>
      <c r="L165" s="68">
        <v>46022</v>
      </c>
      <c r="M165" s="68">
        <v>46203</v>
      </c>
      <c r="N165" s="69">
        <f t="shared" si="0"/>
        <v>5</v>
      </c>
      <c r="O165" s="69">
        <f t="shared" si="1"/>
        <v>-2</v>
      </c>
      <c r="P165" s="70">
        <v>0</v>
      </c>
      <c r="Q165" s="70">
        <v>7</v>
      </c>
      <c r="R165" s="70">
        <v>5</v>
      </c>
      <c r="S165" s="68" t="str">
        <f t="shared" si="2"/>
        <v/>
      </c>
      <c r="T165" s="68"/>
      <c r="U165" s="68"/>
      <c r="V165" s="68"/>
      <c r="W165" s="9"/>
      <c r="X165" s="10"/>
      <c r="Y165" s="71">
        <f t="shared" si="3"/>
        <v>7</v>
      </c>
      <c r="Z165" s="73">
        <f t="shared" si="4"/>
        <v>5</v>
      </c>
      <c r="AA165" s="73">
        <f t="shared" si="5"/>
        <v>5</v>
      </c>
      <c r="AB165" s="73">
        <f t="shared" si="6"/>
        <v>5</v>
      </c>
      <c r="AC165" s="73">
        <f t="shared" si="7"/>
        <v>-2</v>
      </c>
      <c r="AD165" s="73">
        <f t="shared" si="8"/>
        <v>-2</v>
      </c>
      <c r="AE165" s="73">
        <f t="shared" si="9"/>
        <v>5.000165</v>
      </c>
      <c r="AF165" s="73">
        <f t="shared" si="10"/>
        <v>5.000165</v>
      </c>
      <c r="AG165" s="73">
        <f t="shared" si="11"/>
        <v>-1.999835</v>
      </c>
      <c r="AH165" s="73">
        <f t="shared" si="12"/>
        <v>-1.999835</v>
      </c>
    </row>
    <row r="166" spans="1:34" ht="14.25" customHeight="1">
      <c r="A166" s="11">
        <v>151</v>
      </c>
      <c r="B166" s="66"/>
      <c r="C166" s="67"/>
      <c r="D166" s="67"/>
      <c r="E166" s="67"/>
      <c r="F166" s="67"/>
      <c r="G166" s="67" t="s">
        <v>35</v>
      </c>
      <c r="H166" s="67">
        <v>44524</v>
      </c>
      <c r="I166" s="6" t="s">
        <v>729</v>
      </c>
      <c r="J166" s="9">
        <v>1368601239</v>
      </c>
      <c r="K166" s="68">
        <v>44500</v>
      </c>
      <c r="L166" s="68">
        <v>46022</v>
      </c>
      <c r="M166" s="68">
        <v>46203</v>
      </c>
      <c r="N166" s="69">
        <f t="shared" si="0"/>
        <v>-1</v>
      </c>
      <c r="O166" s="69">
        <f t="shared" si="1"/>
        <v>-1</v>
      </c>
      <c r="P166" s="70">
        <v>11</v>
      </c>
      <c r="Q166" s="70">
        <v>11</v>
      </c>
      <c r="R166" s="70">
        <v>10</v>
      </c>
      <c r="S166" s="68" t="str">
        <f t="shared" si="2"/>
        <v/>
      </c>
      <c r="T166" s="68"/>
      <c r="U166" s="68"/>
      <c r="V166" s="68"/>
      <c r="W166" s="9"/>
      <c r="X166" s="10"/>
      <c r="Y166" s="71">
        <f t="shared" si="3"/>
        <v>11</v>
      </c>
      <c r="Z166" s="73">
        <f t="shared" si="4"/>
        <v>10</v>
      </c>
      <c r="AA166" s="11" t="str">
        <f t="shared" si="5"/>
        <v/>
      </c>
      <c r="AB166" s="73">
        <f t="shared" si="6"/>
        <v>-1</v>
      </c>
      <c r="AC166" s="11" t="str">
        <f t="shared" si="7"/>
        <v/>
      </c>
      <c r="AD166" s="73">
        <f t="shared" si="8"/>
        <v>-1</v>
      </c>
      <c r="AE166" s="11" t="str">
        <f t="shared" si="9"/>
        <v/>
      </c>
      <c r="AF166" s="73">
        <f t="shared" si="10"/>
        <v>-0.999834</v>
      </c>
      <c r="AG166" s="11" t="str">
        <f t="shared" si="11"/>
        <v/>
      </c>
      <c r="AH166" s="73">
        <f t="shared" si="12"/>
        <v>-0.999834</v>
      </c>
    </row>
    <row r="167" spans="1:34" ht="14.25" customHeight="1">
      <c r="A167" s="11">
        <v>152</v>
      </c>
      <c r="B167" s="66"/>
      <c r="C167" s="67"/>
      <c r="D167" s="67"/>
      <c r="E167" s="67"/>
      <c r="F167" s="67"/>
      <c r="G167" s="67" t="s">
        <v>35</v>
      </c>
      <c r="H167" s="67">
        <v>44428</v>
      </c>
      <c r="I167" s="6" t="s">
        <v>730</v>
      </c>
      <c r="J167" s="9">
        <v>1368602126</v>
      </c>
      <c r="K167" s="68">
        <v>44408</v>
      </c>
      <c r="L167" s="68">
        <v>46022</v>
      </c>
      <c r="M167" s="68">
        <v>46203</v>
      </c>
      <c r="N167" s="69">
        <f t="shared" si="0"/>
        <v>11</v>
      </c>
      <c r="O167" s="69">
        <f t="shared" si="1"/>
        <v>-2</v>
      </c>
      <c r="P167" s="70">
        <v>0</v>
      </c>
      <c r="Q167" s="70">
        <v>13</v>
      </c>
      <c r="R167" s="70">
        <v>11</v>
      </c>
      <c r="S167" s="68" t="str">
        <f t="shared" si="2"/>
        <v/>
      </c>
      <c r="T167" s="68"/>
      <c r="U167" s="68"/>
      <c r="V167" s="68"/>
      <c r="W167" s="9"/>
      <c r="X167" s="10"/>
      <c r="Y167" s="71">
        <f t="shared" si="3"/>
        <v>13</v>
      </c>
      <c r="Z167" s="73">
        <f t="shared" si="4"/>
        <v>11</v>
      </c>
      <c r="AA167" s="11" t="str">
        <f t="shared" si="5"/>
        <v/>
      </c>
      <c r="AB167" s="73">
        <f t="shared" si="6"/>
        <v>11</v>
      </c>
      <c r="AC167" s="11" t="str">
        <f t="shared" si="7"/>
        <v/>
      </c>
      <c r="AD167" s="73">
        <f t="shared" si="8"/>
        <v>-2</v>
      </c>
      <c r="AE167" s="11" t="str">
        <f t="shared" si="9"/>
        <v/>
      </c>
      <c r="AF167" s="73">
        <f t="shared" si="10"/>
        <v>11.000166999999999</v>
      </c>
      <c r="AG167" s="11" t="str">
        <f t="shared" si="11"/>
        <v/>
      </c>
      <c r="AH167" s="73">
        <f t="shared" si="12"/>
        <v>-1.999833</v>
      </c>
    </row>
    <row r="168" spans="1:34" ht="14.25" customHeight="1">
      <c r="A168" s="11">
        <v>153</v>
      </c>
      <c r="B168" s="66"/>
      <c r="C168" s="67"/>
      <c r="D168" s="67"/>
      <c r="E168" s="67"/>
      <c r="F168" s="67"/>
      <c r="G168" s="67" t="s">
        <v>35</v>
      </c>
      <c r="H168" s="67">
        <v>46014</v>
      </c>
      <c r="I168" s="6" t="s">
        <v>731</v>
      </c>
      <c r="J168" s="94">
        <v>1368603538</v>
      </c>
      <c r="K168" s="68">
        <v>45991</v>
      </c>
      <c r="L168" s="68">
        <v>46022</v>
      </c>
      <c r="M168" s="68">
        <v>46203</v>
      </c>
      <c r="N168" s="69">
        <f t="shared" si="0"/>
        <v>8</v>
      </c>
      <c r="O168" s="69">
        <f t="shared" si="1"/>
        <v>2</v>
      </c>
      <c r="P168" s="70">
        <v>0</v>
      </c>
      <c r="Q168" s="70">
        <v>6</v>
      </c>
      <c r="R168" s="70">
        <v>8</v>
      </c>
      <c r="S168" s="68" t="str">
        <f t="shared" si="2"/>
        <v/>
      </c>
      <c r="T168" s="68"/>
      <c r="U168" s="95"/>
      <c r="V168" s="68"/>
      <c r="W168" s="6"/>
      <c r="X168" s="10"/>
      <c r="Y168" s="71">
        <f t="shared" si="3"/>
        <v>6</v>
      </c>
      <c r="Z168" s="73">
        <f t="shared" si="4"/>
        <v>8</v>
      </c>
      <c r="AA168" s="11" t="str">
        <f t="shared" si="5"/>
        <v/>
      </c>
      <c r="AB168" s="73">
        <f t="shared" si="6"/>
        <v>8</v>
      </c>
      <c r="AC168" s="11" t="str">
        <f t="shared" si="7"/>
        <v/>
      </c>
      <c r="AD168" s="73">
        <f t="shared" si="8"/>
        <v>2</v>
      </c>
      <c r="AE168" s="11" t="str">
        <f t="shared" si="9"/>
        <v/>
      </c>
      <c r="AF168" s="73">
        <f t="shared" si="10"/>
        <v>8.0001680000000004</v>
      </c>
      <c r="AG168" s="11" t="str">
        <f t="shared" si="11"/>
        <v/>
      </c>
      <c r="AH168" s="73">
        <f t="shared" si="12"/>
        <v>2.0001679999999999</v>
      </c>
    </row>
    <row r="169" spans="1:34" ht="14.25" customHeight="1">
      <c r="A169" s="11">
        <v>154</v>
      </c>
      <c r="B169" s="66" t="s">
        <v>35</v>
      </c>
      <c r="C169" s="67"/>
      <c r="D169" s="67">
        <v>44357</v>
      </c>
      <c r="E169" s="67"/>
      <c r="F169" s="67"/>
      <c r="G169" s="67" t="s">
        <v>35</v>
      </c>
      <c r="H169" s="67">
        <v>43993</v>
      </c>
      <c r="I169" s="6" t="s">
        <v>732</v>
      </c>
      <c r="J169" s="9">
        <v>1368801475</v>
      </c>
      <c r="K169" s="68">
        <v>43982</v>
      </c>
      <c r="L169" s="68">
        <v>46022</v>
      </c>
      <c r="M169" s="68">
        <v>46203</v>
      </c>
      <c r="N169" s="69">
        <f t="shared" si="0"/>
        <v>1</v>
      </c>
      <c r="O169" s="69">
        <f t="shared" si="1"/>
        <v>0</v>
      </c>
      <c r="P169" s="70">
        <v>8</v>
      </c>
      <c r="Q169" s="70">
        <v>9</v>
      </c>
      <c r="R169" s="70">
        <v>9</v>
      </c>
      <c r="S169" s="68" t="str">
        <f t="shared" si="2"/>
        <v/>
      </c>
      <c r="T169" s="68"/>
      <c r="U169" s="68"/>
      <c r="V169" s="68"/>
      <c r="W169" s="9"/>
      <c r="X169" s="10"/>
      <c r="Y169" s="71">
        <f t="shared" si="3"/>
        <v>9</v>
      </c>
      <c r="Z169" s="73">
        <f t="shared" si="4"/>
        <v>9</v>
      </c>
      <c r="AA169" s="73">
        <f t="shared" si="5"/>
        <v>1</v>
      </c>
      <c r="AB169" s="73">
        <f t="shared" si="6"/>
        <v>1</v>
      </c>
      <c r="AC169" s="73">
        <f t="shared" si="7"/>
        <v>0</v>
      </c>
      <c r="AD169" s="73">
        <f t="shared" si="8"/>
        <v>0</v>
      </c>
      <c r="AE169" s="73">
        <f t="shared" si="9"/>
        <v>1.0001690000000001</v>
      </c>
      <c r="AF169" s="73">
        <f t="shared" si="10"/>
        <v>1.0001690000000001</v>
      </c>
      <c r="AG169" s="73">
        <f t="shared" si="11"/>
        <v>1.6899999999999999E-4</v>
      </c>
      <c r="AH169" s="73">
        <f t="shared" si="12"/>
        <v>1.6899999999999999E-4</v>
      </c>
    </row>
    <row r="170" spans="1:34" ht="14.25" customHeight="1">
      <c r="A170" s="11">
        <v>155</v>
      </c>
      <c r="B170" s="66"/>
      <c r="C170" s="67"/>
      <c r="D170" s="67"/>
      <c r="E170" s="67"/>
      <c r="F170" s="67"/>
      <c r="G170" s="67" t="s">
        <v>35</v>
      </c>
      <c r="H170" s="67">
        <v>43816</v>
      </c>
      <c r="I170" s="6" t="s">
        <v>733</v>
      </c>
      <c r="J170" s="9">
        <v>1378653079</v>
      </c>
      <c r="K170" s="68">
        <v>43799</v>
      </c>
      <c r="L170" s="68">
        <v>46022</v>
      </c>
      <c r="M170" s="68">
        <v>46203</v>
      </c>
      <c r="N170" s="69">
        <f t="shared" si="0"/>
        <v>-3</v>
      </c>
      <c r="O170" s="69">
        <f t="shared" si="1"/>
        <v>-2</v>
      </c>
      <c r="P170" s="70">
        <v>3</v>
      </c>
      <c r="Q170" s="70">
        <v>2</v>
      </c>
      <c r="R170" s="70">
        <v>0</v>
      </c>
      <c r="S170" s="68" t="str">
        <f t="shared" si="2"/>
        <v/>
      </c>
      <c r="T170" s="68"/>
      <c r="U170" s="68"/>
      <c r="V170" s="68"/>
      <c r="W170" s="9"/>
      <c r="X170" s="10"/>
      <c r="Y170" s="71">
        <f t="shared" si="3"/>
        <v>2</v>
      </c>
      <c r="Z170" s="73">
        <f t="shared" si="4"/>
        <v>0</v>
      </c>
      <c r="AA170" s="11" t="str">
        <f t="shared" si="5"/>
        <v/>
      </c>
      <c r="AB170" s="73">
        <f t="shared" si="6"/>
        <v>-3</v>
      </c>
      <c r="AC170" s="11" t="str">
        <f t="shared" si="7"/>
        <v/>
      </c>
      <c r="AD170" s="73">
        <f t="shared" si="8"/>
        <v>-2</v>
      </c>
      <c r="AE170" s="11" t="str">
        <f t="shared" si="9"/>
        <v/>
      </c>
      <c r="AF170" s="73">
        <f t="shared" si="10"/>
        <v>-2.9998300000000002</v>
      </c>
      <c r="AG170" s="11" t="str">
        <f t="shared" si="11"/>
        <v/>
      </c>
      <c r="AH170" s="73">
        <f t="shared" si="12"/>
        <v>-1.99983</v>
      </c>
    </row>
    <row r="171" spans="1:34" ht="14.25" customHeight="1">
      <c r="A171" s="11">
        <v>156</v>
      </c>
      <c r="B171" s="66" t="s">
        <v>35</v>
      </c>
      <c r="C171" s="67"/>
      <c r="D171" s="67"/>
      <c r="E171" s="67"/>
      <c r="F171" s="67">
        <v>45757</v>
      </c>
      <c r="G171" s="67"/>
      <c r="H171" s="67"/>
      <c r="I171" s="6" t="s">
        <v>734</v>
      </c>
      <c r="J171" s="37">
        <v>1378653744</v>
      </c>
      <c r="K171" s="68">
        <v>45747</v>
      </c>
      <c r="L171" s="68">
        <v>46022</v>
      </c>
      <c r="M171" s="68">
        <v>46203</v>
      </c>
      <c r="N171" s="69">
        <f t="shared" si="0"/>
        <v>-4</v>
      </c>
      <c r="O171" s="69">
        <f t="shared" si="1"/>
        <v>-1</v>
      </c>
      <c r="P171" s="70">
        <v>8</v>
      </c>
      <c r="Q171" s="70">
        <v>5</v>
      </c>
      <c r="R171" s="70">
        <v>4</v>
      </c>
      <c r="S171" s="68" t="str">
        <f t="shared" si="2"/>
        <v/>
      </c>
      <c r="T171" s="68"/>
      <c r="U171" s="95"/>
      <c r="V171" s="68"/>
      <c r="W171" s="6"/>
      <c r="X171" s="93"/>
      <c r="Y171" s="71">
        <f t="shared" si="3"/>
        <v>5</v>
      </c>
      <c r="Z171" s="73">
        <f t="shared" si="4"/>
        <v>4</v>
      </c>
      <c r="AA171" s="73">
        <f t="shared" si="5"/>
        <v>-4</v>
      </c>
      <c r="AB171" s="11" t="str">
        <f t="shared" si="6"/>
        <v/>
      </c>
      <c r="AC171" s="73">
        <f t="shared" si="7"/>
        <v>-1</v>
      </c>
      <c r="AD171" s="11" t="str">
        <f t="shared" si="8"/>
        <v/>
      </c>
      <c r="AE171" s="73">
        <f t="shared" si="9"/>
        <v>-3.9998290000000001</v>
      </c>
      <c r="AF171" s="11" t="str">
        <f t="shared" si="10"/>
        <v/>
      </c>
      <c r="AG171" s="73">
        <f t="shared" si="11"/>
        <v>-0.99982899999999997</v>
      </c>
      <c r="AH171" s="11" t="str">
        <f t="shared" si="12"/>
        <v/>
      </c>
    </row>
    <row r="172" spans="1:34" ht="14.25" customHeight="1">
      <c r="A172" s="11">
        <v>157</v>
      </c>
      <c r="B172" s="66" t="s">
        <v>24</v>
      </c>
      <c r="C172" s="67">
        <v>42565</v>
      </c>
      <c r="D172" s="67"/>
      <c r="E172" s="67"/>
      <c r="F172" s="67"/>
      <c r="G172" s="67" t="s">
        <v>24</v>
      </c>
      <c r="H172" s="67">
        <v>43711</v>
      </c>
      <c r="I172" s="6" t="s">
        <v>735</v>
      </c>
      <c r="J172" s="9">
        <v>1378800504</v>
      </c>
      <c r="K172" s="68">
        <v>42551</v>
      </c>
      <c r="L172" s="68" t="s">
        <v>230</v>
      </c>
      <c r="M172" s="68">
        <v>44561</v>
      </c>
      <c r="N172" s="69">
        <f t="shared" si="0"/>
        <v>0</v>
      </c>
      <c r="O172" s="69" t="str">
        <f t="shared" si="1"/>
        <v>N/A</v>
      </c>
      <c r="P172" s="70">
        <v>0</v>
      </c>
      <c r="Q172" s="70"/>
      <c r="R172" s="70">
        <v>0</v>
      </c>
      <c r="S172" s="68">
        <f t="shared" si="2"/>
        <v>44561</v>
      </c>
      <c r="T172" s="68">
        <v>44561</v>
      </c>
      <c r="U172" s="68"/>
      <c r="V172" s="68"/>
      <c r="W172" s="68">
        <v>45721</v>
      </c>
      <c r="X172" s="10"/>
      <c r="Y172" s="65" t="str">
        <f t="shared" si="3"/>
        <v/>
      </c>
      <c r="Z172" s="11" t="str">
        <f t="shared" si="4"/>
        <v/>
      </c>
      <c r="AA172" s="73">
        <f t="shared" si="5"/>
        <v>0</v>
      </c>
      <c r="AB172" s="73">
        <f t="shared" si="6"/>
        <v>0</v>
      </c>
      <c r="AC172" s="11" t="str">
        <f t="shared" si="7"/>
        <v/>
      </c>
      <c r="AD172" s="11" t="str">
        <f t="shared" si="8"/>
        <v/>
      </c>
      <c r="AE172" s="73">
        <f t="shared" si="9"/>
        <v>1.7200000000000001E-4</v>
      </c>
      <c r="AF172" s="73">
        <f t="shared" si="10"/>
        <v>1.7200000000000001E-4</v>
      </c>
      <c r="AG172" s="11" t="str">
        <f t="shared" si="11"/>
        <v/>
      </c>
      <c r="AH172" s="11" t="str">
        <f t="shared" si="12"/>
        <v/>
      </c>
    </row>
    <row r="173" spans="1:34" ht="14.25" customHeight="1">
      <c r="A173" s="11">
        <v>158</v>
      </c>
      <c r="B173" s="66"/>
      <c r="C173" s="67"/>
      <c r="D173" s="67"/>
      <c r="E173" s="67"/>
      <c r="F173" s="67"/>
      <c r="G173" s="67" t="s">
        <v>35</v>
      </c>
      <c r="H173" s="67">
        <v>45728</v>
      </c>
      <c r="I173" s="6" t="s">
        <v>736</v>
      </c>
      <c r="J173" s="9">
        <v>1378801648</v>
      </c>
      <c r="K173" s="68">
        <v>45716</v>
      </c>
      <c r="L173" s="68">
        <v>46022</v>
      </c>
      <c r="M173" s="68">
        <v>46203</v>
      </c>
      <c r="N173" s="69">
        <f t="shared" si="0"/>
        <v>15</v>
      </c>
      <c r="O173" s="69">
        <f t="shared" si="1"/>
        <v>5</v>
      </c>
      <c r="P173" s="70">
        <v>22</v>
      </c>
      <c r="Q173" s="70">
        <v>32</v>
      </c>
      <c r="R173" s="70">
        <v>37</v>
      </c>
      <c r="S173" s="68" t="str">
        <f t="shared" si="2"/>
        <v/>
      </c>
      <c r="T173" s="68"/>
      <c r="U173" s="68"/>
      <c r="V173" s="68"/>
      <c r="W173" s="9"/>
      <c r="X173" s="10"/>
      <c r="Y173" s="71">
        <f t="shared" si="3"/>
        <v>32</v>
      </c>
      <c r="Z173" s="73">
        <f t="shared" si="4"/>
        <v>37</v>
      </c>
      <c r="AA173" s="11" t="str">
        <f t="shared" si="5"/>
        <v/>
      </c>
      <c r="AB173" s="73">
        <f t="shared" si="6"/>
        <v>15</v>
      </c>
      <c r="AC173" s="11" t="str">
        <f t="shared" si="7"/>
        <v/>
      </c>
      <c r="AD173" s="73">
        <f t="shared" si="8"/>
        <v>5</v>
      </c>
      <c r="AE173" s="11" t="str">
        <f t="shared" si="9"/>
        <v/>
      </c>
      <c r="AF173" s="73">
        <f t="shared" si="10"/>
        <v>15.000173</v>
      </c>
      <c r="AG173" s="11" t="str">
        <f t="shared" si="11"/>
        <v/>
      </c>
      <c r="AH173" s="73">
        <f t="shared" si="12"/>
        <v>5.0001730000000002</v>
      </c>
    </row>
    <row r="174" spans="1:34" ht="14.25" customHeight="1">
      <c r="A174" s="11">
        <v>159</v>
      </c>
      <c r="B174" s="66"/>
      <c r="C174" s="67"/>
      <c r="D174" s="67"/>
      <c r="E174" s="67"/>
      <c r="F174" s="67"/>
      <c r="G174" s="67" t="s">
        <v>35</v>
      </c>
      <c r="H174" s="67">
        <v>42040</v>
      </c>
      <c r="I174" s="6" t="s">
        <v>737</v>
      </c>
      <c r="J174" s="9">
        <v>1388190354</v>
      </c>
      <c r="K174" s="68">
        <v>42035</v>
      </c>
      <c r="L174" s="68">
        <v>46022</v>
      </c>
      <c r="M174" s="68">
        <v>46203</v>
      </c>
      <c r="N174" s="69">
        <f t="shared" si="0"/>
        <v>44</v>
      </c>
      <c r="O174" s="69">
        <f t="shared" si="1"/>
        <v>3</v>
      </c>
      <c r="P174" s="70">
        <v>5</v>
      </c>
      <c r="Q174" s="70">
        <v>46</v>
      </c>
      <c r="R174" s="70">
        <v>49</v>
      </c>
      <c r="S174" s="68" t="str">
        <f t="shared" si="2"/>
        <v/>
      </c>
      <c r="T174" s="68"/>
      <c r="U174" s="68"/>
      <c r="V174" s="68"/>
      <c r="W174" s="9"/>
      <c r="X174" s="10"/>
      <c r="Y174" s="71">
        <f t="shared" si="3"/>
        <v>46</v>
      </c>
      <c r="Z174" s="73">
        <f t="shared" si="4"/>
        <v>49</v>
      </c>
      <c r="AA174" s="11" t="str">
        <f t="shared" si="5"/>
        <v/>
      </c>
      <c r="AB174" s="73">
        <f t="shared" si="6"/>
        <v>44</v>
      </c>
      <c r="AC174" s="11" t="str">
        <f t="shared" si="7"/>
        <v/>
      </c>
      <c r="AD174" s="73">
        <f t="shared" si="8"/>
        <v>3</v>
      </c>
      <c r="AE174" s="11" t="str">
        <f t="shared" si="9"/>
        <v/>
      </c>
      <c r="AF174" s="73">
        <f t="shared" si="10"/>
        <v>44.000174000000001</v>
      </c>
      <c r="AG174" s="11" t="str">
        <f t="shared" si="11"/>
        <v/>
      </c>
      <c r="AH174" s="73">
        <f t="shared" si="12"/>
        <v>3.0001739999999999</v>
      </c>
    </row>
    <row r="175" spans="1:34" ht="14.25" customHeight="1">
      <c r="A175" s="11">
        <v>160</v>
      </c>
      <c r="B175" s="66" t="s">
        <v>738</v>
      </c>
      <c r="C175" s="67">
        <v>45170</v>
      </c>
      <c r="D175" s="67">
        <v>44921</v>
      </c>
      <c r="E175" s="67"/>
      <c r="F175" s="67"/>
      <c r="G175" s="67" t="s">
        <v>35</v>
      </c>
      <c r="H175" s="67">
        <v>45028</v>
      </c>
      <c r="I175" s="6" t="s">
        <v>739</v>
      </c>
      <c r="J175" s="9">
        <v>1388604528</v>
      </c>
      <c r="K175" s="68">
        <v>44895</v>
      </c>
      <c r="L175" s="68">
        <v>46022</v>
      </c>
      <c r="M175" s="68">
        <v>46203</v>
      </c>
      <c r="N175" s="69">
        <f t="shared" si="0"/>
        <v>30</v>
      </c>
      <c r="O175" s="69">
        <f t="shared" si="1"/>
        <v>3</v>
      </c>
      <c r="P175" s="70">
        <v>5</v>
      </c>
      <c r="Q175" s="70">
        <v>32</v>
      </c>
      <c r="R175" s="70">
        <v>35</v>
      </c>
      <c r="S175" s="68" t="str">
        <f t="shared" si="2"/>
        <v/>
      </c>
      <c r="T175" s="68"/>
      <c r="U175" s="68"/>
      <c r="V175" s="68">
        <v>46185</v>
      </c>
      <c r="W175" s="9"/>
      <c r="X175" s="10"/>
      <c r="Y175" s="71">
        <f t="shared" si="3"/>
        <v>32</v>
      </c>
      <c r="Z175" s="73">
        <f t="shared" si="4"/>
        <v>35</v>
      </c>
      <c r="AA175" s="73">
        <f t="shared" si="5"/>
        <v>30</v>
      </c>
      <c r="AB175" s="73">
        <f t="shared" si="6"/>
        <v>30</v>
      </c>
      <c r="AC175" s="73">
        <f t="shared" si="7"/>
        <v>3</v>
      </c>
      <c r="AD175" s="73">
        <f t="shared" si="8"/>
        <v>3</v>
      </c>
      <c r="AE175" s="73">
        <f t="shared" si="9"/>
        <v>30.000174999999999</v>
      </c>
      <c r="AF175" s="73">
        <f t="shared" si="10"/>
        <v>30.000174999999999</v>
      </c>
      <c r="AG175" s="73">
        <f t="shared" si="11"/>
        <v>3.000175</v>
      </c>
      <c r="AH175" s="73">
        <f t="shared" si="12"/>
        <v>3.000175</v>
      </c>
    </row>
    <row r="176" spans="1:34" ht="14.25" customHeight="1">
      <c r="A176" s="11">
        <v>161</v>
      </c>
      <c r="B176" s="66"/>
      <c r="C176" s="67"/>
      <c r="D176" s="67"/>
      <c r="E176" s="67"/>
      <c r="F176" s="67"/>
      <c r="G176" s="67" t="s">
        <v>35</v>
      </c>
      <c r="H176" s="67">
        <v>44967</v>
      </c>
      <c r="I176" s="6" t="s">
        <v>740</v>
      </c>
      <c r="J176" s="9">
        <v>1398146604</v>
      </c>
      <c r="K176" s="68">
        <v>44957</v>
      </c>
      <c r="L176" s="68">
        <v>46022</v>
      </c>
      <c r="M176" s="68">
        <v>46203</v>
      </c>
      <c r="N176" s="69">
        <f t="shared" si="0"/>
        <v>10</v>
      </c>
      <c r="O176" s="69">
        <f t="shared" si="1"/>
        <v>0</v>
      </c>
      <c r="P176" s="70">
        <v>0</v>
      </c>
      <c r="Q176" s="70">
        <v>10</v>
      </c>
      <c r="R176" s="70">
        <v>10</v>
      </c>
      <c r="S176" s="68" t="str">
        <f t="shared" si="2"/>
        <v/>
      </c>
      <c r="T176" s="68"/>
      <c r="U176" s="68"/>
      <c r="V176" s="68"/>
      <c r="W176" s="9"/>
      <c r="X176" s="10"/>
      <c r="Y176" s="71">
        <f t="shared" si="3"/>
        <v>10</v>
      </c>
      <c r="Z176" s="73">
        <f t="shared" si="4"/>
        <v>10</v>
      </c>
      <c r="AA176" s="11" t="str">
        <f t="shared" si="5"/>
        <v/>
      </c>
      <c r="AB176" s="73">
        <f t="shared" si="6"/>
        <v>10</v>
      </c>
      <c r="AC176" s="11" t="str">
        <f t="shared" si="7"/>
        <v/>
      </c>
      <c r="AD176" s="73">
        <f t="shared" si="8"/>
        <v>0</v>
      </c>
      <c r="AE176" s="11" t="str">
        <f t="shared" si="9"/>
        <v/>
      </c>
      <c r="AF176" s="73">
        <f t="shared" si="10"/>
        <v>10.000176</v>
      </c>
      <c r="AG176" s="11" t="str">
        <f t="shared" si="11"/>
        <v/>
      </c>
      <c r="AH176" s="73">
        <f t="shared" si="12"/>
        <v>1.76E-4</v>
      </c>
    </row>
    <row r="177" spans="1:34" ht="14.25" customHeight="1">
      <c r="A177" s="11">
        <v>162</v>
      </c>
      <c r="B177" s="66"/>
      <c r="C177" s="67"/>
      <c r="D177" s="67"/>
      <c r="E177" s="67"/>
      <c r="F177" s="67"/>
      <c r="G177" s="67" t="s">
        <v>35</v>
      </c>
      <c r="H177" s="67">
        <v>45929</v>
      </c>
      <c r="I177" s="6" t="s">
        <v>741</v>
      </c>
      <c r="J177" s="94">
        <v>1398147049</v>
      </c>
      <c r="K177" s="68">
        <v>45900</v>
      </c>
      <c r="L177" s="68">
        <v>46022</v>
      </c>
      <c r="M177" s="68">
        <v>46203</v>
      </c>
      <c r="N177" s="69">
        <f t="shared" si="0"/>
        <v>2</v>
      </c>
      <c r="O177" s="69">
        <f t="shared" si="1"/>
        <v>-1</v>
      </c>
      <c r="P177" s="70">
        <v>17</v>
      </c>
      <c r="Q177" s="70">
        <v>20</v>
      </c>
      <c r="R177" s="70">
        <v>19</v>
      </c>
      <c r="S177" s="68" t="str">
        <f t="shared" si="2"/>
        <v/>
      </c>
      <c r="T177" s="68"/>
      <c r="U177" s="95"/>
      <c r="V177" s="68"/>
      <c r="W177" s="6"/>
      <c r="X177" s="10"/>
      <c r="Y177" s="71">
        <f t="shared" si="3"/>
        <v>20</v>
      </c>
      <c r="Z177" s="73">
        <f t="shared" si="4"/>
        <v>19</v>
      </c>
      <c r="AA177" s="11" t="str">
        <f t="shared" si="5"/>
        <v/>
      </c>
      <c r="AB177" s="73">
        <f t="shared" si="6"/>
        <v>2</v>
      </c>
      <c r="AC177" s="11" t="str">
        <f t="shared" si="7"/>
        <v/>
      </c>
      <c r="AD177" s="73">
        <f t="shared" si="8"/>
        <v>-1</v>
      </c>
      <c r="AE177" s="11" t="str">
        <f t="shared" si="9"/>
        <v/>
      </c>
      <c r="AF177" s="73">
        <f t="shared" si="10"/>
        <v>2.0001769999999999</v>
      </c>
      <c r="AG177" s="11" t="str">
        <f t="shared" si="11"/>
        <v/>
      </c>
      <c r="AH177" s="73">
        <f t="shared" si="12"/>
        <v>-0.99982300000000002</v>
      </c>
    </row>
    <row r="178" spans="1:34" ht="14.25" customHeight="1">
      <c r="A178" s="11">
        <v>163</v>
      </c>
      <c r="B178" s="66" t="s">
        <v>35</v>
      </c>
      <c r="C178" s="67">
        <v>44531</v>
      </c>
      <c r="D178" s="67"/>
      <c r="E178" s="67"/>
      <c r="F178" s="67"/>
      <c r="G178" s="67"/>
      <c r="H178" s="67"/>
      <c r="I178" s="6" t="s">
        <v>742</v>
      </c>
      <c r="J178" s="9">
        <v>1398801284</v>
      </c>
      <c r="K178" s="68">
        <v>44530</v>
      </c>
      <c r="L178" s="68">
        <v>46022</v>
      </c>
      <c r="M178" s="68">
        <v>46203</v>
      </c>
      <c r="N178" s="69">
        <f t="shared" si="0"/>
        <v>1</v>
      </c>
      <c r="O178" s="69">
        <f t="shared" si="1"/>
        <v>1</v>
      </c>
      <c r="P178" s="70">
        <v>8</v>
      </c>
      <c r="Q178" s="70">
        <v>8</v>
      </c>
      <c r="R178" s="70">
        <v>9</v>
      </c>
      <c r="S178" s="68" t="str">
        <f t="shared" si="2"/>
        <v/>
      </c>
      <c r="T178" s="68"/>
      <c r="U178" s="68"/>
      <c r="V178" s="68"/>
      <c r="W178" s="9"/>
      <c r="X178" s="10"/>
      <c r="Y178" s="71">
        <f t="shared" si="3"/>
        <v>8</v>
      </c>
      <c r="Z178" s="73">
        <f t="shared" si="4"/>
        <v>9</v>
      </c>
      <c r="AA178" s="73">
        <f t="shared" si="5"/>
        <v>1</v>
      </c>
      <c r="AB178" s="11" t="str">
        <f t="shared" si="6"/>
        <v/>
      </c>
      <c r="AC178" s="73">
        <f t="shared" si="7"/>
        <v>1</v>
      </c>
      <c r="AD178" s="11" t="str">
        <f t="shared" si="8"/>
        <v/>
      </c>
      <c r="AE178" s="73">
        <f t="shared" si="9"/>
        <v>1.000178</v>
      </c>
      <c r="AF178" s="11" t="str">
        <f t="shared" si="10"/>
        <v/>
      </c>
      <c r="AG178" s="73">
        <f t="shared" si="11"/>
        <v>1.000178</v>
      </c>
      <c r="AH178" s="11" t="str">
        <f t="shared" si="12"/>
        <v/>
      </c>
    </row>
    <row r="179" spans="1:34" ht="14.25" customHeight="1">
      <c r="A179" s="11">
        <v>164</v>
      </c>
      <c r="B179" s="66"/>
      <c r="C179" s="67"/>
      <c r="D179" s="67"/>
      <c r="E179" s="67"/>
      <c r="F179" s="67"/>
      <c r="G179" s="67" t="s">
        <v>35</v>
      </c>
      <c r="H179" s="67">
        <v>45321</v>
      </c>
      <c r="I179" s="6" t="s">
        <v>743</v>
      </c>
      <c r="J179" s="9">
        <v>1408130849</v>
      </c>
      <c r="K179" s="68">
        <v>45291</v>
      </c>
      <c r="L179" s="68">
        <v>46022</v>
      </c>
      <c r="M179" s="68">
        <v>46203</v>
      </c>
      <c r="N179" s="69">
        <f t="shared" si="0"/>
        <v>6</v>
      </c>
      <c r="O179" s="69">
        <f t="shared" si="1"/>
        <v>0</v>
      </c>
      <c r="P179" s="70">
        <v>69</v>
      </c>
      <c r="Q179" s="70">
        <v>75</v>
      </c>
      <c r="R179" s="70">
        <v>75</v>
      </c>
      <c r="S179" s="68" t="str">
        <f t="shared" si="2"/>
        <v/>
      </c>
      <c r="T179" s="68"/>
      <c r="U179" s="68"/>
      <c r="V179" s="68"/>
      <c r="W179" s="9"/>
      <c r="X179" s="10"/>
      <c r="Y179" s="71">
        <f t="shared" si="3"/>
        <v>75</v>
      </c>
      <c r="Z179" s="73">
        <f t="shared" si="4"/>
        <v>75</v>
      </c>
      <c r="AA179" s="11" t="str">
        <f t="shared" si="5"/>
        <v/>
      </c>
      <c r="AB179" s="73">
        <f t="shared" si="6"/>
        <v>6</v>
      </c>
      <c r="AC179" s="11" t="str">
        <f t="shared" si="7"/>
        <v/>
      </c>
      <c r="AD179" s="73">
        <f t="shared" si="8"/>
        <v>0</v>
      </c>
      <c r="AE179" s="11" t="str">
        <f t="shared" si="9"/>
        <v/>
      </c>
      <c r="AF179" s="73">
        <f t="shared" si="10"/>
        <v>6.0001790000000002</v>
      </c>
      <c r="AG179" s="11" t="str">
        <f t="shared" si="11"/>
        <v/>
      </c>
      <c r="AH179" s="73">
        <f t="shared" si="12"/>
        <v>1.7899999999999999E-4</v>
      </c>
    </row>
    <row r="180" spans="1:34" ht="14.25" customHeight="1">
      <c r="A180" s="11">
        <v>165</v>
      </c>
      <c r="B180" s="66" t="s">
        <v>24</v>
      </c>
      <c r="C180" s="67"/>
      <c r="D180" s="67">
        <v>42366</v>
      </c>
      <c r="E180" s="67"/>
      <c r="F180" s="67"/>
      <c r="G180" s="67"/>
      <c r="H180" s="67"/>
      <c r="I180" s="6" t="s">
        <v>744</v>
      </c>
      <c r="J180" s="9">
        <v>1408153920</v>
      </c>
      <c r="K180" s="68">
        <v>42338</v>
      </c>
      <c r="L180" s="68" t="s">
        <v>230</v>
      </c>
      <c r="M180" s="68">
        <v>44104</v>
      </c>
      <c r="N180" s="69">
        <f t="shared" si="0"/>
        <v>0</v>
      </c>
      <c r="O180" s="69" t="str">
        <f t="shared" si="1"/>
        <v>N/A</v>
      </c>
      <c r="P180" s="70">
        <v>0</v>
      </c>
      <c r="Q180" s="70"/>
      <c r="R180" s="70">
        <v>0</v>
      </c>
      <c r="S180" s="68">
        <f t="shared" si="2"/>
        <v>44104</v>
      </c>
      <c r="T180" s="68">
        <v>44104</v>
      </c>
      <c r="U180" s="68">
        <v>44196</v>
      </c>
      <c r="V180" s="68">
        <v>45560</v>
      </c>
      <c r="W180" s="9"/>
      <c r="X180" s="10"/>
      <c r="Y180" s="65" t="str">
        <f t="shared" si="3"/>
        <v/>
      </c>
      <c r="Z180" s="11" t="str">
        <f t="shared" si="4"/>
        <v/>
      </c>
      <c r="AA180" s="73">
        <f t="shared" si="5"/>
        <v>0</v>
      </c>
      <c r="AB180" s="11" t="str">
        <f t="shared" si="6"/>
        <v/>
      </c>
      <c r="AC180" s="11" t="str">
        <f t="shared" si="7"/>
        <v/>
      </c>
      <c r="AD180" s="11" t="str">
        <f t="shared" si="8"/>
        <v/>
      </c>
      <c r="AE180" s="73">
        <f t="shared" si="9"/>
        <v>1.8000000000000001E-4</v>
      </c>
      <c r="AF180" s="11" t="str">
        <f t="shared" si="10"/>
        <v/>
      </c>
      <c r="AG180" s="11" t="str">
        <f t="shared" si="11"/>
        <v/>
      </c>
      <c r="AH180" s="11" t="str">
        <f t="shared" si="12"/>
        <v/>
      </c>
    </row>
    <row r="181" spans="1:34" ht="14.25" customHeight="1">
      <c r="A181" s="11">
        <v>166</v>
      </c>
      <c r="B181" s="66" t="s">
        <v>35</v>
      </c>
      <c r="C181" s="67">
        <v>42895</v>
      </c>
      <c r="D181" s="67"/>
      <c r="E181" s="67"/>
      <c r="F181" s="67"/>
      <c r="G181" s="67" t="s">
        <v>35</v>
      </c>
      <c r="H181" s="67">
        <v>42640</v>
      </c>
      <c r="I181" s="6" t="s">
        <v>745</v>
      </c>
      <c r="J181" s="9">
        <v>1408189850</v>
      </c>
      <c r="K181" s="68">
        <v>42613</v>
      </c>
      <c r="L181" s="68">
        <v>46022</v>
      </c>
      <c r="M181" s="68">
        <v>46203</v>
      </c>
      <c r="N181" s="69">
        <f t="shared" si="0"/>
        <v>4</v>
      </c>
      <c r="O181" s="69">
        <f t="shared" si="1"/>
        <v>0</v>
      </c>
      <c r="P181" s="70">
        <v>0</v>
      </c>
      <c r="Q181" s="70">
        <v>4</v>
      </c>
      <c r="R181" s="70">
        <v>4</v>
      </c>
      <c r="S181" s="68" t="str">
        <f t="shared" si="2"/>
        <v/>
      </c>
      <c r="T181" s="68"/>
      <c r="U181" s="68"/>
      <c r="V181" s="68"/>
      <c r="W181" s="9"/>
      <c r="X181" s="10"/>
      <c r="Y181" s="71">
        <f t="shared" si="3"/>
        <v>4</v>
      </c>
      <c r="Z181" s="73">
        <f t="shared" si="4"/>
        <v>4</v>
      </c>
      <c r="AA181" s="73">
        <f t="shared" si="5"/>
        <v>4</v>
      </c>
      <c r="AB181" s="73">
        <f t="shared" si="6"/>
        <v>4</v>
      </c>
      <c r="AC181" s="73">
        <f t="shared" si="7"/>
        <v>0</v>
      </c>
      <c r="AD181" s="73">
        <f t="shared" si="8"/>
        <v>0</v>
      </c>
      <c r="AE181" s="73">
        <f t="shared" si="9"/>
        <v>4.0001810000000004</v>
      </c>
      <c r="AF181" s="73">
        <f t="shared" si="10"/>
        <v>4.0001810000000004</v>
      </c>
      <c r="AG181" s="73">
        <f t="shared" si="11"/>
        <v>1.8100000000000001E-4</v>
      </c>
      <c r="AH181" s="73">
        <f t="shared" si="12"/>
        <v>1.8100000000000001E-4</v>
      </c>
    </row>
    <row r="182" spans="1:34" ht="14.25" customHeight="1">
      <c r="A182" s="11">
        <v>167</v>
      </c>
      <c r="B182" s="66" t="s">
        <v>35</v>
      </c>
      <c r="C182" s="67">
        <v>45931</v>
      </c>
      <c r="D182" s="67">
        <v>45481</v>
      </c>
      <c r="E182" s="67">
        <v>45944</v>
      </c>
      <c r="F182" s="67"/>
      <c r="G182" s="67" t="s">
        <v>35</v>
      </c>
      <c r="H182" s="67">
        <v>45911</v>
      </c>
      <c r="I182" s="6" t="s">
        <v>746</v>
      </c>
      <c r="J182" s="9">
        <v>1408802584</v>
      </c>
      <c r="K182" s="68">
        <v>45473</v>
      </c>
      <c r="L182" s="68">
        <v>46022</v>
      </c>
      <c r="M182" s="68">
        <v>46203</v>
      </c>
      <c r="N182" s="69">
        <f t="shared" si="0"/>
        <v>5</v>
      </c>
      <c r="O182" s="69">
        <f t="shared" si="1"/>
        <v>-1</v>
      </c>
      <c r="P182" s="70">
        <v>11</v>
      </c>
      <c r="Q182" s="70">
        <v>17</v>
      </c>
      <c r="R182" s="70">
        <v>16</v>
      </c>
      <c r="S182" s="68" t="str">
        <f t="shared" si="2"/>
        <v/>
      </c>
      <c r="T182" s="68"/>
      <c r="U182" s="68"/>
      <c r="V182" s="68"/>
      <c r="W182" s="9"/>
      <c r="X182" s="10"/>
      <c r="Y182" s="71">
        <f t="shared" si="3"/>
        <v>17</v>
      </c>
      <c r="Z182" s="73">
        <f t="shared" si="4"/>
        <v>16</v>
      </c>
      <c r="AA182" s="73">
        <f t="shared" si="5"/>
        <v>5</v>
      </c>
      <c r="AB182" s="73">
        <f t="shared" si="6"/>
        <v>5</v>
      </c>
      <c r="AC182" s="73">
        <f t="shared" si="7"/>
        <v>-1</v>
      </c>
      <c r="AD182" s="73">
        <f t="shared" si="8"/>
        <v>-1</v>
      </c>
      <c r="AE182" s="73">
        <f t="shared" si="9"/>
        <v>5.0001819999999997</v>
      </c>
      <c r="AF182" s="73">
        <f t="shared" si="10"/>
        <v>5.0001819999999997</v>
      </c>
      <c r="AG182" s="73">
        <f t="shared" si="11"/>
        <v>-0.99981799999999998</v>
      </c>
      <c r="AH182" s="73">
        <f t="shared" si="12"/>
        <v>-0.99981799999999998</v>
      </c>
    </row>
    <row r="183" spans="1:34" ht="14.25" customHeight="1">
      <c r="A183" s="11">
        <v>168</v>
      </c>
      <c r="B183" s="66"/>
      <c r="C183" s="67"/>
      <c r="D183" s="67"/>
      <c r="E183" s="67"/>
      <c r="F183" s="67"/>
      <c r="G183" s="67" t="s">
        <v>35</v>
      </c>
      <c r="H183" s="67">
        <v>41509</v>
      </c>
      <c r="I183" s="6" t="s">
        <v>747</v>
      </c>
      <c r="J183" s="9">
        <v>1418123429</v>
      </c>
      <c r="K183" s="68">
        <v>41486</v>
      </c>
      <c r="L183" s="68">
        <v>46022</v>
      </c>
      <c r="M183" s="68">
        <v>46203</v>
      </c>
      <c r="N183" s="69">
        <f t="shared" si="0"/>
        <v>-21</v>
      </c>
      <c r="O183" s="69">
        <f t="shared" si="1"/>
        <v>0</v>
      </c>
      <c r="P183" s="70">
        <v>21</v>
      </c>
      <c r="Q183" s="70">
        <v>0</v>
      </c>
      <c r="R183" s="70">
        <v>0</v>
      </c>
      <c r="S183" s="68" t="str">
        <f t="shared" si="2"/>
        <v/>
      </c>
      <c r="T183" s="68"/>
      <c r="U183" s="68"/>
      <c r="V183" s="68"/>
      <c r="W183" s="9"/>
      <c r="X183" s="10"/>
      <c r="Y183" s="71">
        <f t="shared" si="3"/>
        <v>0</v>
      </c>
      <c r="Z183" s="73">
        <f t="shared" si="4"/>
        <v>0</v>
      </c>
      <c r="AA183" s="11" t="str">
        <f t="shared" si="5"/>
        <v/>
      </c>
      <c r="AB183" s="73">
        <f t="shared" si="6"/>
        <v>-21</v>
      </c>
      <c r="AC183" s="11" t="str">
        <f t="shared" si="7"/>
        <v/>
      </c>
      <c r="AD183" s="73">
        <f t="shared" si="8"/>
        <v>0</v>
      </c>
      <c r="AE183" s="11" t="str">
        <f t="shared" si="9"/>
        <v/>
      </c>
      <c r="AF183" s="73">
        <f t="shared" si="10"/>
        <v>-20.999817</v>
      </c>
      <c r="AG183" s="11" t="str">
        <f t="shared" si="11"/>
        <v/>
      </c>
      <c r="AH183" s="73">
        <f t="shared" si="12"/>
        <v>1.83E-4</v>
      </c>
    </row>
    <row r="184" spans="1:34" ht="14.25" customHeight="1">
      <c r="A184" s="11">
        <v>169</v>
      </c>
      <c r="B184" s="66"/>
      <c r="C184" s="67"/>
      <c r="D184" s="67"/>
      <c r="E184" s="67"/>
      <c r="F184" s="67"/>
      <c r="G184" s="67" t="s">
        <v>35</v>
      </c>
      <c r="H184" s="67">
        <v>45666</v>
      </c>
      <c r="I184" s="6" t="s">
        <v>748</v>
      </c>
      <c r="J184" s="9">
        <v>1418601906</v>
      </c>
      <c r="K184" s="68">
        <v>45657</v>
      </c>
      <c r="L184" s="68">
        <v>46022</v>
      </c>
      <c r="M184" s="68">
        <v>46203</v>
      </c>
      <c r="N184" s="69">
        <f t="shared" si="0"/>
        <v>1</v>
      </c>
      <c r="O184" s="69">
        <f t="shared" si="1"/>
        <v>-2</v>
      </c>
      <c r="P184" s="70">
        <v>6</v>
      </c>
      <c r="Q184" s="70">
        <v>9</v>
      </c>
      <c r="R184" s="70">
        <v>7</v>
      </c>
      <c r="S184" s="68" t="str">
        <f t="shared" si="2"/>
        <v/>
      </c>
      <c r="T184" s="68"/>
      <c r="U184" s="68"/>
      <c r="V184" s="68"/>
      <c r="W184" s="9"/>
      <c r="X184" s="10"/>
      <c r="Y184" s="71">
        <f t="shared" si="3"/>
        <v>9</v>
      </c>
      <c r="Z184" s="73">
        <f t="shared" si="4"/>
        <v>7</v>
      </c>
      <c r="AA184" s="11" t="str">
        <f t="shared" si="5"/>
        <v/>
      </c>
      <c r="AB184" s="73">
        <f t="shared" si="6"/>
        <v>1</v>
      </c>
      <c r="AC184" s="11" t="str">
        <f t="shared" si="7"/>
        <v/>
      </c>
      <c r="AD184" s="73">
        <f t="shared" si="8"/>
        <v>-2</v>
      </c>
      <c r="AE184" s="11" t="str">
        <f t="shared" si="9"/>
        <v/>
      </c>
      <c r="AF184" s="73">
        <f t="shared" si="10"/>
        <v>1.000184</v>
      </c>
      <c r="AG184" s="11" t="str">
        <f t="shared" si="11"/>
        <v/>
      </c>
      <c r="AH184" s="73">
        <f t="shared" si="12"/>
        <v>-1.999816</v>
      </c>
    </row>
    <row r="185" spans="1:34" ht="14.25" customHeight="1">
      <c r="A185" s="11">
        <v>170</v>
      </c>
      <c r="B185" s="66"/>
      <c r="C185" s="67"/>
      <c r="D185" s="67"/>
      <c r="E185" s="67"/>
      <c r="F185" s="67"/>
      <c r="G185" s="67" t="s">
        <v>35</v>
      </c>
      <c r="H185" s="67">
        <v>45980</v>
      </c>
      <c r="I185" s="6" t="s">
        <v>749</v>
      </c>
      <c r="J185" s="94">
        <v>1428119291</v>
      </c>
      <c r="K185" s="68">
        <v>45961</v>
      </c>
      <c r="L185" s="68">
        <v>46022</v>
      </c>
      <c r="M185" s="68">
        <v>46203</v>
      </c>
      <c r="N185" s="69">
        <f t="shared" si="0"/>
        <v>7</v>
      </c>
      <c r="O185" s="69">
        <f t="shared" si="1"/>
        <v>5</v>
      </c>
      <c r="P185" s="70">
        <v>25</v>
      </c>
      <c r="Q185" s="70">
        <v>27</v>
      </c>
      <c r="R185" s="70">
        <v>32</v>
      </c>
      <c r="S185" s="68" t="str">
        <f t="shared" si="2"/>
        <v/>
      </c>
      <c r="T185" s="68"/>
      <c r="U185" s="95"/>
      <c r="V185" s="68"/>
      <c r="W185" s="6"/>
      <c r="X185" s="10"/>
      <c r="Y185" s="71">
        <f t="shared" si="3"/>
        <v>27</v>
      </c>
      <c r="Z185" s="73">
        <f t="shared" si="4"/>
        <v>32</v>
      </c>
      <c r="AA185" s="11" t="str">
        <f t="shared" si="5"/>
        <v/>
      </c>
      <c r="AB185" s="73">
        <f t="shared" si="6"/>
        <v>7</v>
      </c>
      <c r="AC185" s="11" t="str">
        <f t="shared" si="7"/>
        <v/>
      </c>
      <c r="AD185" s="73">
        <f t="shared" si="8"/>
        <v>5</v>
      </c>
      <c r="AE185" s="11" t="str">
        <f t="shared" si="9"/>
        <v/>
      </c>
      <c r="AF185" s="73">
        <f t="shared" si="10"/>
        <v>7.0001850000000001</v>
      </c>
      <c r="AG185" s="11" t="str">
        <f t="shared" si="11"/>
        <v/>
      </c>
      <c r="AH185" s="73">
        <f t="shared" si="12"/>
        <v>5.0001850000000001</v>
      </c>
    </row>
    <row r="186" spans="1:34" ht="14.25" customHeight="1">
      <c r="A186" s="11">
        <v>171</v>
      </c>
      <c r="B186" s="66"/>
      <c r="C186" s="67"/>
      <c r="D186" s="67"/>
      <c r="E186" s="67"/>
      <c r="F186" s="67"/>
      <c r="G186" s="67" t="s">
        <v>35</v>
      </c>
      <c r="H186" s="67">
        <v>43686</v>
      </c>
      <c r="I186" s="6" t="s">
        <v>750</v>
      </c>
      <c r="J186" s="9">
        <v>1428700853</v>
      </c>
      <c r="K186" s="68">
        <v>43677</v>
      </c>
      <c r="L186" s="68">
        <v>46022</v>
      </c>
      <c r="M186" s="68">
        <v>46203</v>
      </c>
      <c r="N186" s="69">
        <f t="shared" si="0"/>
        <v>-15</v>
      </c>
      <c r="O186" s="69">
        <f t="shared" si="1"/>
        <v>0</v>
      </c>
      <c r="P186" s="70">
        <v>15</v>
      </c>
      <c r="Q186" s="70">
        <v>0</v>
      </c>
      <c r="R186" s="70">
        <v>0</v>
      </c>
      <c r="S186" s="68" t="str">
        <f t="shared" si="2"/>
        <v/>
      </c>
      <c r="T186" s="68"/>
      <c r="U186" s="68"/>
      <c r="V186" s="68"/>
      <c r="W186" s="9"/>
      <c r="X186" s="10"/>
      <c r="Y186" s="71">
        <f t="shared" si="3"/>
        <v>0</v>
      </c>
      <c r="Z186" s="73">
        <f t="shared" si="4"/>
        <v>0</v>
      </c>
      <c r="AA186" s="11" t="str">
        <f t="shared" si="5"/>
        <v/>
      </c>
      <c r="AB186" s="73">
        <f t="shared" si="6"/>
        <v>-15</v>
      </c>
      <c r="AC186" s="11" t="str">
        <f t="shared" si="7"/>
        <v/>
      </c>
      <c r="AD186" s="73">
        <f t="shared" si="8"/>
        <v>0</v>
      </c>
      <c r="AE186" s="11" t="str">
        <f t="shared" si="9"/>
        <v/>
      </c>
      <c r="AF186" s="73">
        <f t="shared" si="10"/>
        <v>-14.999814000000001</v>
      </c>
      <c r="AG186" s="11" t="str">
        <f t="shared" si="11"/>
        <v/>
      </c>
      <c r="AH186" s="73">
        <f t="shared" si="12"/>
        <v>1.8599999999999999E-4</v>
      </c>
    </row>
    <row r="187" spans="1:34" ht="14.25" customHeight="1">
      <c r="A187" s="11">
        <v>172</v>
      </c>
      <c r="B187" s="66"/>
      <c r="C187" s="67"/>
      <c r="D187" s="67"/>
      <c r="E187" s="67"/>
      <c r="F187" s="67"/>
      <c r="G187" s="67" t="s">
        <v>35</v>
      </c>
      <c r="H187" s="67">
        <v>45624</v>
      </c>
      <c r="I187" s="6" t="s">
        <v>751</v>
      </c>
      <c r="J187" s="9">
        <v>1428703239</v>
      </c>
      <c r="K187" s="68">
        <v>45596</v>
      </c>
      <c r="L187" s="68">
        <v>46022</v>
      </c>
      <c r="M187" s="68">
        <v>46203</v>
      </c>
      <c r="N187" s="69">
        <f t="shared" si="0"/>
        <v>5</v>
      </c>
      <c r="O187" s="69">
        <f t="shared" si="1"/>
        <v>0</v>
      </c>
      <c r="P187" s="70">
        <v>0</v>
      </c>
      <c r="Q187" s="70">
        <v>5</v>
      </c>
      <c r="R187" s="70">
        <v>5</v>
      </c>
      <c r="S187" s="68" t="str">
        <f t="shared" si="2"/>
        <v/>
      </c>
      <c r="T187" s="68"/>
      <c r="U187" s="68"/>
      <c r="V187" s="68"/>
      <c r="W187" s="9"/>
      <c r="X187" s="10"/>
      <c r="Y187" s="71">
        <f t="shared" si="3"/>
        <v>5</v>
      </c>
      <c r="Z187" s="73">
        <f t="shared" si="4"/>
        <v>5</v>
      </c>
      <c r="AA187" s="11" t="str">
        <f t="shared" si="5"/>
        <v/>
      </c>
      <c r="AB187" s="73">
        <f t="shared" si="6"/>
        <v>5</v>
      </c>
      <c r="AC187" s="11" t="str">
        <f t="shared" si="7"/>
        <v/>
      </c>
      <c r="AD187" s="73">
        <f t="shared" si="8"/>
        <v>0</v>
      </c>
      <c r="AE187" s="11" t="str">
        <f t="shared" si="9"/>
        <v/>
      </c>
      <c r="AF187" s="73">
        <f t="shared" si="10"/>
        <v>5.0001870000000004</v>
      </c>
      <c r="AG187" s="11" t="str">
        <f t="shared" si="11"/>
        <v/>
      </c>
      <c r="AH187" s="73">
        <f t="shared" si="12"/>
        <v>1.8699999999999999E-4</v>
      </c>
    </row>
    <row r="188" spans="1:34" ht="14.25" customHeight="1">
      <c r="A188" s="11">
        <v>173</v>
      </c>
      <c r="B188" s="66"/>
      <c r="C188" s="67"/>
      <c r="D188" s="67"/>
      <c r="E188" s="67"/>
      <c r="F188" s="67"/>
      <c r="G188" s="67" t="s">
        <v>35</v>
      </c>
      <c r="H188" s="67">
        <v>45072</v>
      </c>
      <c r="I188" s="6" t="s">
        <v>752</v>
      </c>
      <c r="J188" s="9">
        <v>1438602783</v>
      </c>
      <c r="K188" s="68">
        <v>45046</v>
      </c>
      <c r="L188" s="68">
        <v>46022</v>
      </c>
      <c r="M188" s="68">
        <v>46203</v>
      </c>
      <c r="N188" s="69">
        <f t="shared" si="0"/>
        <v>5</v>
      </c>
      <c r="O188" s="69">
        <f t="shared" si="1"/>
        <v>1</v>
      </c>
      <c r="P188" s="70">
        <v>6</v>
      </c>
      <c r="Q188" s="70">
        <v>10</v>
      </c>
      <c r="R188" s="70">
        <v>11</v>
      </c>
      <c r="S188" s="68" t="str">
        <f t="shared" si="2"/>
        <v/>
      </c>
      <c r="T188" s="68"/>
      <c r="U188" s="68"/>
      <c r="V188" s="68"/>
      <c r="W188" s="9"/>
      <c r="X188" s="10"/>
      <c r="Y188" s="71">
        <f t="shared" si="3"/>
        <v>10</v>
      </c>
      <c r="Z188" s="73">
        <f t="shared" si="4"/>
        <v>11</v>
      </c>
      <c r="AA188" s="11" t="str">
        <f t="shared" si="5"/>
        <v/>
      </c>
      <c r="AB188" s="73">
        <f t="shared" si="6"/>
        <v>5</v>
      </c>
      <c r="AC188" s="11" t="str">
        <f t="shared" si="7"/>
        <v/>
      </c>
      <c r="AD188" s="73">
        <f t="shared" si="8"/>
        <v>1</v>
      </c>
      <c r="AE188" s="11" t="str">
        <f t="shared" si="9"/>
        <v/>
      </c>
      <c r="AF188" s="73">
        <f t="shared" si="10"/>
        <v>5.0001879999999996</v>
      </c>
      <c r="AG188" s="11" t="str">
        <f t="shared" si="11"/>
        <v/>
      </c>
      <c r="AH188" s="73">
        <f t="shared" si="12"/>
        <v>1.0001880000000001</v>
      </c>
    </row>
    <row r="189" spans="1:34" ht="14.25" customHeight="1">
      <c r="A189" s="11">
        <v>174</v>
      </c>
      <c r="B189" s="66"/>
      <c r="C189" s="67"/>
      <c r="D189" s="67"/>
      <c r="E189" s="67"/>
      <c r="F189" s="67"/>
      <c r="G189" s="67" t="s">
        <v>35</v>
      </c>
      <c r="H189" s="67">
        <v>45419</v>
      </c>
      <c r="I189" s="6" t="s">
        <v>753</v>
      </c>
      <c r="J189" s="9">
        <v>1448108465</v>
      </c>
      <c r="K189" s="68">
        <v>45412</v>
      </c>
      <c r="L189" s="68">
        <v>46022</v>
      </c>
      <c r="M189" s="68">
        <v>46203</v>
      </c>
      <c r="N189" s="69">
        <f t="shared" si="0"/>
        <v>-12</v>
      </c>
      <c r="O189" s="69">
        <f t="shared" si="1"/>
        <v>-4</v>
      </c>
      <c r="P189" s="70">
        <v>29</v>
      </c>
      <c r="Q189" s="70">
        <v>21</v>
      </c>
      <c r="R189" s="70">
        <v>17</v>
      </c>
      <c r="S189" s="68" t="str">
        <f t="shared" si="2"/>
        <v/>
      </c>
      <c r="T189" s="68"/>
      <c r="U189" s="68"/>
      <c r="V189" s="68"/>
      <c r="W189" s="9"/>
      <c r="X189" s="10"/>
      <c r="Y189" s="71">
        <f t="shared" si="3"/>
        <v>21</v>
      </c>
      <c r="Z189" s="73">
        <f t="shared" si="4"/>
        <v>17</v>
      </c>
      <c r="AA189" s="11" t="str">
        <f t="shared" si="5"/>
        <v/>
      </c>
      <c r="AB189" s="73">
        <f t="shared" si="6"/>
        <v>-12</v>
      </c>
      <c r="AC189" s="11" t="str">
        <f t="shared" si="7"/>
        <v/>
      </c>
      <c r="AD189" s="73">
        <f t="shared" si="8"/>
        <v>-4</v>
      </c>
      <c r="AE189" s="11" t="str">
        <f t="shared" si="9"/>
        <v/>
      </c>
      <c r="AF189" s="73">
        <f t="shared" si="10"/>
        <v>-11.999810999999999</v>
      </c>
      <c r="AG189" s="11" t="str">
        <f t="shared" si="11"/>
        <v/>
      </c>
      <c r="AH189" s="73">
        <f t="shared" si="12"/>
        <v>-3.9998109999999998</v>
      </c>
    </row>
    <row r="190" spans="1:34" ht="14.25" customHeight="1">
      <c r="A190" s="11">
        <v>175</v>
      </c>
      <c r="B190" s="66" t="s">
        <v>35</v>
      </c>
      <c r="C190" s="67"/>
      <c r="D190" s="67"/>
      <c r="E190" s="67"/>
      <c r="F190" s="67">
        <v>45911</v>
      </c>
      <c r="G190" s="67"/>
      <c r="H190" s="67"/>
      <c r="I190" s="6" t="s">
        <v>754</v>
      </c>
      <c r="J190" s="37">
        <v>1448109033</v>
      </c>
      <c r="K190" s="68">
        <v>45900</v>
      </c>
      <c r="L190" s="68">
        <v>46022</v>
      </c>
      <c r="M190" s="68">
        <v>46203</v>
      </c>
      <c r="N190" s="69">
        <f t="shared" si="0"/>
        <v>-35</v>
      </c>
      <c r="O190" s="69">
        <f t="shared" si="1"/>
        <v>-12</v>
      </c>
      <c r="P190" s="70">
        <v>68</v>
      </c>
      <c r="Q190" s="70">
        <v>45</v>
      </c>
      <c r="R190" s="70">
        <v>33</v>
      </c>
      <c r="S190" s="68" t="str">
        <f t="shared" si="2"/>
        <v/>
      </c>
      <c r="T190" s="68"/>
      <c r="U190" s="95"/>
      <c r="V190" s="68"/>
      <c r="W190" s="6"/>
      <c r="X190" s="93"/>
      <c r="Y190" s="71">
        <f t="shared" si="3"/>
        <v>45</v>
      </c>
      <c r="Z190" s="73">
        <f t="shared" si="4"/>
        <v>33</v>
      </c>
      <c r="AA190" s="73">
        <f t="shared" si="5"/>
        <v>-35</v>
      </c>
      <c r="AB190" s="11" t="str">
        <f t="shared" si="6"/>
        <v/>
      </c>
      <c r="AC190" s="73">
        <f t="shared" si="7"/>
        <v>-12</v>
      </c>
      <c r="AD190" s="11" t="str">
        <f t="shared" si="8"/>
        <v/>
      </c>
      <c r="AE190" s="73">
        <f t="shared" si="9"/>
        <v>-34.999809999999997</v>
      </c>
      <c r="AF190" s="11" t="str">
        <f t="shared" si="10"/>
        <v/>
      </c>
      <c r="AG190" s="73">
        <f t="shared" si="11"/>
        <v>-11.99981</v>
      </c>
      <c r="AH190" s="11" t="str">
        <f t="shared" si="12"/>
        <v/>
      </c>
    </row>
    <row r="191" spans="1:34" ht="14.25" customHeight="1">
      <c r="A191" s="11">
        <v>176</v>
      </c>
      <c r="B191" s="66"/>
      <c r="C191" s="67"/>
      <c r="D191" s="67"/>
      <c r="E191" s="67"/>
      <c r="F191" s="67"/>
      <c r="G191" s="67" t="s">
        <v>35</v>
      </c>
      <c r="H191" s="67">
        <v>43249</v>
      </c>
      <c r="I191" s="6" t="s">
        <v>755</v>
      </c>
      <c r="J191" s="9">
        <v>1448109353</v>
      </c>
      <c r="K191" s="68">
        <v>43220</v>
      </c>
      <c r="L191" s="68">
        <v>46022</v>
      </c>
      <c r="M191" s="68">
        <v>46203</v>
      </c>
      <c r="N191" s="69">
        <f t="shared" si="0"/>
        <v>-45</v>
      </c>
      <c r="O191" s="69">
        <f t="shared" si="1"/>
        <v>6</v>
      </c>
      <c r="P191" s="70">
        <v>95</v>
      </c>
      <c r="Q191" s="70">
        <v>44</v>
      </c>
      <c r="R191" s="70">
        <v>50</v>
      </c>
      <c r="S191" s="68" t="str">
        <f t="shared" si="2"/>
        <v/>
      </c>
      <c r="T191" s="68"/>
      <c r="U191" s="68"/>
      <c r="V191" s="68"/>
      <c r="W191" s="9"/>
      <c r="X191" s="10"/>
      <c r="Y191" s="71">
        <f t="shared" si="3"/>
        <v>44</v>
      </c>
      <c r="Z191" s="73">
        <f t="shared" si="4"/>
        <v>50</v>
      </c>
      <c r="AA191" s="11" t="str">
        <f t="shared" si="5"/>
        <v/>
      </c>
      <c r="AB191" s="73">
        <f t="shared" si="6"/>
        <v>-45</v>
      </c>
      <c r="AC191" s="11" t="str">
        <f t="shared" si="7"/>
        <v/>
      </c>
      <c r="AD191" s="73">
        <f t="shared" si="8"/>
        <v>6</v>
      </c>
      <c r="AE191" s="11" t="str">
        <f t="shared" si="9"/>
        <v/>
      </c>
      <c r="AF191" s="73">
        <f t="shared" si="10"/>
        <v>-44.999808999999999</v>
      </c>
      <c r="AG191" s="11" t="str">
        <f t="shared" si="11"/>
        <v/>
      </c>
      <c r="AH191" s="73">
        <f t="shared" si="12"/>
        <v>6.0001910000000001</v>
      </c>
    </row>
    <row r="192" spans="1:34" ht="14.25" customHeight="1">
      <c r="A192" s="11">
        <v>177</v>
      </c>
      <c r="B192" s="66"/>
      <c r="C192" s="67"/>
      <c r="D192" s="67"/>
      <c r="E192" s="67"/>
      <c r="F192" s="67"/>
      <c r="G192" s="67" t="s">
        <v>24</v>
      </c>
      <c r="H192" s="67">
        <v>41848</v>
      </c>
      <c r="I192" s="6" t="s">
        <v>756</v>
      </c>
      <c r="J192" s="9">
        <v>1448112523</v>
      </c>
      <c r="K192" s="68">
        <v>41820</v>
      </c>
      <c r="L192" s="68" t="s">
        <v>230</v>
      </c>
      <c r="M192" s="68">
        <v>42825</v>
      </c>
      <c r="N192" s="69">
        <f t="shared" si="0"/>
        <v>-7</v>
      </c>
      <c r="O192" s="69" t="str">
        <f t="shared" si="1"/>
        <v>N/A</v>
      </c>
      <c r="P192" s="70">
        <v>7</v>
      </c>
      <c r="Q192" s="70"/>
      <c r="R192" s="70">
        <v>0</v>
      </c>
      <c r="S192" s="68">
        <f t="shared" si="2"/>
        <v>42825</v>
      </c>
      <c r="T192" s="68">
        <v>42825</v>
      </c>
      <c r="U192" s="68"/>
      <c r="V192" s="68"/>
      <c r="W192" s="9"/>
      <c r="X192" s="10"/>
      <c r="Y192" s="65" t="str">
        <f t="shared" si="3"/>
        <v/>
      </c>
      <c r="Z192" s="11" t="str">
        <f t="shared" si="4"/>
        <v/>
      </c>
      <c r="AA192" s="11" t="str">
        <f t="shared" si="5"/>
        <v/>
      </c>
      <c r="AB192" s="73">
        <f t="shared" si="6"/>
        <v>-7</v>
      </c>
      <c r="AC192" s="11" t="str">
        <f t="shared" si="7"/>
        <v/>
      </c>
      <c r="AD192" s="11" t="str">
        <f t="shared" si="8"/>
        <v/>
      </c>
      <c r="AE192" s="11" t="str">
        <f t="shared" si="9"/>
        <v/>
      </c>
      <c r="AF192" s="73">
        <f t="shared" si="10"/>
        <v>-6.9998079999999998</v>
      </c>
      <c r="AG192" s="11" t="str">
        <f t="shared" si="11"/>
        <v/>
      </c>
      <c r="AH192" s="11" t="str">
        <f t="shared" si="12"/>
        <v/>
      </c>
    </row>
    <row r="193" spans="1:34" ht="14.25" customHeight="1">
      <c r="A193" s="11">
        <v>178</v>
      </c>
      <c r="B193" s="66"/>
      <c r="C193" s="67"/>
      <c r="D193" s="67"/>
      <c r="E193" s="67"/>
      <c r="F193" s="67"/>
      <c r="G193" s="67" t="s">
        <v>35</v>
      </c>
      <c r="H193" s="67">
        <v>41667</v>
      </c>
      <c r="I193" s="6" t="s">
        <v>757</v>
      </c>
      <c r="J193" s="9">
        <v>1448113314</v>
      </c>
      <c r="K193" s="68">
        <v>41639</v>
      </c>
      <c r="L193" s="68">
        <v>46022</v>
      </c>
      <c r="M193" s="68">
        <v>46203</v>
      </c>
      <c r="N193" s="69">
        <f t="shared" si="0"/>
        <v>-8</v>
      </c>
      <c r="O193" s="69">
        <f t="shared" si="1"/>
        <v>0</v>
      </c>
      <c r="P193" s="70">
        <v>9</v>
      </c>
      <c r="Q193" s="70">
        <v>1</v>
      </c>
      <c r="R193" s="70">
        <v>1</v>
      </c>
      <c r="S193" s="68" t="str">
        <f t="shared" si="2"/>
        <v/>
      </c>
      <c r="T193" s="68"/>
      <c r="U193" s="68"/>
      <c r="V193" s="68"/>
      <c r="W193" s="9"/>
      <c r="X193" s="10"/>
      <c r="Y193" s="71">
        <f t="shared" si="3"/>
        <v>1</v>
      </c>
      <c r="Z193" s="73">
        <f t="shared" si="4"/>
        <v>1</v>
      </c>
      <c r="AA193" s="11" t="str">
        <f t="shared" si="5"/>
        <v/>
      </c>
      <c r="AB193" s="73">
        <f t="shared" si="6"/>
        <v>-8</v>
      </c>
      <c r="AC193" s="11" t="str">
        <f t="shared" si="7"/>
        <v/>
      </c>
      <c r="AD193" s="73">
        <f t="shared" si="8"/>
        <v>0</v>
      </c>
      <c r="AE193" s="11" t="str">
        <f t="shared" si="9"/>
        <v/>
      </c>
      <c r="AF193" s="73">
        <f t="shared" si="10"/>
        <v>-7.9998069999999997</v>
      </c>
      <c r="AG193" s="11" t="str">
        <f t="shared" si="11"/>
        <v/>
      </c>
      <c r="AH193" s="73">
        <f t="shared" si="12"/>
        <v>1.93E-4</v>
      </c>
    </row>
    <row r="194" spans="1:34" ht="14.25" customHeight="1">
      <c r="A194" s="11">
        <v>179</v>
      </c>
      <c r="B194" s="66"/>
      <c r="C194" s="67"/>
      <c r="D194" s="67"/>
      <c r="E194" s="67"/>
      <c r="F194" s="67"/>
      <c r="G194" s="67" t="s">
        <v>24</v>
      </c>
      <c r="H194" s="67">
        <v>41786</v>
      </c>
      <c r="I194" s="6" t="s">
        <v>758</v>
      </c>
      <c r="J194" s="9">
        <v>1448115781</v>
      </c>
      <c r="K194" s="68">
        <v>41759</v>
      </c>
      <c r="L194" s="68" t="s">
        <v>230</v>
      </c>
      <c r="M194" s="68">
        <v>44135</v>
      </c>
      <c r="N194" s="69">
        <f t="shared" si="0"/>
        <v>-4</v>
      </c>
      <c r="O194" s="69" t="str">
        <f t="shared" si="1"/>
        <v>N/A</v>
      </c>
      <c r="P194" s="70">
        <v>4</v>
      </c>
      <c r="Q194" s="70"/>
      <c r="R194" s="70">
        <v>0</v>
      </c>
      <c r="S194" s="68">
        <f t="shared" si="2"/>
        <v>44109</v>
      </c>
      <c r="T194" s="68">
        <v>44109</v>
      </c>
      <c r="U194" s="68"/>
      <c r="V194" s="68"/>
      <c r="W194" s="9"/>
      <c r="X194" s="10"/>
      <c r="Y194" s="65" t="str">
        <f t="shared" si="3"/>
        <v/>
      </c>
      <c r="Z194" s="11" t="str">
        <f t="shared" si="4"/>
        <v/>
      </c>
      <c r="AA194" s="11" t="str">
        <f t="shared" si="5"/>
        <v/>
      </c>
      <c r="AB194" s="73">
        <f t="shared" si="6"/>
        <v>-4</v>
      </c>
      <c r="AC194" s="11" t="str">
        <f t="shared" si="7"/>
        <v/>
      </c>
      <c r="AD194" s="11" t="str">
        <f t="shared" si="8"/>
        <v/>
      </c>
      <c r="AE194" s="11" t="str">
        <f t="shared" si="9"/>
        <v/>
      </c>
      <c r="AF194" s="73">
        <f t="shared" si="10"/>
        <v>-3.999806</v>
      </c>
      <c r="AG194" s="11" t="str">
        <f t="shared" si="11"/>
        <v/>
      </c>
      <c r="AH194" s="11" t="str">
        <f t="shared" si="12"/>
        <v/>
      </c>
    </row>
    <row r="195" spans="1:34" ht="14.25" customHeight="1">
      <c r="A195" s="11">
        <v>180</v>
      </c>
      <c r="B195" s="66"/>
      <c r="C195" s="67"/>
      <c r="D195" s="67"/>
      <c r="E195" s="67"/>
      <c r="F195" s="67"/>
      <c r="G195" s="67" t="s">
        <v>35</v>
      </c>
      <c r="H195" s="67">
        <v>41746</v>
      </c>
      <c r="I195" s="6" t="s">
        <v>759</v>
      </c>
      <c r="J195" s="9">
        <v>1448121245</v>
      </c>
      <c r="K195" s="68">
        <v>41729</v>
      </c>
      <c r="L195" s="68">
        <v>46022</v>
      </c>
      <c r="M195" s="68">
        <v>46203</v>
      </c>
      <c r="N195" s="69">
        <f t="shared" si="0"/>
        <v>28</v>
      </c>
      <c r="O195" s="69">
        <f t="shared" si="1"/>
        <v>3</v>
      </c>
      <c r="P195" s="70">
        <v>9</v>
      </c>
      <c r="Q195" s="70">
        <v>34</v>
      </c>
      <c r="R195" s="70">
        <v>37</v>
      </c>
      <c r="S195" s="68" t="str">
        <f t="shared" si="2"/>
        <v/>
      </c>
      <c r="T195" s="68"/>
      <c r="U195" s="68"/>
      <c r="V195" s="68"/>
      <c r="W195" s="9"/>
      <c r="X195" s="10"/>
      <c r="Y195" s="71">
        <f t="shared" si="3"/>
        <v>34</v>
      </c>
      <c r="Z195" s="73">
        <f t="shared" si="4"/>
        <v>37</v>
      </c>
      <c r="AA195" s="11" t="str">
        <f t="shared" si="5"/>
        <v/>
      </c>
      <c r="AB195" s="73">
        <f t="shared" si="6"/>
        <v>28</v>
      </c>
      <c r="AC195" s="11" t="str">
        <f t="shared" si="7"/>
        <v/>
      </c>
      <c r="AD195" s="73">
        <f t="shared" si="8"/>
        <v>3</v>
      </c>
      <c r="AE195" s="11" t="str">
        <f t="shared" si="9"/>
        <v/>
      </c>
      <c r="AF195" s="73">
        <f t="shared" si="10"/>
        <v>28.000195000000001</v>
      </c>
      <c r="AG195" s="11" t="str">
        <f t="shared" si="11"/>
        <v/>
      </c>
      <c r="AH195" s="73">
        <f t="shared" si="12"/>
        <v>3.0001950000000002</v>
      </c>
    </row>
    <row r="196" spans="1:34" ht="14.25" customHeight="1">
      <c r="A196" s="11">
        <v>181</v>
      </c>
      <c r="B196" s="66" t="s">
        <v>35</v>
      </c>
      <c r="C196" s="67">
        <v>41850</v>
      </c>
      <c r="D196" s="67">
        <v>41851</v>
      </c>
      <c r="E196" s="67"/>
      <c r="F196" s="67"/>
      <c r="G196" s="67" t="s">
        <v>35</v>
      </c>
      <c r="H196" s="67">
        <v>41730</v>
      </c>
      <c r="I196" s="6" t="s">
        <v>760</v>
      </c>
      <c r="J196" s="9">
        <v>1448121513</v>
      </c>
      <c r="K196" s="68">
        <v>41729</v>
      </c>
      <c r="L196" s="68">
        <v>46022</v>
      </c>
      <c r="M196" s="68">
        <v>46203</v>
      </c>
      <c r="N196" s="69">
        <f t="shared" si="0"/>
        <v>212</v>
      </c>
      <c r="O196" s="69">
        <f t="shared" si="1"/>
        <v>30</v>
      </c>
      <c r="P196" s="70">
        <v>4</v>
      </c>
      <c r="Q196" s="70">
        <v>186</v>
      </c>
      <c r="R196" s="70">
        <v>216</v>
      </c>
      <c r="S196" s="68" t="str">
        <f t="shared" si="2"/>
        <v/>
      </c>
      <c r="T196" s="68"/>
      <c r="U196" s="68"/>
      <c r="V196" s="68"/>
      <c r="W196" s="9"/>
      <c r="X196" s="10"/>
      <c r="Y196" s="71">
        <f t="shared" si="3"/>
        <v>186</v>
      </c>
      <c r="Z196" s="73">
        <f t="shared" si="4"/>
        <v>216</v>
      </c>
      <c r="AA196" s="73">
        <f t="shared" si="5"/>
        <v>212</v>
      </c>
      <c r="AB196" s="73">
        <f t="shared" si="6"/>
        <v>212</v>
      </c>
      <c r="AC196" s="73">
        <f t="shared" si="7"/>
        <v>30</v>
      </c>
      <c r="AD196" s="73">
        <f t="shared" si="8"/>
        <v>30</v>
      </c>
      <c r="AE196" s="73">
        <f t="shared" si="9"/>
        <v>212.00019599999999</v>
      </c>
      <c r="AF196" s="73">
        <f t="shared" si="10"/>
        <v>212.00019599999999</v>
      </c>
      <c r="AG196" s="73">
        <f t="shared" si="11"/>
        <v>30.000195999999999</v>
      </c>
      <c r="AH196" s="73">
        <f t="shared" si="12"/>
        <v>30.000195999999999</v>
      </c>
    </row>
    <row r="197" spans="1:34" ht="14.25" customHeight="1">
      <c r="A197" s="11">
        <v>182</v>
      </c>
      <c r="B197" s="66"/>
      <c r="C197" s="67"/>
      <c r="D197" s="67"/>
      <c r="E197" s="67"/>
      <c r="F197" s="67"/>
      <c r="G197" s="67" t="s">
        <v>283</v>
      </c>
      <c r="H197" s="67">
        <v>43613</v>
      </c>
      <c r="I197" s="6" t="s">
        <v>761</v>
      </c>
      <c r="J197" s="9">
        <v>1448125784</v>
      </c>
      <c r="K197" s="68">
        <v>43585</v>
      </c>
      <c r="L197" s="68" t="s">
        <v>230</v>
      </c>
      <c r="M197" s="68">
        <v>45747</v>
      </c>
      <c r="N197" s="69">
        <f t="shared" si="0"/>
        <v>20</v>
      </c>
      <c r="O197" s="69" t="str">
        <f t="shared" si="1"/>
        <v>N/A</v>
      </c>
      <c r="P197" s="70">
        <v>6</v>
      </c>
      <c r="Q197" s="70"/>
      <c r="R197" s="70">
        <v>26</v>
      </c>
      <c r="S197" s="68">
        <f t="shared" si="2"/>
        <v>45721</v>
      </c>
      <c r="T197" s="68"/>
      <c r="U197" s="68"/>
      <c r="V197" s="68"/>
      <c r="W197" s="68">
        <v>45721</v>
      </c>
      <c r="X197" s="10"/>
      <c r="Y197" s="65" t="str">
        <f t="shared" si="3"/>
        <v/>
      </c>
      <c r="Z197" s="11" t="str">
        <f t="shared" si="4"/>
        <v/>
      </c>
      <c r="AA197" s="11" t="str">
        <f t="shared" si="5"/>
        <v/>
      </c>
      <c r="AB197" s="73">
        <f t="shared" si="6"/>
        <v>20</v>
      </c>
      <c r="AC197" s="11" t="str">
        <f t="shared" si="7"/>
        <v/>
      </c>
      <c r="AD197" s="11" t="str">
        <f t="shared" si="8"/>
        <v/>
      </c>
      <c r="AE197" s="11" t="str">
        <f t="shared" si="9"/>
        <v/>
      </c>
      <c r="AF197" s="73">
        <f t="shared" si="10"/>
        <v>20.000197</v>
      </c>
      <c r="AG197" s="11" t="str">
        <f t="shared" si="11"/>
        <v/>
      </c>
      <c r="AH197" s="11" t="str">
        <f t="shared" si="12"/>
        <v/>
      </c>
    </row>
    <row r="198" spans="1:34" ht="14.25" customHeight="1">
      <c r="A198" s="11">
        <v>183</v>
      </c>
      <c r="B198" s="66"/>
      <c r="C198" s="67"/>
      <c r="D198" s="67"/>
      <c r="E198" s="67"/>
      <c r="F198" s="67"/>
      <c r="G198" s="67" t="s">
        <v>35</v>
      </c>
      <c r="H198" s="67">
        <v>42073</v>
      </c>
      <c r="I198" s="6" t="s">
        <v>762</v>
      </c>
      <c r="J198" s="9">
        <v>1448134624</v>
      </c>
      <c r="K198" s="68">
        <v>42063</v>
      </c>
      <c r="L198" s="68">
        <v>46022</v>
      </c>
      <c r="M198" s="68">
        <v>46203</v>
      </c>
      <c r="N198" s="69">
        <f t="shared" si="0"/>
        <v>8</v>
      </c>
      <c r="O198" s="69">
        <f t="shared" si="1"/>
        <v>-1</v>
      </c>
      <c r="P198" s="70">
        <v>0</v>
      </c>
      <c r="Q198" s="70">
        <v>9</v>
      </c>
      <c r="R198" s="70">
        <v>8</v>
      </c>
      <c r="S198" s="68" t="str">
        <f t="shared" si="2"/>
        <v/>
      </c>
      <c r="T198" s="68"/>
      <c r="U198" s="68"/>
      <c r="V198" s="68"/>
      <c r="W198" s="9"/>
      <c r="X198" s="10"/>
      <c r="Y198" s="71">
        <f t="shared" si="3"/>
        <v>9</v>
      </c>
      <c r="Z198" s="73">
        <f t="shared" si="4"/>
        <v>8</v>
      </c>
      <c r="AA198" s="11" t="str">
        <f t="shared" si="5"/>
        <v/>
      </c>
      <c r="AB198" s="73">
        <f t="shared" si="6"/>
        <v>8</v>
      </c>
      <c r="AC198" s="11" t="str">
        <f t="shared" si="7"/>
        <v/>
      </c>
      <c r="AD198" s="73">
        <f t="shared" si="8"/>
        <v>-1</v>
      </c>
      <c r="AE198" s="11" t="str">
        <f t="shared" si="9"/>
        <v/>
      </c>
      <c r="AF198" s="73">
        <f t="shared" si="10"/>
        <v>8.0001979999999993</v>
      </c>
      <c r="AG198" s="11" t="str">
        <f t="shared" si="11"/>
        <v/>
      </c>
      <c r="AH198" s="73">
        <f t="shared" si="12"/>
        <v>-0.99980199999999997</v>
      </c>
    </row>
    <row r="199" spans="1:34" ht="14.25" customHeight="1">
      <c r="A199" s="11">
        <v>184</v>
      </c>
      <c r="B199" s="66"/>
      <c r="C199" s="67"/>
      <c r="D199" s="67"/>
      <c r="E199" s="67"/>
      <c r="F199" s="67"/>
      <c r="G199" s="67" t="s">
        <v>35</v>
      </c>
      <c r="H199" s="67">
        <v>42161</v>
      </c>
      <c r="I199" s="6" t="s">
        <v>763</v>
      </c>
      <c r="J199" s="9">
        <v>1448135166</v>
      </c>
      <c r="K199" s="68">
        <v>42155</v>
      </c>
      <c r="L199" s="68">
        <v>46022</v>
      </c>
      <c r="M199" s="68">
        <v>46203</v>
      </c>
      <c r="N199" s="69">
        <f t="shared" si="0"/>
        <v>22</v>
      </c>
      <c r="O199" s="69">
        <f t="shared" si="1"/>
        <v>-34</v>
      </c>
      <c r="P199" s="70">
        <v>11</v>
      </c>
      <c r="Q199" s="70">
        <v>67</v>
      </c>
      <c r="R199" s="70">
        <v>33</v>
      </c>
      <c r="S199" s="68" t="str">
        <f t="shared" si="2"/>
        <v/>
      </c>
      <c r="T199" s="68"/>
      <c r="U199" s="68"/>
      <c r="V199" s="68"/>
      <c r="W199" s="9"/>
      <c r="X199" s="10"/>
      <c r="Y199" s="71">
        <f t="shared" si="3"/>
        <v>67</v>
      </c>
      <c r="Z199" s="73">
        <f t="shared" si="4"/>
        <v>33</v>
      </c>
      <c r="AA199" s="11" t="str">
        <f t="shared" si="5"/>
        <v/>
      </c>
      <c r="AB199" s="73">
        <f t="shared" si="6"/>
        <v>22</v>
      </c>
      <c r="AC199" s="11" t="str">
        <f t="shared" si="7"/>
        <v/>
      </c>
      <c r="AD199" s="73">
        <f t="shared" si="8"/>
        <v>-34</v>
      </c>
      <c r="AE199" s="11" t="str">
        <f t="shared" si="9"/>
        <v/>
      </c>
      <c r="AF199" s="73">
        <f t="shared" si="10"/>
        <v>22.000198999999999</v>
      </c>
      <c r="AG199" s="11" t="str">
        <f t="shared" si="11"/>
        <v/>
      </c>
      <c r="AH199" s="73">
        <f t="shared" si="12"/>
        <v>-33.999800999999998</v>
      </c>
    </row>
    <row r="200" spans="1:34" ht="14.25" customHeight="1">
      <c r="A200" s="11">
        <v>185</v>
      </c>
      <c r="B200" s="66" t="s">
        <v>35</v>
      </c>
      <c r="C200" s="67">
        <v>42902</v>
      </c>
      <c r="D200" s="67"/>
      <c r="E200" s="67"/>
      <c r="F200" s="67"/>
      <c r="G200" s="67" t="s">
        <v>35</v>
      </c>
      <c r="H200" s="67">
        <v>43028</v>
      </c>
      <c r="I200" s="6" t="s">
        <v>764</v>
      </c>
      <c r="J200" s="9">
        <v>1448136563</v>
      </c>
      <c r="K200" s="68">
        <v>42886</v>
      </c>
      <c r="L200" s="68">
        <v>46022</v>
      </c>
      <c r="M200" s="68">
        <v>46203</v>
      </c>
      <c r="N200" s="69">
        <f t="shared" si="0"/>
        <v>31</v>
      </c>
      <c r="O200" s="69">
        <f t="shared" si="1"/>
        <v>1</v>
      </c>
      <c r="P200" s="70">
        <v>5</v>
      </c>
      <c r="Q200" s="70">
        <v>35</v>
      </c>
      <c r="R200" s="70">
        <v>36</v>
      </c>
      <c r="S200" s="68" t="str">
        <f t="shared" si="2"/>
        <v/>
      </c>
      <c r="T200" s="68"/>
      <c r="U200" s="68"/>
      <c r="V200" s="68"/>
      <c r="W200" s="9"/>
      <c r="X200" s="10"/>
      <c r="Y200" s="71">
        <f t="shared" si="3"/>
        <v>35</v>
      </c>
      <c r="Z200" s="73">
        <f t="shared" si="4"/>
        <v>36</v>
      </c>
      <c r="AA200" s="73">
        <f t="shared" si="5"/>
        <v>31</v>
      </c>
      <c r="AB200" s="73">
        <f t="shared" si="6"/>
        <v>31</v>
      </c>
      <c r="AC200" s="73">
        <f t="shared" si="7"/>
        <v>1</v>
      </c>
      <c r="AD200" s="73">
        <f t="shared" si="8"/>
        <v>1</v>
      </c>
      <c r="AE200" s="73">
        <f t="shared" si="9"/>
        <v>31.0002</v>
      </c>
      <c r="AF200" s="73">
        <f t="shared" si="10"/>
        <v>31.0002</v>
      </c>
      <c r="AG200" s="73">
        <f t="shared" si="11"/>
        <v>1.0002</v>
      </c>
      <c r="AH200" s="73">
        <f t="shared" si="12"/>
        <v>1.0002</v>
      </c>
    </row>
    <row r="201" spans="1:34" ht="14.25" customHeight="1">
      <c r="A201" s="11">
        <v>186</v>
      </c>
      <c r="B201" s="66" t="s">
        <v>35</v>
      </c>
      <c r="C201" s="67"/>
      <c r="D201" s="67">
        <v>43938</v>
      </c>
      <c r="E201" s="67"/>
      <c r="F201" s="67"/>
      <c r="G201" s="67"/>
      <c r="H201" s="67"/>
      <c r="I201" s="6" t="s">
        <v>765</v>
      </c>
      <c r="J201" s="9">
        <v>1448701498</v>
      </c>
      <c r="K201" s="68">
        <v>43921</v>
      </c>
      <c r="L201" s="68">
        <v>46022</v>
      </c>
      <c r="M201" s="68">
        <v>46203</v>
      </c>
      <c r="N201" s="69">
        <f t="shared" si="0"/>
        <v>8</v>
      </c>
      <c r="O201" s="69">
        <f t="shared" si="1"/>
        <v>1</v>
      </c>
      <c r="P201" s="70">
        <v>7</v>
      </c>
      <c r="Q201" s="70">
        <v>14</v>
      </c>
      <c r="R201" s="70">
        <v>15</v>
      </c>
      <c r="S201" s="68" t="str">
        <f t="shared" si="2"/>
        <v/>
      </c>
      <c r="T201" s="68"/>
      <c r="U201" s="68"/>
      <c r="V201" s="68"/>
      <c r="W201" s="9"/>
      <c r="X201" s="10"/>
      <c r="Y201" s="71">
        <f t="shared" si="3"/>
        <v>14</v>
      </c>
      <c r="Z201" s="73">
        <f t="shared" si="4"/>
        <v>15</v>
      </c>
      <c r="AA201" s="73">
        <f t="shared" si="5"/>
        <v>8</v>
      </c>
      <c r="AB201" s="11" t="str">
        <f t="shared" si="6"/>
        <v/>
      </c>
      <c r="AC201" s="73">
        <f t="shared" si="7"/>
        <v>1</v>
      </c>
      <c r="AD201" s="11" t="str">
        <f t="shared" si="8"/>
        <v/>
      </c>
      <c r="AE201" s="73">
        <f t="shared" si="9"/>
        <v>8.0002010000000006</v>
      </c>
      <c r="AF201" s="11" t="str">
        <f t="shared" si="10"/>
        <v/>
      </c>
      <c r="AG201" s="73">
        <f t="shared" si="11"/>
        <v>1.0002009999999999</v>
      </c>
      <c r="AH201" s="11" t="str">
        <f t="shared" si="12"/>
        <v/>
      </c>
    </row>
    <row r="202" spans="1:34" ht="14.25" customHeight="1">
      <c r="A202" s="11">
        <v>187</v>
      </c>
      <c r="B202" s="66"/>
      <c r="C202" s="67"/>
      <c r="D202" s="67"/>
      <c r="E202" s="67"/>
      <c r="F202" s="67"/>
      <c r="G202" s="67" t="s">
        <v>35</v>
      </c>
      <c r="H202" s="67">
        <v>45960</v>
      </c>
      <c r="I202" s="6" t="s">
        <v>766</v>
      </c>
      <c r="J202" s="94">
        <v>1448803057</v>
      </c>
      <c r="K202" s="68">
        <v>45930</v>
      </c>
      <c r="L202" s="68">
        <v>46022</v>
      </c>
      <c r="M202" s="68">
        <v>46203</v>
      </c>
      <c r="N202" s="69">
        <f t="shared" si="0"/>
        <v>3</v>
      </c>
      <c r="O202" s="69">
        <f t="shared" si="1"/>
        <v>3</v>
      </c>
      <c r="P202" s="70">
        <v>5</v>
      </c>
      <c r="Q202" s="70">
        <v>5</v>
      </c>
      <c r="R202" s="70">
        <v>8</v>
      </c>
      <c r="S202" s="68" t="str">
        <f t="shared" si="2"/>
        <v/>
      </c>
      <c r="T202" s="68"/>
      <c r="U202" s="95"/>
      <c r="V202" s="68"/>
      <c r="W202" s="6"/>
      <c r="X202" s="10"/>
      <c r="Y202" s="71">
        <f t="shared" si="3"/>
        <v>5</v>
      </c>
      <c r="Z202" s="73">
        <f t="shared" si="4"/>
        <v>8</v>
      </c>
      <c r="AA202" s="11" t="str">
        <f t="shared" si="5"/>
        <v/>
      </c>
      <c r="AB202" s="73">
        <f t="shared" si="6"/>
        <v>3</v>
      </c>
      <c r="AC202" s="11" t="str">
        <f t="shared" si="7"/>
        <v/>
      </c>
      <c r="AD202" s="73">
        <f t="shared" si="8"/>
        <v>3</v>
      </c>
      <c r="AE202" s="11" t="str">
        <f t="shared" si="9"/>
        <v/>
      </c>
      <c r="AF202" s="73">
        <f t="shared" si="10"/>
        <v>3.0002019999999998</v>
      </c>
      <c r="AG202" s="11" t="str">
        <f t="shared" si="11"/>
        <v/>
      </c>
      <c r="AH202" s="73">
        <f t="shared" si="12"/>
        <v>3.0002019999999998</v>
      </c>
    </row>
    <row r="203" spans="1:34" ht="14.25" customHeight="1">
      <c r="A203" s="11">
        <v>188</v>
      </c>
      <c r="B203" s="66" t="s">
        <v>24</v>
      </c>
      <c r="C203" s="67">
        <v>45261</v>
      </c>
      <c r="D203" s="67"/>
      <c r="E203" s="67"/>
      <c r="F203" s="67"/>
      <c r="G203" s="67"/>
      <c r="H203" s="67"/>
      <c r="I203" s="6" t="s">
        <v>767</v>
      </c>
      <c r="J203" s="9">
        <v>1458102014</v>
      </c>
      <c r="K203" s="68">
        <v>45260</v>
      </c>
      <c r="L203" s="68" t="s">
        <v>230</v>
      </c>
      <c r="M203" s="68">
        <v>45961</v>
      </c>
      <c r="N203" s="69">
        <f t="shared" si="0"/>
        <v>-6</v>
      </c>
      <c r="O203" s="69" t="str">
        <f t="shared" si="1"/>
        <v>N/A</v>
      </c>
      <c r="P203" s="70">
        <v>6</v>
      </c>
      <c r="Q203" s="70"/>
      <c r="R203" s="70">
        <v>0</v>
      </c>
      <c r="S203" s="68">
        <f t="shared" si="2"/>
        <v>45951</v>
      </c>
      <c r="T203" s="68">
        <v>45951</v>
      </c>
      <c r="U203" s="68"/>
      <c r="V203" s="68"/>
      <c r="W203" s="9"/>
      <c r="X203" s="10"/>
      <c r="Y203" s="65" t="str">
        <f t="shared" si="3"/>
        <v/>
      </c>
      <c r="Z203" s="11" t="str">
        <f t="shared" si="4"/>
        <v/>
      </c>
      <c r="AA203" s="73">
        <f t="shared" si="5"/>
        <v>-6</v>
      </c>
      <c r="AB203" s="11" t="str">
        <f t="shared" si="6"/>
        <v/>
      </c>
      <c r="AC203" s="11" t="str">
        <f t="shared" si="7"/>
        <v/>
      </c>
      <c r="AD203" s="11" t="str">
        <f t="shared" si="8"/>
        <v/>
      </c>
      <c r="AE203" s="73">
        <f t="shared" si="9"/>
        <v>-5.999797</v>
      </c>
      <c r="AF203" s="11" t="str">
        <f t="shared" si="10"/>
        <v/>
      </c>
      <c r="AG203" s="11" t="str">
        <f t="shared" si="11"/>
        <v/>
      </c>
      <c r="AH203" s="11" t="str">
        <f t="shared" si="12"/>
        <v/>
      </c>
    </row>
    <row r="204" spans="1:34" ht="14.25" customHeight="1">
      <c r="A204" s="11">
        <v>189</v>
      </c>
      <c r="B204" s="66" t="s">
        <v>768</v>
      </c>
      <c r="C204" s="67">
        <v>42706</v>
      </c>
      <c r="D204" s="67">
        <v>42726</v>
      </c>
      <c r="E204" s="67"/>
      <c r="F204" s="67"/>
      <c r="G204" s="67" t="s">
        <v>35</v>
      </c>
      <c r="H204" s="67">
        <v>44693</v>
      </c>
      <c r="I204" s="6" t="s">
        <v>769</v>
      </c>
      <c r="J204" s="9">
        <v>1458700100</v>
      </c>
      <c r="K204" s="68">
        <v>42704</v>
      </c>
      <c r="L204" s="68">
        <v>46022</v>
      </c>
      <c r="M204" s="68">
        <v>46203</v>
      </c>
      <c r="N204" s="69">
        <f t="shared" si="0"/>
        <v>-2</v>
      </c>
      <c r="O204" s="69">
        <f t="shared" si="1"/>
        <v>0</v>
      </c>
      <c r="P204" s="70">
        <v>2</v>
      </c>
      <c r="Q204" s="70">
        <v>0</v>
      </c>
      <c r="R204" s="70">
        <v>0</v>
      </c>
      <c r="S204" s="68" t="str">
        <f t="shared" si="2"/>
        <v/>
      </c>
      <c r="T204" s="68"/>
      <c r="U204" s="68">
        <v>46022</v>
      </c>
      <c r="V204" s="68"/>
      <c r="W204" s="9"/>
      <c r="X204" s="10"/>
      <c r="Y204" s="71">
        <f t="shared" si="3"/>
        <v>0</v>
      </c>
      <c r="Z204" s="73">
        <f t="shared" si="4"/>
        <v>0</v>
      </c>
      <c r="AA204" s="73">
        <f t="shared" si="5"/>
        <v>-2</v>
      </c>
      <c r="AB204" s="73">
        <f t="shared" si="6"/>
        <v>-2</v>
      </c>
      <c r="AC204" s="73">
        <f t="shared" si="7"/>
        <v>0</v>
      </c>
      <c r="AD204" s="73">
        <f t="shared" si="8"/>
        <v>0</v>
      </c>
      <c r="AE204" s="73">
        <f t="shared" si="9"/>
        <v>-1.9997959999999999</v>
      </c>
      <c r="AF204" s="73">
        <f t="shared" si="10"/>
        <v>-1.9997959999999999</v>
      </c>
      <c r="AG204" s="73">
        <f t="shared" si="11"/>
        <v>2.04E-4</v>
      </c>
      <c r="AH204" s="73">
        <f t="shared" si="12"/>
        <v>2.04E-4</v>
      </c>
    </row>
    <row r="205" spans="1:34" ht="14.25" customHeight="1">
      <c r="A205" s="11">
        <v>190</v>
      </c>
      <c r="B205" s="66" t="s">
        <v>770</v>
      </c>
      <c r="C205" s="67">
        <v>44805</v>
      </c>
      <c r="D205" s="67">
        <v>44400</v>
      </c>
      <c r="E205" s="67"/>
      <c r="F205" s="67"/>
      <c r="G205" s="67"/>
      <c r="H205" s="67"/>
      <c r="I205" s="6" t="s">
        <v>771</v>
      </c>
      <c r="J205" s="9">
        <v>1458701021</v>
      </c>
      <c r="K205" s="68">
        <v>44377</v>
      </c>
      <c r="L205" s="68">
        <v>46022</v>
      </c>
      <c r="M205" s="68">
        <v>46203</v>
      </c>
      <c r="N205" s="69">
        <f t="shared" si="0"/>
        <v>-5</v>
      </c>
      <c r="O205" s="69">
        <f t="shared" si="1"/>
        <v>1</v>
      </c>
      <c r="P205" s="70">
        <v>9</v>
      </c>
      <c r="Q205" s="70">
        <v>3</v>
      </c>
      <c r="R205" s="70">
        <v>4</v>
      </c>
      <c r="S205" s="68" t="str">
        <f t="shared" si="2"/>
        <v/>
      </c>
      <c r="T205" s="68"/>
      <c r="U205" s="68">
        <v>46022</v>
      </c>
      <c r="V205" s="68">
        <v>46080</v>
      </c>
      <c r="W205" s="9"/>
      <c r="X205" s="10"/>
      <c r="Y205" s="71">
        <f t="shared" si="3"/>
        <v>3</v>
      </c>
      <c r="Z205" s="73">
        <f t="shared" si="4"/>
        <v>4</v>
      </c>
      <c r="AA205" s="73">
        <f t="shared" si="5"/>
        <v>-5</v>
      </c>
      <c r="AB205" s="11" t="str">
        <f t="shared" si="6"/>
        <v/>
      </c>
      <c r="AC205" s="73">
        <f t="shared" si="7"/>
        <v>1</v>
      </c>
      <c r="AD205" s="11" t="str">
        <f t="shared" si="8"/>
        <v/>
      </c>
      <c r="AE205" s="73">
        <f t="shared" si="9"/>
        <v>-4.9997949999999998</v>
      </c>
      <c r="AF205" s="11" t="str">
        <f t="shared" si="10"/>
        <v/>
      </c>
      <c r="AG205" s="73">
        <f t="shared" si="11"/>
        <v>1.000205</v>
      </c>
      <c r="AH205" s="11" t="str">
        <f t="shared" si="12"/>
        <v/>
      </c>
    </row>
    <row r="206" spans="1:34" ht="14.25" customHeight="1">
      <c r="A206" s="11">
        <v>191</v>
      </c>
      <c r="B206" s="66" t="s">
        <v>35</v>
      </c>
      <c r="C206" s="67">
        <v>46023</v>
      </c>
      <c r="D206" s="67">
        <v>45929</v>
      </c>
      <c r="E206" s="67"/>
      <c r="F206" s="67">
        <v>45937</v>
      </c>
      <c r="G206" s="67"/>
      <c r="H206" s="67"/>
      <c r="I206" s="6" t="s">
        <v>772</v>
      </c>
      <c r="J206" s="9">
        <v>1458703320</v>
      </c>
      <c r="K206" s="68">
        <v>45900</v>
      </c>
      <c r="L206" s="68">
        <v>46022</v>
      </c>
      <c r="M206" s="68">
        <v>46203</v>
      </c>
      <c r="N206" s="69">
        <f t="shared" si="0"/>
        <v>1</v>
      </c>
      <c r="O206" s="69">
        <f t="shared" si="1"/>
        <v>1</v>
      </c>
      <c r="P206" s="70">
        <v>9</v>
      </c>
      <c r="Q206" s="70">
        <v>9</v>
      </c>
      <c r="R206" s="70">
        <v>10</v>
      </c>
      <c r="S206" s="68" t="str">
        <f t="shared" si="2"/>
        <v/>
      </c>
      <c r="T206" s="68"/>
      <c r="U206" s="68"/>
      <c r="V206" s="68"/>
      <c r="W206" s="9"/>
      <c r="X206" s="10"/>
      <c r="Y206" s="71">
        <f t="shared" si="3"/>
        <v>9</v>
      </c>
      <c r="Z206" s="73">
        <f t="shared" si="4"/>
        <v>10</v>
      </c>
      <c r="AA206" s="73">
        <f t="shared" si="5"/>
        <v>1</v>
      </c>
      <c r="AB206" s="11" t="str">
        <f t="shared" si="6"/>
        <v/>
      </c>
      <c r="AC206" s="73">
        <f t="shared" si="7"/>
        <v>1</v>
      </c>
      <c r="AD206" s="11" t="str">
        <f t="shared" si="8"/>
        <v/>
      </c>
      <c r="AE206" s="73">
        <f t="shared" si="9"/>
        <v>1.0002059999999999</v>
      </c>
      <c r="AF206" s="11" t="str">
        <f t="shared" si="10"/>
        <v/>
      </c>
      <c r="AG206" s="73">
        <f t="shared" si="11"/>
        <v>1.0002059999999999</v>
      </c>
      <c r="AH206" s="11" t="str">
        <f t="shared" si="12"/>
        <v/>
      </c>
    </row>
    <row r="207" spans="1:34" ht="14.25" customHeight="1">
      <c r="A207" s="11">
        <v>192</v>
      </c>
      <c r="B207" s="66"/>
      <c r="C207" s="67"/>
      <c r="D207" s="67"/>
      <c r="E207" s="67"/>
      <c r="F207" s="67"/>
      <c r="G207" s="67" t="s">
        <v>35</v>
      </c>
      <c r="H207" s="67">
        <v>45477</v>
      </c>
      <c r="I207" s="6" t="s">
        <v>773</v>
      </c>
      <c r="J207" s="9">
        <v>1468801720</v>
      </c>
      <c r="K207" s="68">
        <v>45473</v>
      </c>
      <c r="L207" s="68">
        <v>46022</v>
      </c>
      <c r="M207" s="68">
        <v>46203</v>
      </c>
      <c r="N207" s="69">
        <f t="shared" si="0"/>
        <v>2</v>
      </c>
      <c r="O207" s="69">
        <f t="shared" si="1"/>
        <v>-1</v>
      </c>
      <c r="P207" s="70">
        <v>26</v>
      </c>
      <c r="Q207" s="70">
        <v>29</v>
      </c>
      <c r="R207" s="70">
        <v>28</v>
      </c>
      <c r="S207" s="68" t="str">
        <f t="shared" si="2"/>
        <v/>
      </c>
      <c r="T207" s="68"/>
      <c r="U207" s="68"/>
      <c r="V207" s="68"/>
      <c r="W207" s="9"/>
      <c r="X207" s="10"/>
      <c r="Y207" s="71">
        <f t="shared" si="3"/>
        <v>29</v>
      </c>
      <c r="Z207" s="73">
        <f t="shared" si="4"/>
        <v>28</v>
      </c>
      <c r="AA207" s="11" t="str">
        <f t="shared" si="5"/>
        <v/>
      </c>
      <c r="AB207" s="73">
        <f t="shared" si="6"/>
        <v>2</v>
      </c>
      <c r="AC207" s="11" t="str">
        <f t="shared" si="7"/>
        <v/>
      </c>
      <c r="AD207" s="73">
        <f t="shared" si="8"/>
        <v>-1</v>
      </c>
      <c r="AE207" s="11" t="str">
        <f t="shared" si="9"/>
        <v/>
      </c>
      <c r="AF207" s="73">
        <f t="shared" si="10"/>
        <v>2.0002070000000001</v>
      </c>
      <c r="AG207" s="11" t="str">
        <f t="shared" si="11"/>
        <v/>
      </c>
      <c r="AH207" s="73">
        <f t="shared" si="12"/>
        <v>-0.99979300000000004</v>
      </c>
    </row>
    <row r="208" spans="1:34" ht="14.25" customHeight="1">
      <c r="A208" s="11">
        <v>193</v>
      </c>
      <c r="B208" s="66"/>
      <c r="C208" s="67"/>
      <c r="D208" s="67"/>
      <c r="E208" s="67"/>
      <c r="F208" s="67"/>
      <c r="G208" s="67" t="s">
        <v>35</v>
      </c>
      <c r="H208" s="67">
        <v>45349</v>
      </c>
      <c r="I208" s="6" t="s">
        <v>774</v>
      </c>
      <c r="J208" s="9">
        <v>1478802402</v>
      </c>
      <c r="K208" s="68">
        <v>45322</v>
      </c>
      <c r="L208" s="68">
        <v>46022</v>
      </c>
      <c r="M208" s="68">
        <v>46203</v>
      </c>
      <c r="N208" s="69">
        <f t="shared" si="0"/>
        <v>6</v>
      </c>
      <c r="O208" s="69">
        <f t="shared" si="1"/>
        <v>0</v>
      </c>
      <c r="P208" s="70">
        <v>6</v>
      </c>
      <c r="Q208" s="70">
        <v>12</v>
      </c>
      <c r="R208" s="70">
        <v>12</v>
      </c>
      <c r="S208" s="68" t="str">
        <f t="shared" si="2"/>
        <v/>
      </c>
      <c r="T208" s="68"/>
      <c r="U208" s="68"/>
      <c r="V208" s="68"/>
      <c r="W208" s="9"/>
      <c r="X208" s="10"/>
      <c r="Y208" s="71">
        <f t="shared" si="3"/>
        <v>12</v>
      </c>
      <c r="Z208" s="73">
        <f t="shared" si="4"/>
        <v>12</v>
      </c>
      <c r="AA208" s="11" t="str">
        <f t="shared" si="5"/>
        <v/>
      </c>
      <c r="AB208" s="73">
        <f t="shared" si="6"/>
        <v>6</v>
      </c>
      <c r="AC208" s="11" t="str">
        <f t="shared" si="7"/>
        <v/>
      </c>
      <c r="AD208" s="73">
        <f t="shared" si="8"/>
        <v>0</v>
      </c>
      <c r="AE208" s="11" t="str">
        <f t="shared" si="9"/>
        <v/>
      </c>
      <c r="AF208" s="73">
        <f t="shared" si="10"/>
        <v>6.0002079999999998</v>
      </c>
      <c r="AG208" s="11" t="str">
        <f t="shared" si="11"/>
        <v/>
      </c>
      <c r="AH208" s="73">
        <f t="shared" si="12"/>
        <v>2.0799999999999999E-4</v>
      </c>
    </row>
    <row r="209" spans="1:34" ht="14.25" customHeight="1">
      <c r="A209" s="11">
        <v>194</v>
      </c>
      <c r="B209" s="66"/>
      <c r="C209" s="67"/>
      <c r="D209" s="67"/>
      <c r="E209" s="67"/>
      <c r="F209" s="67"/>
      <c r="G209" s="67" t="s">
        <v>35</v>
      </c>
      <c r="H209" s="67">
        <v>44519</v>
      </c>
      <c r="I209" s="6" t="s">
        <v>775</v>
      </c>
      <c r="J209" s="9">
        <v>1488701340</v>
      </c>
      <c r="K209" s="68">
        <v>44500</v>
      </c>
      <c r="L209" s="68">
        <v>46022</v>
      </c>
      <c r="M209" s="68">
        <v>46203</v>
      </c>
      <c r="N209" s="69">
        <f t="shared" si="0"/>
        <v>-8</v>
      </c>
      <c r="O209" s="69">
        <f t="shared" si="1"/>
        <v>-4</v>
      </c>
      <c r="P209" s="70">
        <v>40</v>
      </c>
      <c r="Q209" s="70">
        <v>36</v>
      </c>
      <c r="R209" s="70">
        <v>32</v>
      </c>
      <c r="S209" s="68" t="str">
        <f t="shared" si="2"/>
        <v/>
      </c>
      <c r="T209" s="68"/>
      <c r="U209" s="68"/>
      <c r="V209" s="68"/>
      <c r="W209" s="9"/>
      <c r="X209" s="10"/>
      <c r="Y209" s="71">
        <f t="shared" si="3"/>
        <v>36</v>
      </c>
      <c r="Z209" s="73">
        <f t="shared" si="4"/>
        <v>32</v>
      </c>
      <c r="AA209" s="11" t="str">
        <f t="shared" si="5"/>
        <v/>
      </c>
      <c r="AB209" s="73">
        <f t="shared" si="6"/>
        <v>-8</v>
      </c>
      <c r="AC209" s="11" t="str">
        <f t="shared" si="7"/>
        <v/>
      </c>
      <c r="AD209" s="73">
        <f t="shared" si="8"/>
        <v>-4</v>
      </c>
      <c r="AE209" s="11" t="str">
        <f t="shared" si="9"/>
        <v/>
      </c>
      <c r="AF209" s="73">
        <f t="shared" si="10"/>
        <v>-7.9997910000000001</v>
      </c>
      <c r="AG209" s="11" t="str">
        <f t="shared" si="11"/>
        <v/>
      </c>
      <c r="AH209" s="73">
        <f t="shared" si="12"/>
        <v>-3.9997910000000001</v>
      </c>
    </row>
    <row r="210" spans="1:34" ht="14.25" customHeight="1">
      <c r="A210" s="11">
        <v>195</v>
      </c>
      <c r="B210" s="66"/>
      <c r="C210" s="67"/>
      <c r="D210" s="67"/>
      <c r="E210" s="67"/>
      <c r="F210" s="67"/>
      <c r="G210" s="67" t="s">
        <v>24</v>
      </c>
      <c r="H210" s="67">
        <v>43446</v>
      </c>
      <c r="I210" s="6" t="s">
        <v>776</v>
      </c>
      <c r="J210" s="9">
        <v>1488800936</v>
      </c>
      <c r="K210" s="68">
        <v>43434</v>
      </c>
      <c r="L210" s="68" t="s">
        <v>230</v>
      </c>
      <c r="M210" s="68">
        <v>45473</v>
      </c>
      <c r="N210" s="69">
        <f t="shared" si="0"/>
        <v>-8</v>
      </c>
      <c r="O210" s="69" t="str">
        <f t="shared" si="1"/>
        <v>N/A</v>
      </c>
      <c r="P210" s="70">
        <v>8</v>
      </c>
      <c r="Q210" s="70"/>
      <c r="R210" s="70">
        <v>0</v>
      </c>
      <c r="S210" s="68">
        <f t="shared" si="2"/>
        <v>45460</v>
      </c>
      <c r="T210" s="68">
        <v>45460</v>
      </c>
      <c r="U210" s="68"/>
      <c r="V210" s="68"/>
      <c r="W210" s="9"/>
      <c r="X210" s="10"/>
      <c r="Y210" s="65" t="str">
        <f t="shared" si="3"/>
        <v/>
      </c>
      <c r="Z210" s="11" t="str">
        <f t="shared" si="4"/>
        <v/>
      </c>
      <c r="AA210" s="11" t="str">
        <f t="shared" si="5"/>
        <v/>
      </c>
      <c r="AB210" s="73">
        <f t="shared" si="6"/>
        <v>-8</v>
      </c>
      <c r="AC210" s="11" t="str">
        <f t="shared" si="7"/>
        <v/>
      </c>
      <c r="AD210" s="11" t="str">
        <f t="shared" si="8"/>
        <v/>
      </c>
      <c r="AE210" s="11" t="str">
        <f t="shared" si="9"/>
        <v/>
      </c>
      <c r="AF210" s="73">
        <f t="shared" si="10"/>
        <v>-7.99979</v>
      </c>
      <c r="AG210" s="11" t="str">
        <f t="shared" si="11"/>
        <v/>
      </c>
      <c r="AH210" s="11" t="str">
        <f t="shared" si="12"/>
        <v/>
      </c>
    </row>
    <row r="211" spans="1:34" ht="14.25" customHeight="1">
      <c r="A211" s="11">
        <v>196</v>
      </c>
      <c r="B211" s="66" t="s">
        <v>35</v>
      </c>
      <c r="C211" s="67">
        <v>44896</v>
      </c>
      <c r="D211" s="67"/>
      <c r="E211" s="67"/>
      <c r="F211" s="67">
        <v>46184</v>
      </c>
      <c r="G211" s="67" t="s">
        <v>35</v>
      </c>
      <c r="H211" s="67">
        <v>44846</v>
      </c>
      <c r="I211" s="6" t="s">
        <v>777</v>
      </c>
      <c r="J211" s="9">
        <v>1498702089</v>
      </c>
      <c r="K211" s="68">
        <v>44834</v>
      </c>
      <c r="L211" s="68">
        <v>46022</v>
      </c>
      <c r="M211" s="68">
        <v>46203</v>
      </c>
      <c r="N211" s="69">
        <f t="shared" si="0"/>
        <v>20</v>
      </c>
      <c r="O211" s="69">
        <f t="shared" si="1"/>
        <v>2</v>
      </c>
      <c r="P211" s="70">
        <v>11</v>
      </c>
      <c r="Q211" s="70">
        <v>29</v>
      </c>
      <c r="R211" s="70">
        <v>31</v>
      </c>
      <c r="S211" s="68" t="str">
        <f t="shared" si="2"/>
        <v/>
      </c>
      <c r="T211" s="68"/>
      <c r="U211" s="68"/>
      <c r="V211" s="68"/>
      <c r="W211" s="9"/>
      <c r="X211" s="10"/>
      <c r="Y211" s="71">
        <f t="shared" si="3"/>
        <v>29</v>
      </c>
      <c r="Z211" s="73">
        <f t="shared" si="4"/>
        <v>31</v>
      </c>
      <c r="AA211" s="73">
        <f t="shared" si="5"/>
        <v>20</v>
      </c>
      <c r="AB211" s="73">
        <f t="shared" si="6"/>
        <v>20</v>
      </c>
      <c r="AC211" s="73">
        <f t="shared" si="7"/>
        <v>2</v>
      </c>
      <c r="AD211" s="73">
        <f t="shared" si="8"/>
        <v>2</v>
      </c>
      <c r="AE211" s="73">
        <f t="shared" si="9"/>
        <v>20.000211</v>
      </c>
      <c r="AF211" s="73">
        <f t="shared" si="10"/>
        <v>20.000211</v>
      </c>
      <c r="AG211" s="73">
        <f t="shared" si="11"/>
        <v>2.0002110000000002</v>
      </c>
      <c r="AH211" s="73">
        <f t="shared" si="12"/>
        <v>2.0002110000000002</v>
      </c>
    </row>
    <row r="212" spans="1:34" ht="14.25" customHeight="1">
      <c r="A212" s="11">
        <v>197</v>
      </c>
      <c r="B212" s="66"/>
      <c r="C212" s="67"/>
      <c r="D212" s="67"/>
      <c r="E212" s="67"/>
      <c r="F212" s="67"/>
      <c r="G212" s="67" t="s">
        <v>24</v>
      </c>
      <c r="H212" s="67">
        <v>44588</v>
      </c>
      <c r="I212" s="6" t="s">
        <v>778</v>
      </c>
      <c r="J212" s="9">
        <v>1498801170</v>
      </c>
      <c r="K212" s="68">
        <v>44561</v>
      </c>
      <c r="L212" s="68" t="s">
        <v>230</v>
      </c>
      <c r="M212" s="68">
        <v>45473</v>
      </c>
      <c r="N212" s="69">
        <f t="shared" si="0"/>
        <v>-11</v>
      </c>
      <c r="O212" s="69" t="str">
        <f t="shared" si="1"/>
        <v>N/A</v>
      </c>
      <c r="P212" s="70">
        <v>11</v>
      </c>
      <c r="Q212" s="70"/>
      <c r="R212" s="70">
        <v>0</v>
      </c>
      <c r="S212" s="68">
        <f t="shared" si="2"/>
        <v>45473</v>
      </c>
      <c r="T212" s="68">
        <v>45473</v>
      </c>
      <c r="U212" s="68"/>
      <c r="V212" s="68"/>
      <c r="W212" s="9"/>
      <c r="X212" s="10"/>
      <c r="Y212" s="65" t="str">
        <f t="shared" si="3"/>
        <v/>
      </c>
      <c r="Z212" s="11" t="str">
        <f t="shared" si="4"/>
        <v/>
      </c>
      <c r="AA212" s="11" t="str">
        <f t="shared" si="5"/>
        <v/>
      </c>
      <c r="AB212" s="73">
        <f t="shared" si="6"/>
        <v>-11</v>
      </c>
      <c r="AC212" s="11" t="str">
        <f t="shared" si="7"/>
        <v/>
      </c>
      <c r="AD212" s="11" t="str">
        <f t="shared" si="8"/>
        <v/>
      </c>
      <c r="AE212" s="11" t="str">
        <f t="shared" si="9"/>
        <v/>
      </c>
      <c r="AF212" s="73">
        <f t="shared" si="10"/>
        <v>-10.999788000000001</v>
      </c>
      <c r="AG212" s="11" t="str">
        <f t="shared" si="11"/>
        <v/>
      </c>
      <c r="AH212" s="11" t="str">
        <f t="shared" si="12"/>
        <v/>
      </c>
    </row>
    <row r="213" spans="1:34" ht="14.25" customHeight="1">
      <c r="A213" s="11">
        <v>198</v>
      </c>
      <c r="B213" s="66"/>
      <c r="C213" s="67"/>
      <c r="D213" s="67"/>
      <c r="E213" s="67"/>
      <c r="F213" s="67"/>
      <c r="G213" s="67" t="s">
        <v>35</v>
      </c>
      <c r="H213" s="67">
        <v>43481</v>
      </c>
      <c r="I213" s="6" t="s">
        <v>779</v>
      </c>
      <c r="J213" s="9">
        <v>1518100025</v>
      </c>
      <c r="K213" s="68">
        <v>43465</v>
      </c>
      <c r="L213" s="68">
        <v>46022</v>
      </c>
      <c r="M213" s="68">
        <v>46203</v>
      </c>
      <c r="N213" s="69">
        <f t="shared" si="0"/>
        <v>234</v>
      </c>
      <c r="O213" s="69">
        <f t="shared" si="1"/>
        <v>22</v>
      </c>
      <c r="P213" s="70">
        <v>93</v>
      </c>
      <c r="Q213" s="70">
        <v>305</v>
      </c>
      <c r="R213" s="70">
        <v>327</v>
      </c>
      <c r="S213" s="68" t="str">
        <f t="shared" si="2"/>
        <v/>
      </c>
      <c r="T213" s="68"/>
      <c r="U213" s="68"/>
      <c r="V213" s="68"/>
      <c r="W213" s="9"/>
      <c r="X213" s="10"/>
      <c r="Y213" s="71">
        <f t="shared" si="3"/>
        <v>305</v>
      </c>
      <c r="Z213" s="73">
        <f t="shared" si="4"/>
        <v>327</v>
      </c>
      <c r="AA213" s="11" t="str">
        <f t="shared" si="5"/>
        <v/>
      </c>
      <c r="AB213" s="73">
        <f t="shared" si="6"/>
        <v>234</v>
      </c>
      <c r="AC213" s="11" t="str">
        <f t="shared" si="7"/>
        <v/>
      </c>
      <c r="AD213" s="73">
        <f t="shared" si="8"/>
        <v>22</v>
      </c>
      <c r="AE213" s="11" t="str">
        <f t="shared" si="9"/>
        <v/>
      </c>
      <c r="AF213" s="73">
        <f t="shared" si="10"/>
        <v>234.000213</v>
      </c>
      <c r="AG213" s="11" t="str">
        <f t="shared" si="11"/>
        <v/>
      </c>
      <c r="AH213" s="73">
        <f t="shared" si="12"/>
        <v>22.000212999999999</v>
      </c>
    </row>
    <row r="214" spans="1:34" ht="14.25" customHeight="1">
      <c r="A214" s="11">
        <v>199</v>
      </c>
      <c r="B214" s="66"/>
      <c r="C214" s="67"/>
      <c r="D214" s="67"/>
      <c r="E214" s="67"/>
      <c r="F214" s="67"/>
      <c r="G214" s="67" t="s">
        <v>35</v>
      </c>
      <c r="H214" s="67">
        <v>45366</v>
      </c>
      <c r="I214" s="6" t="s">
        <v>780</v>
      </c>
      <c r="J214" s="9">
        <v>1518602125</v>
      </c>
      <c r="K214" s="68">
        <v>45351</v>
      </c>
      <c r="L214" s="68">
        <v>46022</v>
      </c>
      <c r="M214" s="68">
        <v>46203</v>
      </c>
      <c r="N214" s="69">
        <f t="shared" si="0"/>
        <v>0</v>
      </c>
      <c r="O214" s="69">
        <f t="shared" si="1"/>
        <v>0</v>
      </c>
      <c r="P214" s="70">
        <v>3</v>
      </c>
      <c r="Q214" s="70">
        <v>3</v>
      </c>
      <c r="R214" s="70">
        <v>3</v>
      </c>
      <c r="S214" s="68" t="str">
        <f t="shared" si="2"/>
        <v/>
      </c>
      <c r="T214" s="68"/>
      <c r="U214" s="68"/>
      <c r="V214" s="68"/>
      <c r="W214" s="9"/>
      <c r="X214" s="10"/>
      <c r="Y214" s="71">
        <f t="shared" si="3"/>
        <v>3</v>
      </c>
      <c r="Z214" s="73">
        <f t="shared" si="4"/>
        <v>3</v>
      </c>
      <c r="AA214" s="11" t="str">
        <f t="shared" si="5"/>
        <v/>
      </c>
      <c r="AB214" s="73">
        <f t="shared" si="6"/>
        <v>0</v>
      </c>
      <c r="AC214" s="11" t="str">
        <f t="shared" si="7"/>
        <v/>
      </c>
      <c r="AD214" s="73">
        <f t="shared" si="8"/>
        <v>0</v>
      </c>
      <c r="AE214" s="11" t="str">
        <f t="shared" si="9"/>
        <v/>
      </c>
      <c r="AF214" s="73">
        <f t="shared" si="10"/>
        <v>2.14E-4</v>
      </c>
      <c r="AG214" s="11" t="str">
        <f t="shared" si="11"/>
        <v/>
      </c>
      <c r="AH214" s="73">
        <f t="shared" si="12"/>
        <v>2.14E-4</v>
      </c>
    </row>
    <row r="215" spans="1:34" ht="14.25" customHeight="1">
      <c r="A215" s="11">
        <v>200</v>
      </c>
      <c r="B215" s="66" t="s">
        <v>781</v>
      </c>
      <c r="C215" s="67">
        <v>45962</v>
      </c>
      <c r="D215" s="67">
        <v>44554</v>
      </c>
      <c r="E215" s="67"/>
      <c r="F215" s="67"/>
      <c r="G215" s="67"/>
      <c r="H215" s="67"/>
      <c r="I215" s="6" t="s">
        <v>782</v>
      </c>
      <c r="J215" s="9">
        <v>1528102443</v>
      </c>
      <c r="K215" s="68">
        <v>44530</v>
      </c>
      <c r="L215" s="68">
        <v>46022</v>
      </c>
      <c r="M215" s="68">
        <v>46203</v>
      </c>
      <c r="N215" s="69">
        <f t="shared" si="0"/>
        <v>1</v>
      </c>
      <c r="O215" s="69">
        <f t="shared" si="1"/>
        <v>-2</v>
      </c>
      <c r="P215" s="70">
        <v>0</v>
      </c>
      <c r="Q215" s="70">
        <v>3</v>
      </c>
      <c r="R215" s="70">
        <v>1</v>
      </c>
      <c r="S215" s="68" t="str">
        <f t="shared" si="2"/>
        <v/>
      </c>
      <c r="T215" s="68"/>
      <c r="U215" s="68">
        <v>46022</v>
      </c>
      <c r="V215" s="68"/>
      <c r="W215" s="9"/>
      <c r="X215" s="10"/>
      <c r="Y215" s="71">
        <f t="shared" si="3"/>
        <v>3</v>
      </c>
      <c r="Z215" s="73">
        <f t="shared" si="4"/>
        <v>1</v>
      </c>
      <c r="AA215" s="73">
        <f t="shared" si="5"/>
        <v>1</v>
      </c>
      <c r="AB215" s="11" t="str">
        <f t="shared" si="6"/>
        <v/>
      </c>
      <c r="AC215" s="73">
        <f t="shared" si="7"/>
        <v>-2</v>
      </c>
      <c r="AD215" s="11" t="str">
        <f t="shared" si="8"/>
        <v/>
      </c>
      <c r="AE215" s="73">
        <f t="shared" si="9"/>
        <v>1.0002150000000001</v>
      </c>
      <c r="AF215" s="11" t="str">
        <f t="shared" si="10"/>
        <v/>
      </c>
      <c r="AG215" s="73">
        <f t="shared" si="11"/>
        <v>-1.9997849999999999</v>
      </c>
      <c r="AH215" s="11" t="str">
        <f t="shared" si="12"/>
        <v/>
      </c>
    </row>
    <row r="216" spans="1:34" ht="14.25" customHeight="1">
      <c r="A216" s="11">
        <v>201</v>
      </c>
      <c r="B216" s="66"/>
      <c r="C216" s="67"/>
      <c r="D216" s="67"/>
      <c r="E216" s="67"/>
      <c r="F216" s="67"/>
      <c r="G216" s="67" t="s">
        <v>35</v>
      </c>
      <c r="H216" s="67">
        <v>45910</v>
      </c>
      <c r="I216" s="6" t="s">
        <v>783</v>
      </c>
      <c r="J216" s="94">
        <v>1528803378</v>
      </c>
      <c r="K216" s="68">
        <v>45900</v>
      </c>
      <c r="L216" s="68">
        <v>46022</v>
      </c>
      <c r="M216" s="68">
        <v>46203</v>
      </c>
      <c r="N216" s="69">
        <f t="shared" si="0"/>
        <v>7</v>
      </c>
      <c r="O216" s="69">
        <f t="shared" si="1"/>
        <v>7</v>
      </c>
      <c r="P216" s="70">
        <v>6</v>
      </c>
      <c r="Q216" s="70">
        <v>6</v>
      </c>
      <c r="R216" s="70">
        <v>13</v>
      </c>
      <c r="S216" s="68" t="str">
        <f t="shared" si="2"/>
        <v/>
      </c>
      <c r="T216" s="68"/>
      <c r="U216" s="95"/>
      <c r="V216" s="68"/>
      <c r="W216" s="6"/>
      <c r="X216" s="10"/>
      <c r="Y216" s="71">
        <f t="shared" si="3"/>
        <v>6</v>
      </c>
      <c r="Z216" s="73">
        <f t="shared" si="4"/>
        <v>13</v>
      </c>
      <c r="AA216" s="11" t="str">
        <f t="shared" si="5"/>
        <v/>
      </c>
      <c r="AB216" s="73">
        <f t="shared" si="6"/>
        <v>7</v>
      </c>
      <c r="AC216" s="11" t="str">
        <f t="shared" si="7"/>
        <v/>
      </c>
      <c r="AD216" s="73">
        <f t="shared" si="8"/>
        <v>7</v>
      </c>
      <c r="AE216" s="11" t="str">
        <f t="shared" si="9"/>
        <v/>
      </c>
      <c r="AF216" s="73">
        <f t="shared" si="10"/>
        <v>7.000216</v>
      </c>
      <c r="AG216" s="11" t="str">
        <f t="shared" si="11"/>
        <v/>
      </c>
      <c r="AH216" s="73">
        <f t="shared" si="12"/>
        <v>7.000216</v>
      </c>
    </row>
    <row r="217" spans="1:34" ht="14.25" customHeight="1">
      <c r="A217" s="11">
        <v>202</v>
      </c>
      <c r="B217" s="66" t="s">
        <v>35</v>
      </c>
      <c r="C217" s="67">
        <v>45444</v>
      </c>
      <c r="D217" s="67">
        <v>45275</v>
      </c>
      <c r="E217" s="67"/>
      <c r="F217" s="67"/>
      <c r="G217" s="67" t="s">
        <v>35</v>
      </c>
      <c r="H217" s="67">
        <v>45224</v>
      </c>
      <c r="I217" s="6" t="s">
        <v>784</v>
      </c>
      <c r="J217" s="9">
        <v>1538803008</v>
      </c>
      <c r="K217" s="68">
        <v>45199</v>
      </c>
      <c r="L217" s="68">
        <v>46022</v>
      </c>
      <c r="M217" s="68">
        <v>46203</v>
      </c>
      <c r="N217" s="69">
        <f t="shared" si="0"/>
        <v>5</v>
      </c>
      <c r="O217" s="69">
        <f t="shared" si="1"/>
        <v>0</v>
      </c>
      <c r="P217" s="70">
        <v>9</v>
      </c>
      <c r="Q217" s="70">
        <v>14</v>
      </c>
      <c r="R217" s="70">
        <v>14</v>
      </c>
      <c r="S217" s="68" t="str">
        <f t="shared" si="2"/>
        <v/>
      </c>
      <c r="T217" s="68"/>
      <c r="U217" s="68"/>
      <c r="V217" s="68"/>
      <c r="W217" s="9"/>
      <c r="X217" s="10"/>
      <c r="Y217" s="71">
        <f t="shared" si="3"/>
        <v>14</v>
      </c>
      <c r="Z217" s="73">
        <f t="shared" si="4"/>
        <v>14</v>
      </c>
      <c r="AA217" s="73">
        <f t="shared" si="5"/>
        <v>5</v>
      </c>
      <c r="AB217" s="73">
        <f t="shared" si="6"/>
        <v>5</v>
      </c>
      <c r="AC217" s="73">
        <f t="shared" si="7"/>
        <v>0</v>
      </c>
      <c r="AD217" s="73">
        <f t="shared" si="8"/>
        <v>0</v>
      </c>
      <c r="AE217" s="73">
        <f t="shared" si="9"/>
        <v>5.0002170000000001</v>
      </c>
      <c r="AF217" s="73">
        <f t="shared" si="10"/>
        <v>5.0002170000000001</v>
      </c>
      <c r="AG217" s="73">
        <f t="shared" si="11"/>
        <v>2.1699999999999999E-4</v>
      </c>
      <c r="AH217" s="73">
        <f t="shared" si="12"/>
        <v>2.1699999999999999E-4</v>
      </c>
    </row>
    <row r="218" spans="1:34" ht="14.25" customHeight="1">
      <c r="A218" s="11">
        <v>203</v>
      </c>
      <c r="B218" s="66" t="s">
        <v>35</v>
      </c>
      <c r="C218" s="67">
        <v>45658</v>
      </c>
      <c r="D218" s="67">
        <v>45642</v>
      </c>
      <c r="E218" s="67">
        <v>45658</v>
      </c>
      <c r="F218" s="67"/>
      <c r="G218" s="67"/>
      <c r="H218" s="67"/>
      <c r="I218" s="6" t="s">
        <v>785</v>
      </c>
      <c r="J218" s="9">
        <v>1548601256</v>
      </c>
      <c r="K218" s="68">
        <v>45626</v>
      </c>
      <c r="L218" s="68">
        <v>46022</v>
      </c>
      <c r="M218" s="68">
        <v>46203</v>
      </c>
      <c r="N218" s="69">
        <f t="shared" si="0"/>
        <v>-5</v>
      </c>
      <c r="O218" s="69">
        <f t="shared" si="1"/>
        <v>4</v>
      </c>
      <c r="P218" s="70">
        <v>15</v>
      </c>
      <c r="Q218" s="70">
        <v>6</v>
      </c>
      <c r="R218" s="70">
        <v>10</v>
      </c>
      <c r="S218" s="68" t="str">
        <f t="shared" si="2"/>
        <v/>
      </c>
      <c r="T218" s="68"/>
      <c r="U218" s="68"/>
      <c r="V218" s="68"/>
      <c r="W218" s="9"/>
      <c r="X218" s="10"/>
      <c r="Y218" s="71">
        <f t="shared" si="3"/>
        <v>6</v>
      </c>
      <c r="Z218" s="73">
        <f t="shared" si="4"/>
        <v>10</v>
      </c>
      <c r="AA218" s="73">
        <f t="shared" si="5"/>
        <v>-5</v>
      </c>
      <c r="AB218" s="11" t="str">
        <f t="shared" si="6"/>
        <v/>
      </c>
      <c r="AC218" s="73">
        <f t="shared" si="7"/>
        <v>4</v>
      </c>
      <c r="AD218" s="11" t="str">
        <f t="shared" si="8"/>
        <v/>
      </c>
      <c r="AE218" s="73">
        <f t="shared" si="9"/>
        <v>-4.9997819999999997</v>
      </c>
      <c r="AF218" s="11" t="str">
        <f t="shared" si="10"/>
        <v/>
      </c>
      <c r="AG218" s="73">
        <f t="shared" si="11"/>
        <v>4.0002180000000003</v>
      </c>
      <c r="AH218" s="11" t="str">
        <f t="shared" si="12"/>
        <v/>
      </c>
    </row>
    <row r="219" spans="1:34" ht="14.25" customHeight="1">
      <c r="A219" s="11">
        <v>204</v>
      </c>
      <c r="B219" s="66" t="s">
        <v>35</v>
      </c>
      <c r="C219" s="67">
        <v>45658</v>
      </c>
      <c r="D219" s="67"/>
      <c r="E219" s="67">
        <v>45658</v>
      </c>
      <c r="F219" s="67"/>
      <c r="G219" s="67" t="s">
        <v>35</v>
      </c>
      <c r="H219" s="67">
        <v>45674</v>
      </c>
      <c r="I219" s="6" t="s">
        <v>786</v>
      </c>
      <c r="J219" s="9">
        <v>1548602838</v>
      </c>
      <c r="K219" s="68">
        <v>45657</v>
      </c>
      <c r="L219" s="68">
        <v>46022</v>
      </c>
      <c r="M219" s="68">
        <v>46203</v>
      </c>
      <c r="N219" s="69">
        <f t="shared" si="0"/>
        <v>8</v>
      </c>
      <c r="O219" s="69">
        <f t="shared" si="1"/>
        <v>2</v>
      </c>
      <c r="P219" s="70">
        <v>14</v>
      </c>
      <c r="Q219" s="70">
        <v>20</v>
      </c>
      <c r="R219" s="70">
        <v>22</v>
      </c>
      <c r="S219" s="68" t="str">
        <f t="shared" si="2"/>
        <v/>
      </c>
      <c r="T219" s="68"/>
      <c r="U219" s="68"/>
      <c r="V219" s="68"/>
      <c r="W219" s="9"/>
      <c r="X219" s="10"/>
      <c r="Y219" s="71">
        <f t="shared" si="3"/>
        <v>20</v>
      </c>
      <c r="Z219" s="73">
        <f t="shared" si="4"/>
        <v>22</v>
      </c>
      <c r="AA219" s="73">
        <f t="shared" si="5"/>
        <v>8</v>
      </c>
      <c r="AB219" s="73">
        <f t="shared" si="6"/>
        <v>8</v>
      </c>
      <c r="AC219" s="73">
        <f t="shared" si="7"/>
        <v>2</v>
      </c>
      <c r="AD219" s="73">
        <f t="shared" si="8"/>
        <v>2</v>
      </c>
      <c r="AE219" s="73">
        <f t="shared" si="9"/>
        <v>8.0002189999999995</v>
      </c>
      <c r="AF219" s="73">
        <f t="shared" si="10"/>
        <v>8.0002189999999995</v>
      </c>
      <c r="AG219" s="73">
        <f t="shared" si="11"/>
        <v>2.000219</v>
      </c>
      <c r="AH219" s="73">
        <f t="shared" si="12"/>
        <v>2.000219</v>
      </c>
    </row>
    <row r="220" spans="1:34" ht="14.25" customHeight="1">
      <c r="A220" s="11">
        <v>205</v>
      </c>
      <c r="B220" s="66"/>
      <c r="C220" s="67"/>
      <c r="D220" s="67"/>
      <c r="E220" s="67"/>
      <c r="F220" s="67"/>
      <c r="G220" s="67" t="s">
        <v>35</v>
      </c>
      <c r="H220" s="67">
        <v>44672</v>
      </c>
      <c r="I220" s="6" t="s">
        <v>787</v>
      </c>
      <c r="J220" s="9">
        <v>1568601252</v>
      </c>
      <c r="K220" s="68">
        <v>44651</v>
      </c>
      <c r="L220" s="68">
        <v>46022</v>
      </c>
      <c r="M220" s="68">
        <v>46203</v>
      </c>
      <c r="N220" s="69">
        <f t="shared" si="0"/>
        <v>-6</v>
      </c>
      <c r="O220" s="69">
        <f t="shared" si="1"/>
        <v>0</v>
      </c>
      <c r="P220" s="70">
        <v>6</v>
      </c>
      <c r="Q220" s="70">
        <v>0</v>
      </c>
      <c r="R220" s="70">
        <v>0</v>
      </c>
      <c r="S220" s="68" t="str">
        <f t="shared" si="2"/>
        <v/>
      </c>
      <c r="T220" s="68"/>
      <c r="U220" s="68"/>
      <c r="V220" s="68"/>
      <c r="W220" s="9"/>
      <c r="X220" s="10"/>
      <c r="Y220" s="71">
        <f t="shared" si="3"/>
        <v>0</v>
      </c>
      <c r="Z220" s="73">
        <f t="shared" si="4"/>
        <v>0</v>
      </c>
      <c r="AA220" s="11" t="str">
        <f t="shared" si="5"/>
        <v/>
      </c>
      <c r="AB220" s="73">
        <f t="shared" si="6"/>
        <v>-6</v>
      </c>
      <c r="AC220" s="11" t="str">
        <f t="shared" si="7"/>
        <v/>
      </c>
      <c r="AD220" s="73">
        <f t="shared" si="8"/>
        <v>0</v>
      </c>
      <c r="AE220" s="11" t="str">
        <f t="shared" si="9"/>
        <v/>
      </c>
      <c r="AF220" s="73">
        <f t="shared" si="10"/>
        <v>-5.9997800000000003</v>
      </c>
      <c r="AG220" s="11" t="str">
        <f t="shared" si="11"/>
        <v/>
      </c>
      <c r="AH220" s="73">
        <f t="shared" si="12"/>
        <v>2.2000000000000001E-4</v>
      </c>
    </row>
    <row r="221" spans="1:34" ht="14.25" customHeight="1">
      <c r="A221" s="11">
        <v>206</v>
      </c>
      <c r="B221" s="66"/>
      <c r="C221" s="67"/>
      <c r="D221" s="67"/>
      <c r="E221" s="67"/>
      <c r="F221" s="67"/>
      <c r="G221" s="67" t="s">
        <v>35</v>
      </c>
      <c r="H221" s="67">
        <v>44980</v>
      </c>
      <c r="I221" s="6" t="s">
        <v>788</v>
      </c>
      <c r="J221" s="9">
        <v>1568702184</v>
      </c>
      <c r="K221" s="68">
        <v>44957</v>
      </c>
      <c r="L221" s="68">
        <v>46022</v>
      </c>
      <c r="M221" s="68">
        <v>46203</v>
      </c>
      <c r="N221" s="69">
        <f t="shared" si="0"/>
        <v>0</v>
      </c>
      <c r="O221" s="69">
        <f t="shared" si="1"/>
        <v>-1</v>
      </c>
      <c r="P221" s="70">
        <v>10</v>
      </c>
      <c r="Q221" s="70">
        <v>11</v>
      </c>
      <c r="R221" s="70">
        <v>10</v>
      </c>
      <c r="S221" s="68" t="str">
        <f t="shared" si="2"/>
        <v/>
      </c>
      <c r="T221" s="68"/>
      <c r="U221" s="68"/>
      <c r="V221" s="68"/>
      <c r="W221" s="9"/>
      <c r="X221" s="10"/>
      <c r="Y221" s="71">
        <f t="shared" si="3"/>
        <v>11</v>
      </c>
      <c r="Z221" s="73">
        <f t="shared" si="4"/>
        <v>10</v>
      </c>
      <c r="AA221" s="11" t="str">
        <f t="shared" si="5"/>
        <v/>
      </c>
      <c r="AB221" s="73">
        <f t="shared" si="6"/>
        <v>0</v>
      </c>
      <c r="AC221" s="11" t="str">
        <f t="shared" si="7"/>
        <v/>
      </c>
      <c r="AD221" s="73">
        <f t="shared" si="8"/>
        <v>-1</v>
      </c>
      <c r="AE221" s="11" t="str">
        <f t="shared" si="9"/>
        <v/>
      </c>
      <c r="AF221" s="73">
        <f t="shared" si="10"/>
        <v>2.2100000000000001E-4</v>
      </c>
      <c r="AG221" s="11" t="str">
        <f t="shared" si="11"/>
        <v/>
      </c>
      <c r="AH221" s="73">
        <f t="shared" si="12"/>
        <v>-0.99977899999999997</v>
      </c>
    </row>
    <row r="222" spans="1:34" ht="14.25" customHeight="1">
      <c r="A222" s="11">
        <v>207</v>
      </c>
      <c r="B222" s="66"/>
      <c r="C222" s="67"/>
      <c r="D222" s="67"/>
      <c r="E222" s="67"/>
      <c r="F222" s="67"/>
      <c r="G222" s="67" t="s">
        <v>35</v>
      </c>
      <c r="H222" s="67">
        <v>44018</v>
      </c>
      <c r="I222" s="6" t="s">
        <v>789</v>
      </c>
      <c r="J222" s="9">
        <v>1578602249</v>
      </c>
      <c r="K222" s="68">
        <v>44012</v>
      </c>
      <c r="L222" s="68">
        <v>46022</v>
      </c>
      <c r="M222" s="68">
        <v>46203</v>
      </c>
      <c r="N222" s="69">
        <f t="shared" si="0"/>
        <v>49</v>
      </c>
      <c r="O222" s="69">
        <f t="shared" si="1"/>
        <v>12</v>
      </c>
      <c r="P222" s="70">
        <v>0</v>
      </c>
      <c r="Q222" s="70">
        <v>37</v>
      </c>
      <c r="R222" s="70">
        <v>49</v>
      </c>
      <c r="S222" s="68" t="str">
        <f t="shared" si="2"/>
        <v/>
      </c>
      <c r="T222" s="68"/>
      <c r="U222" s="68"/>
      <c r="V222" s="68"/>
      <c r="W222" s="9"/>
      <c r="X222" s="10"/>
      <c r="Y222" s="71">
        <f t="shared" si="3"/>
        <v>37</v>
      </c>
      <c r="Z222" s="73">
        <f t="shared" si="4"/>
        <v>49</v>
      </c>
      <c r="AA222" s="11" t="str">
        <f t="shared" si="5"/>
        <v/>
      </c>
      <c r="AB222" s="73">
        <f t="shared" si="6"/>
        <v>49</v>
      </c>
      <c r="AC222" s="11" t="str">
        <f t="shared" si="7"/>
        <v/>
      </c>
      <c r="AD222" s="73">
        <f t="shared" si="8"/>
        <v>12</v>
      </c>
      <c r="AE222" s="11" t="str">
        <f t="shared" si="9"/>
        <v/>
      </c>
      <c r="AF222" s="73">
        <f t="shared" si="10"/>
        <v>49.000222000000001</v>
      </c>
      <c r="AG222" s="11" t="str">
        <f t="shared" si="11"/>
        <v/>
      </c>
      <c r="AH222" s="73">
        <f t="shared" si="12"/>
        <v>12.000222000000001</v>
      </c>
    </row>
    <row r="223" spans="1:34" ht="14.25" customHeight="1">
      <c r="A223" s="11">
        <v>208</v>
      </c>
      <c r="B223" s="66"/>
      <c r="C223" s="67"/>
      <c r="D223" s="67"/>
      <c r="E223" s="67"/>
      <c r="F223" s="67"/>
      <c r="G223" s="67" t="s">
        <v>35</v>
      </c>
      <c r="H223" s="67">
        <v>45079</v>
      </c>
      <c r="I223" s="6" t="s">
        <v>790</v>
      </c>
      <c r="J223" s="9">
        <v>1578702168</v>
      </c>
      <c r="K223" s="68">
        <v>45077</v>
      </c>
      <c r="L223" s="68">
        <v>46022</v>
      </c>
      <c r="M223" s="68">
        <v>46203</v>
      </c>
      <c r="N223" s="69">
        <f t="shared" si="0"/>
        <v>0</v>
      </c>
      <c r="O223" s="69">
        <f t="shared" si="1"/>
        <v>2</v>
      </c>
      <c r="P223" s="70">
        <v>3</v>
      </c>
      <c r="Q223" s="70">
        <v>1</v>
      </c>
      <c r="R223" s="70">
        <v>3</v>
      </c>
      <c r="S223" s="68" t="str">
        <f t="shared" si="2"/>
        <v/>
      </c>
      <c r="T223" s="68"/>
      <c r="U223" s="68"/>
      <c r="V223" s="68"/>
      <c r="W223" s="9"/>
      <c r="X223" s="10"/>
      <c r="Y223" s="71">
        <f t="shared" si="3"/>
        <v>1</v>
      </c>
      <c r="Z223" s="73">
        <f t="shared" si="4"/>
        <v>3</v>
      </c>
      <c r="AA223" s="11" t="str">
        <f t="shared" si="5"/>
        <v/>
      </c>
      <c r="AB223" s="73">
        <f t="shared" si="6"/>
        <v>0</v>
      </c>
      <c r="AC223" s="11" t="str">
        <f t="shared" si="7"/>
        <v/>
      </c>
      <c r="AD223" s="73">
        <f t="shared" si="8"/>
        <v>2</v>
      </c>
      <c r="AE223" s="11" t="str">
        <f t="shared" si="9"/>
        <v/>
      </c>
      <c r="AF223" s="73">
        <f t="shared" si="10"/>
        <v>2.23E-4</v>
      </c>
      <c r="AG223" s="11" t="str">
        <f t="shared" si="11"/>
        <v/>
      </c>
      <c r="AH223" s="73">
        <f t="shared" si="12"/>
        <v>2.0002230000000001</v>
      </c>
    </row>
    <row r="224" spans="1:34" ht="14.25" customHeight="1">
      <c r="A224" s="11">
        <v>209</v>
      </c>
      <c r="B224" s="66" t="s">
        <v>791</v>
      </c>
      <c r="C224" s="67">
        <v>42552</v>
      </c>
      <c r="D224" s="67">
        <v>42662</v>
      </c>
      <c r="E224" s="67"/>
      <c r="F224" s="67"/>
      <c r="G224" s="67" t="s">
        <v>35</v>
      </c>
      <c r="H224" s="67">
        <v>42583</v>
      </c>
      <c r="I224" s="6" t="s">
        <v>792</v>
      </c>
      <c r="J224" s="9">
        <v>1578800212</v>
      </c>
      <c r="K224" s="68">
        <v>42551</v>
      </c>
      <c r="L224" s="68">
        <v>46022</v>
      </c>
      <c r="M224" s="68">
        <v>46203</v>
      </c>
      <c r="N224" s="69">
        <f t="shared" si="0"/>
        <v>-2</v>
      </c>
      <c r="O224" s="69">
        <f t="shared" si="1"/>
        <v>0</v>
      </c>
      <c r="P224" s="70">
        <v>2</v>
      </c>
      <c r="Q224" s="70">
        <v>0</v>
      </c>
      <c r="R224" s="70">
        <v>0</v>
      </c>
      <c r="S224" s="68" t="str">
        <f t="shared" si="2"/>
        <v/>
      </c>
      <c r="T224" s="68"/>
      <c r="U224" s="68">
        <v>44926</v>
      </c>
      <c r="V224" s="68">
        <v>45560</v>
      </c>
      <c r="W224" s="9"/>
      <c r="X224" s="10"/>
      <c r="Y224" s="71">
        <f t="shared" si="3"/>
        <v>0</v>
      </c>
      <c r="Z224" s="73">
        <f t="shared" si="4"/>
        <v>0</v>
      </c>
      <c r="AA224" s="73">
        <f t="shared" si="5"/>
        <v>-2</v>
      </c>
      <c r="AB224" s="73">
        <f t="shared" si="6"/>
        <v>-2</v>
      </c>
      <c r="AC224" s="73">
        <f t="shared" si="7"/>
        <v>0</v>
      </c>
      <c r="AD224" s="73">
        <f t="shared" si="8"/>
        <v>0</v>
      </c>
      <c r="AE224" s="73">
        <f t="shared" si="9"/>
        <v>-1.999776</v>
      </c>
      <c r="AF224" s="73">
        <f t="shared" si="10"/>
        <v>-1.999776</v>
      </c>
      <c r="AG224" s="73">
        <f t="shared" si="11"/>
        <v>2.24E-4</v>
      </c>
      <c r="AH224" s="73">
        <f t="shared" si="12"/>
        <v>2.24E-4</v>
      </c>
    </row>
    <row r="225" spans="1:34" ht="14.25" customHeight="1">
      <c r="A225" s="11">
        <v>210</v>
      </c>
      <c r="B225" s="66" t="s">
        <v>35</v>
      </c>
      <c r="C225" s="67">
        <v>42359</v>
      </c>
      <c r="D225" s="67"/>
      <c r="E225" s="67"/>
      <c r="F225" s="67"/>
      <c r="G225" s="67" t="s">
        <v>35</v>
      </c>
      <c r="H225" s="67">
        <v>44301</v>
      </c>
      <c r="I225" s="6" t="s">
        <v>793</v>
      </c>
      <c r="J225" s="9">
        <v>1588600171</v>
      </c>
      <c r="K225" s="68">
        <v>42338</v>
      </c>
      <c r="L225" s="68">
        <v>46022</v>
      </c>
      <c r="M225" s="68">
        <v>46203</v>
      </c>
      <c r="N225" s="69">
        <f t="shared" si="0"/>
        <v>203</v>
      </c>
      <c r="O225" s="69">
        <f t="shared" si="1"/>
        <v>29</v>
      </c>
      <c r="P225" s="70">
        <v>2</v>
      </c>
      <c r="Q225" s="70">
        <v>176</v>
      </c>
      <c r="R225" s="70">
        <v>205</v>
      </c>
      <c r="S225" s="68" t="str">
        <f t="shared" si="2"/>
        <v/>
      </c>
      <c r="T225" s="68"/>
      <c r="U225" s="68"/>
      <c r="V225" s="68"/>
      <c r="W225" s="9"/>
      <c r="X225" s="10"/>
      <c r="Y225" s="71">
        <f t="shared" si="3"/>
        <v>176</v>
      </c>
      <c r="Z225" s="73">
        <f t="shared" si="4"/>
        <v>205</v>
      </c>
      <c r="AA225" s="73">
        <f t="shared" si="5"/>
        <v>203</v>
      </c>
      <c r="AB225" s="73">
        <f t="shared" si="6"/>
        <v>203</v>
      </c>
      <c r="AC225" s="73">
        <f t="shared" si="7"/>
        <v>29</v>
      </c>
      <c r="AD225" s="73">
        <f t="shared" si="8"/>
        <v>29</v>
      </c>
      <c r="AE225" s="73">
        <f t="shared" si="9"/>
        <v>203.000225</v>
      </c>
      <c r="AF225" s="73">
        <f t="shared" si="10"/>
        <v>203.000225</v>
      </c>
      <c r="AG225" s="73">
        <f t="shared" si="11"/>
        <v>29.000225</v>
      </c>
      <c r="AH225" s="73">
        <f t="shared" si="12"/>
        <v>29.000225</v>
      </c>
    </row>
    <row r="226" spans="1:34" ht="14.25" customHeight="1">
      <c r="A226" s="11">
        <v>211</v>
      </c>
      <c r="B226" s="66"/>
      <c r="C226" s="67"/>
      <c r="D226" s="67"/>
      <c r="E226" s="67"/>
      <c r="F226" s="67"/>
      <c r="G226" s="67" t="s">
        <v>35</v>
      </c>
      <c r="H226" s="67">
        <v>44167</v>
      </c>
      <c r="I226" s="6" t="s">
        <v>794</v>
      </c>
      <c r="J226" s="9">
        <v>1588601321</v>
      </c>
      <c r="K226" s="68">
        <v>44165</v>
      </c>
      <c r="L226" s="68">
        <v>46022</v>
      </c>
      <c r="M226" s="68">
        <v>46203</v>
      </c>
      <c r="N226" s="69">
        <f t="shared" si="0"/>
        <v>6</v>
      </c>
      <c r="O226" s="69">
        <f t="shared" si="1"/>
        <v>-8</v>
      </c>
      <c r="P226" s="70">
        <v>7</v>
      </c>
      <c r="Q226" s="70">
        <v>21</v>
      </c>
      <c r="R226" s="70">
        <v>13</v>
      </c>
      <c r="S226" s="68" t="str">
        <f t="shared" si="2"/>
        <v/>
      </c>
      <c r="T226" s="68"/>
      <c r="U226" s="68"/>
      <c r="V226" s="68"/>
      <c r="W226" s="9"/>
      <c r="X226" s="10"/>
      <c r="Y226" s="71">
        <f t="shared" si="3"/>
        <v>21</v>
      </c>
      <c r="Z226" s="73">
        <f t="shared" si="4"/>
        <v>13</v>
      </c>
      <c r="AA226" s="11" t="str">
        <f t="shared" si="5"/>
        <v/>
      </c>
      <c r="AB226" s="73">
        <f t="shared" si="6"/>
        <v>6</v>
      </c>
      <c r="AC226" s="11" t="str">
        <f t="shared" si="7"/>
        <v/>
      </c>
      <c r="AD226" s="73">
        <f t="shared" si="8"/>
        <v>-8</v>
      </c>
      <c r="AE226" s="11" t="str">
        <f t="shared" si="9"/>
        <v/>
      </c>
      <c r="AF226" s="73">
        <f t="shared" si="10"/>
        <v>6.0002259999999996</v>
      </c>
      <c r="AG226" s="11" t="str">
        <f t="shared" si="11"/>
        <v/>
      </c>
      <c r="AH226" s="73">
        <f t="shared" si="12"/>
        <v>-7.9997740000000004</v>
      </c>
    </row>
    <row r="227" spans="1:34" ht="14.25" customHeight="1">
      <c r="A227" s="11">
        <v>212</v>
      </c>
      <c r="B227" s="66"/>
      <c r="C227" s="67"/>
      <c r="D227" s="67"/>
      <c r="E227" s="67"/>
      <c r="F227" s="67"/>
      <c r="G227" s="67" t="s">
        <v>24</v>
      </c>
      <c r="H227" s="67">
        <v>44545</v>
      </c>
      <c r="I227" s="6" t="s">
        <v>795</v>
      </c>
      <c r="J227" s="9">
        <v>1588602072</v>
      </c>
      <c r="K227" s="68">
        <v>44530</v>
      </c>
      <c r="L227" s="68" t="s">
        <v>230</v>
      </c>
      <c r="M227" s="68">
        <v>45869</v>
      </c>
      <c r="N227" s="69">
        <f t="shared" si="0"/>
        <v>-4</v>
      </c>
      <c r="O227" s="69" t="str">
        <f t="shared" si="1"/>
        <v>N/A</v>
      </c>
      <c r="P227" s="70">
        <v>4</v>
      </c>
      <c r="Q227" s="70"/>
      <c r="R227" s="70">
        <v>0</v>
      </c>
      <c r="S227" s="68">
        <f t="shared" si="2"/>
        <v>45842</v>
      </c>
      <c r="T227" s="68">
        <v>45842</v>
      </c>
      <c r="U227" s="68"/>
      <c r="V227" s="68"/>
      <c r="W227" s="9"/>
      <c r="X227" s="10"/>
      <c r="Y227" s="65" t="str">
        <f t="shared" si="3"/>
        <v/>
      </c>
      <c r="Z227" s="11" t="str">
        <f t="shared" si="4"/>
        <v/>
      </c>
      <c r="AA227" s="11" t="str">
        <f t="shared" si="5"/>
        <v/>
      </c>
      <c r="AB227" s="73">
        <f t="shared" si="6"/>
        <v>-4</v>
      </c>
      <c r="AC227" s="11" t="str">
        <f t="shared" si="7"/>
        <v/>
      </c>
      <c r="AD227" s="11" t="str">
        <f t="shared" si="8"/>
        <v/>
      </c>
      <c r="AE227" s="11" t="str">
        <f t="shared" si="9"/>
        <v/>
      </c>
      <c r="AF227" s="73">
        <f t="shared" si="10"/>
        <v>-3.9997729999999998</v>
      </c>
      <c r="AG227" s="11" t="str">
        <f t="shared" si="11"/>
        <v/>
      </c>
      <c r="AH227" s="11" t="str">
        <f t="shared" si="12"/>
        <v/>
      </c>
    </row>
    <row r="228" spans="1:34" ht="14.25" customHeight="1">
      <c r="A228" s="11">
        <v>213</v>
      </c>
      <c r="B228" s="66" t="s">
        <v>35</v>
      </c>
      <c r="C228" s="67">
        <v>44728</v>
      </c>
      <c r="D228" s="67"/>
      <c r="E228" s="67"/>
      <c r="F228" s="67"/>
      <c r="G228" s="67"/>
      <c r="H228" s="67"/>
      <c r="I228" s="6" t="s">
        <v>796</v>
      </c>
      <c r="J228" s="9">
        <v>1598601794</v>
      </c>
      <c r="K228" s="68">
        <v>44712</v>
      </c>
      <c r="L228" s="68">
        <v>46022</v>
      </c>
      <c r="M228" s="68">
        <v>46203</v>
      </c>
      <c r="N228" s="69">
        <f t="shared" si="0"/>
        <v>-7</v>
      </c>
      <c r="O228" s="69">
        <f t="shared" si="1"/>
        <v>0</v>
      </c>
      <c r="P228" s="70">
        <v>8</v>
      </c>
      <c r="Q228" s="70">
        <v>1</v>
      </c>
      <c r="R228" s="70">
        <v>1</v>
      </c>
      <c r="S228" s="68" t="str">
        <f t="shared" si="2"/>
        <v/>
      </c>
      <c r="T228" s="68"/>
      <c r="U228" s="68"/>
      <c r="V228" s="68"/>
      <c r="W228" s="9"/>
      <c r="X228" s="10"/>
      <c r="Y228" s="71">
        <f t="shared" si="3"/>
        <v>1</v>
      </c>
      <c r="Z228" s="73">
        <f t="shared" si="4"/>
        <v>1</v>
      </c>
      <c r="AA228" s="73">
        <f t="shared" si="5"/>
        <v>-7</v>
      </c>
      <c r="AB228" s="11" t="str">
        <f t="shared" si="6"/>
        <v/>
      </c>
      <c r="AC228" s="73">
        <f t="shared" si="7"/>
        <v>0</v>
      </c>
      <c r="AD228" s="11" t="str">
        <f t="shared" si="8"/>
        <v/>
      </c>
      <c r="AE228" s="73">
        <f t="shared" si="9"/>
        <v>-6.9997720000000001</v>
      </c>
      <c r="AF228" s="11" t="str">
        <f t="shared" si="10"/>
        <v/>
      </c>
      <c r="AG228" s="73">
        <f t="shared" si="11"/>
        <v>2.2800000000000001E-4</v>
      </c>
      <c r="AH228" s="11" t="str">
        <f t="shared" si="12"/>
        <v/>
      </c>
    </row>
    <row r="229" spans="1:34" ht="14.25" customHeight="1">
      <c r="A229" s="11">
        <v>214</v>
      </c>
      <c r="B229" s="66"/>
      <c r="C229" s="67"/>
      <c r="D229" s="67"/>
      <c r="E229" s="67"/>
      <c r="F229" s="67"/>
      <c r="G229" s="67" t="s">
        <v>35</v>
      </c>
      <c r="H229" s="67">
        <v>44538</v>
      </c>
      <c r="I229" s="6" t="s">
        <v>797</v>
      </c>
      <c r="J229" s="9">
        <v>1598801629</v>
      </c>
      <c r="K229" s="68">
        <v>44530</v>
      </c>
      <c r="L229" s="68">
        <v>46022</v>
      </c>
      <c r="M229" s="68">
        <v>46203</v>
      </c>
      <c r="N229" s="69">
        <f t="shared" si="0"/>
        <v>-12</v>
      </c>
      <c r="O229" s="69">
        <f t="shared" si="1"/>
        <v>-2</v>
      </c>
      <c r="P229" s="70">
        <v>12</v>
      </c>
      <c r="Q229" s="70">
        <v>2</v>
      </c>
      <c r="R229" s="70">
        <v>0</v>
      </c>
      <c r="S229" s="68" t="str">
        <f t="shared" si="2"/>
        <v/>
      </c>
      <c r="T229" s="68"/>
      <c r="U229" s="68"/>
      <c r="V229" s="68"/>
      <c r="W229" s="9"/>
      <c r="X229" s="10"/>
      <c r="Y229" s="71">
        <f t="shared" si="3"/>
        <v>2</v>
      </c>
      <c r="Z229" s="73">
        <f t="shared" si="4"/>
        <v>0</v>
      </c>
      <c r="AA229" s="11" t="str">
        <f t="shared" si="5"/>
        <v/>
      </c>
      <c r="AB229" s="73">
        <f t="shared" si="6"/>
        <v>-12</v>
      </c>
      <c r="AC229" s="11" t="str">
        <f t="shared" si="7"/>
        <v/>
      </c>
      <c r="AD229" s="73">
        <f t="shared" si="8"/>
        <v>-2</v>
      </c>
      <c r="AE229" s="11" t="str">
        <f t="shared" si="9"/>
        <v/>
      </c>
      <c r="AF229" s="73">
        <f t="shared" si="10"/>
        <v>-11.999771000000001</v>
      </c>
      <c r="AG229" s="11" t="str">
        <f t="shared" si="11"/>
        <v/>
      </c>
      <c r="AH229" s="73">
        <f t="shared" si="12"/>
        <v>-1.999771</v>
      </c>
    </row>
    <row r="230" spans="1:34" ht="14.25" customHeight="1">
      <c r="A230" s="11">
        <v>215</v>
      </c>
      <c r="B230" s="66"/>
      <c r="C230" s="67"/>
      <c r="D230" s="67"/>
      <c r="E230" s="67"/>
      <c r="F230" s="67"/>
      <c r="G230" s="67" t="s">
        <v>35</v>
      </c>
      <c r="H230" s="67">
        <v>44651</v>
      </c>
      <c r="I230" s="6" t="s">
        <v>798</v>
      </c>
      <c r="J230" s="9">
        <v>1608701700</v>
      </c>
      <c r="K230" s="68">
        <v>44620</v>
      </c>
      <c r="L230" s="68">
        <v>46022</v>
      </c>
      <c r="M230" s="68">
        <v>46203</v>
      </c>
      <c r="N230" s="69">
        <f t="shared" si="0"/>
        <v>-10</v>
      </c>
      <c r="O230" s="69">
        <f t="shared" si="1"/>
        <v>-6</v>
      </c>
      <c r="P230" s="70">
        <v>13</v>
      </c>
      <c r="Q230" s="70">
        <v>9</v>
      </c>
      <c r="R230" s="70">
        <v>3</v>
      </c>
      <c r="S230" s="68" t="str">
        <f t="shared" si="2"/>
        <v/>
      </c>
      <c r="T230" s="68"/>
      <c r="U230" s="68"/>
      <c r="V230" s="68"/>
      <c r="W230" s="9"/>
      <c r="X230" s="10"/>
      <c r="Y230" s="71">
        <f t="shared" si="3"/>
        <v>9</v>
      </c>
      <c r="Z230" s="73">
        <f t="shared" si="4"/>
        <v>3</v>
      </c>
      <c r="AA230" s="11" t="str">
        <f t="shared" si="5"/>
        <v/>
      </c>
      <c r="AB230" s="73">
        <f t="shared" si="6"/>
        <v>-10</v>
      </c>
      <c r="AC230" s="11" t="str">
        <f t="shared" si="7"/>
        <v/>
      </c>
      <c r="AD230" s="73">
        <f t="shared" si="8"/>
        <v>-6</v>
      </c>
      <c r="AE230" s="11" t="str">
        <f t="shared" si="9"/>
        <v/>
      </c>
      <c r="AF230" s="73">
        <f t="shared" si="10"/>
        <v>-9.9997699999999998</v>
      </c>
      <c r="AG230" s="11" t="str">
        <f t="shared" si="11"/>
        <v/>
      </c>
      <c r="AH230" s="73">
        <f t="shared" si="12"/>
        <v>-5.9997699999999998</v>
      </c>
    </row>
    <row r="231" spans="1:34" ht="14.25" customHeight="1">
      <c r="A231" s="11">
        <v>216</v>
      </c>
      <c r="B231" s="66"/>
      <c r="C231" s="67"/>
      <c r="D231" s="67"/>
      <c r="E231" s="67"/>
      <c r="F231" s="67"/>
      <c r="G231" s="67" t="s">
        <v>35</v>
      </c>
      <c r="H231" s="67">
        <v>44372</v>
      </c>
      <c r="I231" s="6" t="s">
        <v>799</v>
      </c>
      <c r="J231" s="9">
        <v>1608801240</v>
      </c>
      <c r="K231" s="68">
        <v>44347</v>
      </c>
      <c r="L231" s="68">
        <v>46022</v>
      </c>
      <c r="M231" s="68">
        <v>46203</v>
      </c>
      <c r="N231" s="69">
        <f t="shared" si="0"/>
        <v>14</v>
      </c>
      <c r="O231" s="69">
        <f t="shared" si="1"/>
        <v>-8</v>
      </c>
      <c r="P231" s="70">
        <v>18</v>
      </c>
      <c r="Q231" s="70">
        <v>40</v>
      </c>
      <c r="R231" s="70">
        <v>32</v>
      </c>
      <c r="S231" s="68" t="str">
        <f t="shared" si="2"/>
        <v/>
      </c>
      <c r="T231" s="68"/>
      <c r="U231" s="68"/>
      <c r="V231" s="68"/>
      <c r="W231" s="9"/>
      <c r="X231" s="10"/>
      <c r="Y231" s="71">
        <f t="shared" si="3"/>
        <v>40</v>
      </c>
      <c r="Z231" s="73">
        <f t="shared" si="4"/>
        <v>32</v>
      </c>
      <c r="AA231" s="11" t="str">
        <f t="shared" si="5"/>
        <v/>
      </c>
      <c r="AB231" s="73">
        <f t="shared" si="6"/>
        <v>14</v>
      </c>
      <c r="AC231" s="11" t="str">
        <f t="shared" si="7"/>
        <v/>
      </c>
      <c r="AD231" s="73">
        <f t="shared" si="8"/>
        <v>-8</v>
      </c>
      <c r="AE231" s="11" t="str">
        <f t="shared" si="9"/>
        <v/>
      </c>
      <c r="AF231" s="73">
        <f t="shared" si="10"/>
        <v>14.000230999999999</v>
      </c>
      <c r="AG231" s="11" t="str">
        <f t="shared" si="11"/>
        <v/>
      </c>
      <c r="AH231" s="73">
        <f t="shared" si="12"/>
        <v>-7.9997689999999997</v>
      </c>
    </row>
    <row r="232" spans="1:34" ht="14.25" customHeight="1">
      <c r="A232" s="11">
        <v>217</v>
      </c>
      <c r="B232" s="66" t="s">
        <v>35</v>
      </c>
      <c r="C232" s="67">
        <v>42677</v>
      </c>
      <c r="D232" s="67">
        <v>42618</v>
      </c>
      <c r="E232" s="67"/>
      <c r="F232" s="67"/>
      <c r="G232" s="67" t="s">
        <v>35</v>
      </c>
      <c r="H232" s="67">
        <v>42615</v>
      </c>
      <c r="I232" s="6" t="s">
        <v>800</v>
      </c>
      <c r="J232" s="9">
        <v>1618700209</v>
      </c>
      <c r="K232" s="68">
        <v>42613</v>
      </c>
      <c r="L232" s="68">
        <v>46022</v>
      </c>
      <c r="M232" s="68">
        <v>46203</v>
      </c>
      <c r="N232" s="69">
        <f t="shared" si="0"/>
        <v>105</v>
      </c>
      <c r="O232" s="69">
        <f t="shared" si="1"/>
        <v>-1</v>
      </c>
      <c r="P232" s="70">
        <v>7</v>
      </c>
      <c r="Q232" s="70">
        <v>113</v>
      </c>
      <c r="R232" s="70">
        <v>112</v>
      </c>
      <c r="S232" s="68" t="str">
        <f t="shared" si="2"/>
        <v/>
      </c>
      <c r="T232" s="68"/>
      <c r="U232" s="68"/>
      <c r="V232" s="68"/>
      <c r="W232" s="9"/>
      <c r="X232" s="10"/>
      <c r="Y232" s="71">
        <f t="shared" si="3"/>
        <v>113</v>
      </c>
      <c r="Z232" s="73">
        <f t="shared" si="4"/>
        <v>112</v>
      </c>
      <c r="AA232" s="73">
        <f t="shared" si="5"/>
        <v>105</v>
      </c>
      <c r="AB232" s="73">
        <f t="shared" si="6"/>
        <v>105</v>
      </c>
      <c r="AC232" s="73">
        <f t="shared" si="7"/>
        <v>-1</v>
      </c>
      <c r="AD232" s="73">
        <f t="shared" si="8"/>
        <v>-1</v>
      </c>
      <c r="AE232" s="73">
        <f t="shared" si="9"/>
        <v>105.000232</v>
      </c>
      <c r="AF232" s="73">
        <f t="shared" si="10"/>
        <v>105.000232</v>
      </c>
      <c r="AG232" s="73">
        <f t="shared" si="11"/>
        <v>-0.99976799999999999</v>
      </c>
      <c r="AH232" s="73">
        <f t="shared" si="12"/>
        <v>-0.99976799999999999</v>
      </c>
    </row>
    <row r="233" spans="1:34" ht="14.25" customHeight="1">
      <c r="A233" s="11">
        <v>218</v>
      </c>
      <c r="B233" s="66" t="s">
        <v>35</v>
      </c>
      <c r="C233" s="67">
        <v>45352</v>
      </c>
      <c r="D233" s="67"/>
      <c r="E233" s="67"/>
      <c r="F233" s="67"/>
      <c r="G233" s="67" t="s">
        <v>35</v>
      </c>
      <c r="H233" s="67">
        <v>45524</v>
      </c>
      <c r="I233" s="6" t="s">
        <v>801</v>
      </c>
      <c r="J233" s="9">
        <v>1628101174</v>
      </c>
      <c r="K233" s="68">
        <v>45351</v>
      </c>
      <c r="L233" s="68">
        <v>46022</v>
      </c>
      <c r="M233" s="68">
        <v>46203</v>
      </c>
      <c r="N233" s="69">
        <f t="shared" si="0"/>
        <v>15</v>
      </c>
      <c r="O233" s="69">
        <f t="shared" si="1"/>
        <v>10</v>
      </c>
      <c r="P233" s="70">
        <v>15</v>
      </c>
      <c r="Q233" s="70">
        <v>20</v>
      </c>
      <c r="R233" s="70">
        <v>30</v>
      </c>
      <c r="S233" s="68" t="str">
        <f t="shared" si="2"/>
        <v/>
      </c>
      <c r="T233" s="68"/>
      <c r="U233" s="68"/>
      <c r="V233" s="68"/>
      <c r="W233" s="9"/>
      <c r="X233" s="10"/>
      <c r="Y233" s="71">
        <f t="shared" si="3"/>
        <v>20</v>
      </c>
      <c r="Z233" s="73">
        <f t="shared" si="4"/>
        <v>30</v>
      </c>
      <c r="AA233" s="73">
        <f t="shared" si="5"/>
        <v>15</v>
      </c>
      <c r="AB233" s="73">
        <f t="shared" si="6"/>
        <v>15</v>
      </c>
      <c r="AC233" s="73">
        <f t="shared" si="7"/>
        <v>10</v>
      </c>
      <c r="AD233" s="73">
        <f t="shared" si="8"/>
        <v>10</v>
      </c>
      <c r="AE233" s="73">
        <f t="shared" si="9"/>
        <v>15.000233</v>
      </c>
      <c r="AF233" s="73">
        <f t="shared" si="10"/>
        <v>15.000233</v>
      </c>
      <c r="AG233" s="73">
        <f t="shared" si="11"/>
        <v>10.000233</v>
      </c>
      <c r="AH233" s="73">
        <f t="shared" si="12"/>
        <v>10.000233</v>
      </c>
    </row>
    <row r="234" spans="1:34" ht="14.25" customHeight="1">
      <c r="A234" s="11">
        <v>219</v>
      </c>
      <c r="B234" s="66"/>
      <c r="C234" s="67"/>
      <c r="D234" s="67"/>
      <c r="E234" s="67"/>
      <c r="F234" s="67"/>
      <c r="G234" s="67" t="s">
        <v>35</v>
      </c>
      <c r="H234" s="67">
        <v>45797</v>
      </c>
      <c r="I234" s="6" t="s">
        <v>802</v>
      </c>
      <c r="J234" s="9">
        <v>1628803074</v>
      </c>
      <c r="K234" s="68">
        <v>45777</v>
      </c>
      <c r="L234" s="68">
        <v>46022</v>
      </c>
      <c r="M234" s="68">
        <v>46203</v>
      </c>
      <c r="N234" s="69">
        <f t="shared" si="0"/>
        <v>3</v>
      </c>
      <c r="O234" s="69">
        <f t="shared" si="1"/>
        <v>1</v>
      </c>
      <c r="P234" s="70">
        <v>2</v>
      </c>
      <c r="Q234" s="70">
        <v>4</v>
      </c>
      <c r="R234" s="70">
        <v>5</v>
      </c>
      <c r="S234" s="68" t="str">
        <f t="shared" si="2"/>
        <v/>
      </c>
      <c r="T234" s="68"/>
      <c r="U234" s="68"/>
      <c r="V234" s="68"/>
      <c r="W234" s="9"/>
      <c r="X234" s="10"/>
      <c r="Y234" s="71">
        <f t="shared" si="3"/>
        <v>4</v>
      </c>
      <c r="Z234" s="73">
        <f t="shared" si="4"/>
        <v>5</v>
      </c>
      <c r="AA234" s="11" t="str">
        <f t="shared" si="5"/>
        <v/>
      </c>
      <c r="AB234" s="73">
        <f t="shared" si="6"/>
        <v>3</v>
      </c>
      <c r="AC234" s="11" t="str">
        <f t="shared" si="7"/>
        <v/>
      </c>
      <c r="AD234" s="73">
        <f t="shared" si="8"/>
        <v>1</v>
      </c>
      <c r="AE234" s="11" t="str">
        <f t="shared" si="9"/>
        <v/>
      </c>
      <c r="AF234" s="73">
        <f t="shared" si="10"/>
        <v>3.0002339999999998</v>
      </c>
      <c r="AG234" s="11" t="str">
        <f t="shared" si="11"/>
        <v/>
      </c>
      <c r="AH234" s="73">
        <f t="shared" si="12"/>
        <v>1.0002340000000001</v>
      </c>
    </row>
    <row r="235" spans="1:34" ht="14.25" customHeight="1">
      <c r="A235" s="11">
        <v>220</v>
      </c>
      <c r="B235" s="66" t="s">
        <v>24</v>
      </c>
      <c r="C235" s="67">
        <v>43192</v>
      </c>
      <c r="D235" s="67"/>
      <c r="E235" s="67"/>
      <c r="F235" s="67"/>
      <c r="G235" s="67" t="s">
        <v>24</v>
      </c>
      <c r="H235" s="67">
        <v>43196</v>
      </c>
      <c r="I235" s="6" t="s">
        <v>803</v>
      </c>
      <c r="J235" s="9">
        <v>1638601003</v>
      </c>
      <c r="K235" s="68">
        <v>43190</v>
      </c>
      <c r="L235" s="68" t="s">
        <v>230</v>
      </c>
      <c r="M235" s="68">
        <v>45991</v>
      </c>
      <c r="N235" s="69">
        <f t="shared" si="0"/>
        <v>-4</v>
      </c>
      <c r="O235" s="69" t="str">
        <f t="shared" si="1"/>
        <v>N/A</v>
      </c>
      <c r="P235" s="70">
        <v>4</v>
      </c>
      <c r="Q235" s="70"/>
      <c r="R235" s="70">
        <v>0</v>
      </c>
      <c r="S235" s="68">
        <f t="shared" si="2"/>
        <v>45989</v>
      </c>
      <c r="T235" s="68">
        <v>45989</v>
      </c>
      <c r="U235" s="68"/>
      <c r="V235" s="68"/>
      <c r="W235" s="9"/>
      <c r="X235" s="10"/>
      <c r="Y235" s="65" t="str">
        <f t="shared" si="3"/>
        <v/>
      </c>
      <c r="Z235" s="11" t="str">
        <f t="shared" si="4"/>
        <v/>
      </c>
      <c r="AA235" s="73">
        <f t="shared" si="5"/>
        <v>-4</v>
      </c>
      <c r="AB235" s="73">
        <f t="shared" si="6"/>
        <v>-4</v>
      </c>
      <c r="AC235" s="11" t="str">
        <f t="shared" si="7"/>
        <v/>
      </c>
      <c r="AD235" s="11" t="str">
        <f t="shared" si="8"/>
        <v/>
      </c>
      <c r="AE235" s="73">
        <f t="shared" si="9"/>
        <v>-3.999765</v>
      </c>
      <c r="AF235" s="73">
        <f t="shared" si="10"/>
        <v>-3.999765</v>
      </c>
      <c r="AG235" s="11" t="str">
        <f t="shared" si="11"/>
        <v/>
      </c>
      <c r="AH235" s="11" t="str">
        <f t="shared" si="12"/>
        <v/>
      </c>
    </row>
    <row r="236" spans="1:34" ht="14.25" customHeight="1">
      <c r="A236" s="11">
        <v>221</v>
      </c>
      <c r="B236" s="121" t="s">
        <v>24</v>
      </c>
      <c r="C236" s="67">
        <v>44053</v>
      </c>
      <c r="D236" s="67">
        <v>43644</v>
      </c>
      <c r="E236" s="67"/>
      <c r="F236" s="67"/>
      <c r="G236" s="67"/>
      <c r="H236" s="67"/>
      <c r="I236" s="6" t="s">
        <v>804</v>
      </c>
      <c r="J236" s="9">
        <v>1638700618</v>
      </c>
      <c r="K236" s="68">
        <v>43616</v>
      </c>
      <c r="L236" s="68" t="s">
        <v>230</v>
      </c>
      <c r="M236" s="68">
        <v>44377</v>
      </c>
      <c r="N236" s="69">
        <f t="shared" si="0"/>
        <v>-10</v>
      </c>
      <c r="O236" s="69" t="str">
        <f t="shared" si="1"/>
        <v>N/A</v>
      </c>
      <c r="P236" s="70">
        <v>10</v>
      </c>
      <c r="Q236" s="70"/>
      <c r="R236" s="70">
        <v>0</v>
      </c>
      <c r="S236" s="68">
        <f t="shared" si="2"/>
        <v>44357</v>
      </c>
      <c r="T236" s="68">
        <v>44357</v>
      </c>
      <c r="U236" s="68">
        <v>44196</v>
      </c>
      <c r="V236" s="68">
        <v>45560</v>
      </c>
      <c r="W236" s="9"/>
      <c r="X236" s="93"/>
      <c r="Y236" s="65" t="str">
        <f t="shared" si="3"/>
        <v/>
      </c>
      <c r="Z236" s="11" t="str">
        <f t="shared" si="4"/>
        <v/>
      </c>
      <c r="AA236" s="73">
        <f t="shared" si="5"/>
        <v>-10</v>
      </c>
      <c r="AB236" s="11" t="str">
        <f t="shared" si="6"/>
        <v/>
      </c>
      <c r="AC236" s="11" t="str">
        <f t="shared" si="7"/>
        <v/>
      </c>
      <c r="AD236" s="11" t="str">
        <f t="shared" si="8"/>
        <v/>
      </c>
      <c r="AE236" s="73">
        <f t="shared" si="9"/>
        <v>-9.9997640000000008</v>
      </c>
      <c r="AF236" s="11" t="str">
        <f t="shared" si="10"/>
        <v/>
      </c>
      <c r="AG236" s="11" t="str">
        <f t="shared" si="11"/>
        <v/>
      </c>
      <c r="AH236" s="11" t="str">
        <f t="shared" si="12"/>
        <v/>
      </c>
    </row>
    <row r="237" spans="1:34" ht="14.25" customHeight="1">
      <c r="A237" s="11">
        <v>222</v>
      </c>
      <c r="B237" s="66"/>
      <c r="C237" s="67"/>
      <c r="D237" s="67"/>
      <c r="E237" s="67"/>
      <c r="F237" s="67"/>
      <c r="G237" s="67" t="s">
        <v>35</v>
      </c>
      <c r="H237" s="67">
        <v>44344</v>
      </c>
      <c r="I237" s="6" t="s">
        <v>805</v>
      </c>
      <c r="J237" s="9">
        <v>1648700149</v>
      </c>
      <c r="K237" s="68">
        <v>44316</v>
      </c>
      <c r="L237" s="68">
        <v>46022</v>
      </c>
      <c r="M237" s="68">
        <v>46203</v>
      </c>
      <c r="N237" s="69">
        <f t="shared" si="0"/>
        <v>265</v>
      </c>
      <c r="O237" s="69">
        <f t="shared" si="1"/>
        <v>49</v>
      </c>
      <c r="P237" s="70">
        <v>136</v>
      </c>
      <c r="Q237" s="70">
        <v>352</v>
      </c>
      <c r="R237" s="70">
        <v>401</v>
      </c>
      <c r="S237" s="68" t="str">
        <f t="shared" si="2"/>
        <v/>
      </c>
      <c r="T237" s="68"/>
      <c r="U237" s="68"/>
      <c r="V237" s="68"/>
      <c r="W237" s="9"/>
      <c r="X237" s="10"/>
      <c r="Y237" s="71">
        <f t="shared" si="3"/>
        <v>352</v>
      </c>
      <c r="Z237" s="73">
        <f t="shared" si="4"/>
        <v>401</v>
      </c>
      <c r="AA237" s="11" t="str">
        <f t="shared" si="5"/>
        <v/>
      </c>
      <c r="AB237" s="73">
        <f t="shared" si="6"/>
        <v>265</v>
      </c>
      <c r="AC237" s="11" t="str">
        <f t="shared" si="7"/>
        <v/>
      </c>
      <c r="AD237" s="73">
        <f t="shared" si="8"/>
        <v>49</v>
      </c>
      <c r="AE237" s="11" t="str">
        <f t="shared" si="9"/>
        <v/>
      </c>
      <c r="AF237" s="73">
        <f t="shared" si="10"/>
        <v>265.00023700000003</v>
      </c>
      <c r="AG237" s="11" t="str">
        <f t="shared" si="11"/>
        <v/>
      </c>
      <c r="AH237" s="73">
        <f t="shared" si="12"/>
        <v>49.000236999999998</v>
      </c>
    </row>
    <row r="238" spans="1:34" ht="14.25" customHeight="1">
      <c r="A238" s="11">
        <v>223</v>
      </c>
      <c r="B238" s="66"/>
      <c r="C238" s="67"/>
      <c r="D238" s="67"/>
      <c r="E238" s="67"/>
      <c r="F238" s="67"/>
      <c r="G238" s="67" t="s">
        <v>35</v>
      </c>
      <c r="H238" s="67">
        <v>43971</v>
      </c>
      <c r="I238" s="6" t="s">
        <v>806</v>
      </c>
      <c r="J238" s="94">
        <v>1648701191</v>
      </c>
      <c r="K238" s="68">
        <v>43951</v>
      </c>
      <c r="L238" s="68">
        <v>46022</v>
      </c>
      <c r="M238" s="68">
        <v>46203</v>
      </c>
      <c r="N238" s="69">
        <f t="shared" si="0"/>
        <v>-1</v>
      </c>
      <c r="O238" s="69">
        <f t="shared" si="1"/>
        <v>0</v>
      </c>
      <c r="P238" s="78">
        <v>1</v>
      </c>
      <c r="Q238" s="78">
        <v>0</v>
      </c>
      <c r="R238" s="78">
        <v>0</v>
      </c>
      <c r="S238" s="68" t="str">
        <f t="shared" si="2"/>
        <v/>
      </c>
      <c r="T238" s="68"/>
      <c r="U238" s="95"/>
      <c r="V238" s="68"/>
      <c r="W238" s="6"/>
      <c r="X238" s="122" t="s">
        <v>807</v>
      </c>
      <c r="Y238" s="71">
        <f t="shared" si="3"/>
        <v>0</v>
      </c>
      <c r="Z238" s="73">
        <f t="shared" si="4"/>
        <v>0</v>
      </c>
      <c r="AA238" s="11" t="str">
        <f t="shared" si="5"/>
        <v/>
      </c>
      <c r="AB238" s="73">
        <f t="shared" si="6"/>
        <v>-1</v>
      </c>
      <c r="AC238" s="11" t="str">
        <f t="shared" si="7"/>
        <v/>
      </c>
      <c r="AD238" s="73">
        <f t="shared" si="8"/>
        <v>0</v>
      </c>
      <c r="AE238" s="11" t="str">
        <f t="shared" si="9"/>
        <v/>
      </c>
      <c r="AF238" s="73">
        <f t="shared" si="10"/>
        <v>-0.99976200000000004</v>
      </c>
      <c r="AG238" s="11" t="str">
        <f t="shared" si="11"/>
        <v/>
      </c>
      <c r="AH238" s="73">
        <f t="shared" si="12"/>
        <v>2.3800000000000001E-4</v>
      </c>
    </row>
    <row r="239" spans="1:34" ht="14.25" customHeight="1">
      <c r="A239" s="11">
        <v>224</v>
      </c>
      <c r="B239" s="66"/>
      <c r="C239" s="67"/>
      <c r="D239" s="67"/>
      <c r="E239" s="67"/>
      <c r="F239" s="67"/>
      <c r="G239" s="67" t="s">
        <v>35</v>
      </c>
      <c r="H239" s="67">
        <v>44588</v>
      </c>
      <c r="I239" s="6" t="s">
        <v>808</v>
      </c>
      <c r="J239" s="9">
        <v>1658602594</v>
      </c>
      <c r="K239" s="68">
        <v>44561</v>
      </c>
      <c r="L239" s="68">
        <v>46022</v>
      </c>
      <c r="M239" s="68">
        <v>46203</v>
      </c>
      <c r="N239" s="69">
        <f t="shared" si="0"/>
        <v>95</v>
      </c>
      <c r="O239" s="69">
        <f t="shared" si="1"/>
        <v>-19</v>
      </c>
      <c r="P239" s="70">
        <v>0</v>
      </c>
      <c r="Q239" s="70">
        <v>114</v>
      </c>
      <c r="R239" s="70">
        <v>95</v>
      </c>
      <c r="S239" s="68" t="str">
        <f t="shared" si="2"/>
        <v/>
      </c>
      <c r="T239" s="68"/>
      <c r="U239" s="68"/>
      <c r="V239" s="68"/>
      <c r="W239" s="9"/>
      <c r="X239" s="10"/>
      <c r="Y239" s="71">
        <f t="shared" si="3"/>
        <v>114</v>
      </c>
      <c r="Z239" s="73">
        <f t="shared" si="4"/>
        <v>95</v>
      </c>
      <c r="AA239" s="11" t="str">
        <f t="shared" si="5"/>
        <v/>
      </c>
      <c r="AB239" s="73">
        <f t="shared" si="6"/>
        <v>95</v>
      </c>
      <c r="AC239" s="11" t="str">
        <f t="shared" si="7"/>
        <v/>
      </c>
      <c r="AD239" s="73">
        <f t="shared" si="8"/>
        <v>-19</v>
      </c>
      <c r="AE239" s="11" t="str">
        <f t="shared" si="9"/>
        <v/>
      </c>
      <c r="AF239" s="73">
        <f t="shared" si="10"/>
        <v>95.000238999999993</v>
      </c>
      <c r="AG239" s="11" t="str">
        <f t="shared" si="11"/>
        <v/>
      </c>
      <c r="AH239" s="73">
        <f t="shared" si="12"/>
        <v>-18.999760999999999</v>
      </c>
    </row>
    <row r="240" spans="1:34" ht="14.25" customHeight="1">
      <c r="A240" s="11">
        <v>225</v>
      </c>
      <c r="B240" s="66" t="s">
        <v>809</v>
      </c>
      <c r="C240" s="67">
        <v>43363</v>
      </c>
      <c r="D240" s="67">
        <v>43455</v>
      </c>
      <c r="E240" s="67"/>
      <c r="F240" s="67"/>
      <c r="G240" s="67"/>
      <c r="H240" s="67"/>
      <c r="I240" s="6" t="s">
        <v>810</v>
      </c>
      <c r="J240" s="9">
        <v>1658700161</v>
      </c>
      <c r="K240" s="68">
        <v>43343</v>
      </c>
      <c r="L240" s="68">
        <v>46022</v>
      </c>
      <c r="M240" s="68">
        <v>46203</v>
      </c>
      <c r="N240" s="69">
        <f t="shared" si="0"/>
        <v>12</v>
      </c>
      <c r="O240" s="69">
        <f t="shared" si="1"/>
        <v>0</v>
      </c>
      <c r="P240" s="70">
        <v>5</v>
      </c>
      <c r="Q240" s="70">
        <v>17</v>
      </c>
      <c r="R240" s="70">
        <v>17</v>
      </c>
      <c r="S240" s="68" t="str">
        <f t="shared" si="2"/>
        <v/>
      </c>
      <c r="T240" s="68"/>
      <c r="U240" s="68">
        <v>46022</v>
      </c>
      <c r="V240" s="68"/>
      <c r="W240" s="9"/>
      <c r="X240" s="10"/>
      <c r="Y240" s="71">
        <f t="shared" si="3"/>
        <v>17</v>
      </c>
      <c r="Z240" s="73">
        <f t="shared" si="4"/>
        <v>17</v>
      </c>
      <c r="AA240" s="73">
        <f t="shared" si="5"/>
        <v>12</v>
      </c>
      <c r="AB240" s="11" t="str">
        <f t="shared" si="6"/>
        <v/>
      </c>
      <c r="AC240" s="73">
        <f t="shared" si="7"/>
        <v>0</v>
      </c>
      <c r="AD240" s="11" t="str">
        <f t="shared" si="8"/>
        <v/>
      </c>
      <c r="AE240" s="73">
        <f t="shared" si="9"/>
        <v>12.00024</v>
      </c>
      <c r="AF240" s="11" t="str">
        <f t="shared" si="10"/>
        <v/>
      </c>
      <c r="AG240" s="73">
        <f t="shared" si="11"/>
        <v>2.4000000000000001E-4</v>
      </c>
      <c r="AH240" s="11" t="str">
        <f t="shared" si="12"/>
        <v/>
      </c>
    </row>
    <row r="241" spans="1:34" ht="14.25" customHeight="1">
      <c r="A241" s="11">
        <v>226</v>
      </c>
      <c r="B241" s="66"/>
      <c r="C241" s="67"/>
      <c r="D241" s="67"/>
      <c r="E241" s="67"/>
      <c r="F241" s="67"/>
      <c r="G241" s="67" t="s">
        <v>35</v>
      </c>
      <c r="H241" s="67">
        <v>44791</v>
      </c>
      <c r="I241" s="6" t="s">
        <v>811</v>
      </c>
      <c r="J241" s="9">
        <v>1668102442</v>
      </c>
      <c r="K241" s="68">
        <v>44773</v>
      </c>
      <c r="L241" s="68">
        <v>46022</v>
      </c>
      <c r="M241" s="68">
        <v>46203</v>
      </c>
      <c r="N241" s="69">
        <f t="shared" si="0"/>
        <v>11</v>
      </c>
      <c r="O241" s="69">
        <f t="shared" si="1"/>
        <v>0</v>
      </c>
      <c r="P241" s="70">
        <v>0</v>
      </c>
      <c r="Q241" s="70">
        <v>11</v>
      </c>
      <c r="R241" s="70">
        <v>11</v>
      </c>
      <c r="S241" s="68" t="str">
        <f t="shared" si="2"/>
        <v/>
      </c>
      <c r="T241" s="68"/>
      <c r="U241" s="68"/>
      <c r="V241" s="68"/>
      <c r="W241" s="9"/>
      <c r="X241" s="10"/>
      <c r="Y241" s="71">
        <f t="shared" si="3"/>
        <v>11</v>
      </c>
      <c r="Z241" s="73">
        <f t="shared" si="4"/>
        <v>11</v>
      </c>
      <c r="AA241" s="11" t="str">
        <f t="shared" si="5"/>
        <v/>
      </c>
      <c r="AB241" s="73">
        <f t="shared" si="6"/>
        <v>11</v>
      </c>
      <c r="AC241" s="11" t="str">
        <f t="shared" si="7"/>
        <v/>
      </c>
      <c r="AD241" s="73">
        <f t="shared" si="8"/>
        <v>0</v>
      </c>
      <c r="AE241" s="11" t="str">
        <f t="shared" si="9"/>
        <v/>
      </c>
      <c r="AF241" s="73">
        <f t="shared" si="10"/>
        <v>11.000241000000001</v>
      </c>
      <c r="AG241" s="11" t="str">
        <f t="shared" si="11"/>
        <v/>
      </c>
      <c r="AH241" s="73">
        <f t="shared" si="12"/>
        <v>2.41E-4</v>
      </c>
    </row>
    <row r="242" spans="1:34" ht="14.25" customHeight="1">
      <c r="A242" s="11">
        <v>227</v>
      </c>
      <c r="B242" s="66"/>
      <c r="C242" s="67"/>
      <c r="D242" s="67"/>
      <c r="E242" s="67"/>
      <c r="F242" s="67"/>
      <c r="G242" s="67" t="s">
        <v>35</v>
      </c>
      <c r="H242" s="67">
        <v>44553</v>
      </c>
      <c r="I242" s="6" t="s">
        <v>812</v>
      </c>
      <c r="J242" s="9">
        <v>1668701708</v>
      </c>
      <c r="K242" s="68">
        <v>44530</v>
      </c>
      <c r="L242" s="68">
        <v>46022</v>
      </c>
      <c r="M242" s="68">
        <v>46203</v>
      </c>
      <c r="N242" s="69">
        <f t="shared" si="0"/>
        <v>-17</v>
      </c>
      <c r="O242" s="69">
        <f t="shared" si="1"/>
        <v>-26</v>
      </c>
      <c r="P242" s="70">
        <v>32</v>
      </c>
      <c r="Q242" s="70">
        <v>41</v>
      </c>
      <c r="R242" s="70">
        <v>15</v>
      </c>
      <c r="S242" s="68" t="str">
        <f t="shared" si="2"/>
        <v/>
      </c>
      <c r="T242" s="68"/>
      <c r="U242" s="68"/>
      <c r="V242" s="68"/>
      <c r="W242" s="9"/>
      <c r="X242" s="10"/>
      <c r="Y242" s="71">
        <f t="shared" si="3"/>
        <v>41</v>
      </c>
      <c r="Z242" s="73">
        <f t="shared" si="4"/>
        <v>15</v>
      </c>
      <c r="AA242" s="11" t="str">
        <f t="shared" si="5"/>
        <v/>
      </c>
      <c r="AB242" s="73">
        <f t="shared" si="6"/>
        <v>-17</v>
      </c>
      <c r="AC242" s="11" t="str">
        <f t="shared" si="7"/>
        <v/>
      </c>
      <c r="AD242" s="73">
        <f t="shared" si="8"/>
        <v>-26</v>
      </c>
      <c r="AE242" s="11" t="str">
        <f t="shared" si="9"/>
        <v/>
      </c>
      <c r="AF242" s="73">
        <f t="shared" si="10"/>
        <v>-16.999758</v>
      </c>
      <c r="AG242" s="11" t="str">
        <f t="shared" si="11"/>
        <v/>
      </c>
      <c r="AH242" s="73">
        <f t="shared" si="12"/>
        <v>-25.999758</v>
      </c>
    </row>
    <row r="243" spans="1:34" ht="14.25" customHeight="1">
      <c r="A243" s="11">
        <v>228</v>
      </c>
      <c r="B243" s="66"/>
      <c r="C243" s="67"/>
      <c r="D243" s="67"/>
      <c r="E243" s="67"/>
      <c r="F243" s="67"/>
      <c r="G243" s="67" t="s">
        <v>35</v>
      </c>
      <c r="H243" s="67">
        <v>42674</v>
      </c>
      <c r="I243" s="6" t="s">
        <v>813</v>
      </c>
      <c r="J243" s="9">
        <v>1668800220</v>
      </c>
      <c r="K243" s="68">
        <v>42643</v>
      </c>
      <c r="L243" s="68">
        <v>46022</v>
      </c>
      <c r="M243" s="68">
        <v>46203</v>
      </c>
      <c r="N243" s="69">
        <f t="shared" si="0"/>
        <v>78</v>
      </c>
      <c r="O243" s="69">
        <f t="shared" si="1"/>
        <v>14</v>
      </c>
      <c r="P243" s="70">
        <v>1</v>
      </c>
      <c r="Q243" s="70">
        <v>65</v>
      </c>
      <c r="R243" s="70">
        <v>79</v>
      </c>
      <c r="S243" s="68" t="str">
        <f t="shared" si="2"/>
        <v/>
      </c>
      <c r="T243" s="68"/>
      <c r="U243" s="68"/>
      <c r="V243" s="68"/>
      <c r="W243" s="9"/>
      <c r="X243" s="10"/>
      <c r="Y243" s="71">
        <f t="shared" si="3"/>
        <v>65</v>
      </c>
      <c r="Z243" s="73">
        <f t="shared" si="4"/>
        <v>79</v>
      </c>
      <c r="AA243" s="11" t="str">
        <f t="shared" si="5"/>
        <v/>
      </c>
      <c r="AB243" s="73">
        <f t="shared" si="6"/>
        <v>78</v>
      </c>
      <c r="AC243" s="11" t="str">
        <f t="shared" si="7"/>
        <v/>
      </c>
      <c r="AD243" s="73">
        <f t="shared" si="8"/>
        <v>14</v>
      </c>
      <c r="AE243" s="11" t="str">
        <f t="shared" si="9"/>
        <v/>
      </c>
      <c r="AF243" s="73">
        <f t="shared" si="10"/>
        <v>78.000242999999998</v>
      </c>
      <c r="AG243" s="11" t="str">
        <f t="shared" si="11"/>
        <v/>
      </c>
      <c r="AH243" s="73">
        <f t="shared" si="12"/>
        <v>14.000242999999999</v>
      </c>
    </row>
    <row r="244" spans="1:34" ht="14.25" customHeight="1">
      <c r="A244" s="11">
        <v>229</v>
      </c>
      <c r="B244" s="66" t="s">
        <v>35</v>
      </c>
      <c r="C244" s="67"/>
      <c r="D244" s="67"/>
      <c r="E244" s="67"/>
      <c r="F244" s="67">
        <v>45532</v>
      </c>
      <c r="G244" s="67"/>
      <c r="H244" s="67"/>
      <c r="I244" s="6" t="s">
        <v>814</v>
      </c>
      <c r="J244" s="37">
        <v>1668800287</v>
      </c>
      <c r="K244" s="68">
        <v>45504</v>
      </c>
      <c r="L244" s="68">
        <v>46022</v>
      </c>
      <c r="M244" s="68">
        <v>46203</v>
      </c>
      <c r="N244" s="69">
        <f t="shared" si="0"/>
        <v>-24</v>
      </c>
      <c r="O244" s="69">
        <f t="shared" si="1"/>
        <v>-12</v>
      </c>
      <c r="P244" s="70">
        <v>37</v>
      </c>
      <c r="Q244" s="70">
        <v>25</v>
      </c>
      <c r="R244" s="70">
        <v>13</v>
      </c>
      <c r="S244" s="68" t="str">
        <f t="shared" si="2"/>
        <v/>
      </c>
      <c r="T244" s="68"/>
      <c r="U244" s="95"/>
      <c r="V244" s="68"/>
      <c r="W244" s="6"/>
      <c r="X244" s="93"/>
      <c r="Y244" s="71">
        <f t="shared" si="3"/>
        <v>25</v>
      </c>
      <c r="Z244" s="73">
        <f t="shared" si="4"/>
        <v>13</v>
      </c>
      <c r="AA244" s="73">
        <f t="shared" si="5"/>
        <v>-24</v>
      </c>
      <c r="AB244" s="11" t="str">
        <f t="shared" si="6"/>
        <v/>
      </c>
      <c r="AC244" s="73">
        <f t="shared" si="7"/>
        <v>-12</v>
      </c>
      <c r="AD244" s="11" t="str">
        <f t="shared" si="8"/>
        <v/>
      </c>
      <c r="AE244" s="73">
        <f t="shared" si="9"/>
        <v>-23.999756000000001</v>
      </c>
      <c r="AF244" s="11" t="str">
        <f t="shared" si="10"/>
        <v/>
      </c>
      <c r="AG244" s="73">
        <f t="shared" si="11"/>
        <v>-11.999756</v>
      </c>
      <c r="AH244" s="11" t="str">
        <f t="shared" si="12"/>
        <v/>
      </c>
    </row>
    <row r="245" spans="1:34" ht="14.25" customHeight="1">
      <c r="A245" s="11">
        <v>230</v>
      </c>
      <c r="B245" s="66"/>
      <c r="C245" s="67"/>
      <c r="D245" s="67"/>
      <c r="E245" s="67"/>
      <c r="F245" s="67"/>
      <c r="G245" s="67" t="s">
        <v>35</v>
      </c>
      <c r="H245" s="67">
        <v>44141</v>
      </c>
      <c r="I245" s="6" t="s">
        <v>815</v>
      </c>
      <c r="J245" s="9">
        <v>1668800633</v>
      </c>
      <c r="K245" s="68">
        <v>44135</v>
      </c>
      <c r="L245" s="68">
        <v>46022</v>
      </c>
      <c r="M245" s="68">
        <v>46203</v>
      </c>
      <c r="N245" s="69">
        <f t="shared" si="0"/>
        <v>-27</v>
      </c>
      <c r="O245" s="69">
        <f t="shared" si="1"/>
        <v>0</v>
      </c>
      <c r="P245" s="70">
        <v>27</v>
      </c>
      <c r="Q245" s="70">
        <v>0</v>
      </c>
      <c r="R245" s="70">
        <v>0</v>
      </c>
      <c r="S245" s="68" t="str">
        <f t="shared" si="2"/>
        <v/>
      </c>
      <c r="T245" s="68"/>
      <c r="U245" s="68"/>
      <c r="V245" s="68"/>
      <c r="W245" s="9"/>
      <c r="X245" s="10"/>
      <c r="Y245" s="71">
        <f t="shared" si="3"/>
        <v>0</v>
      </c>
      <c r="Z245" s="73">
        <f t="shared" si="4"/>
        <v>0</v>
      </c>
      <c r="AA245" s="11" t="str">
        <f t="shared" si="5"/>
        <v/>
      </c>
      <c r="AB245" s="73">
        <f t="shared" si="6"/>
        <v>-27</v>
      </c>
      <c r="AC245" s="11" t="str">
        <f t="shared" si="7"/>
        <v/>
      </c>
      <c r="AD245" s="73">
        <f t="shared" si="8"/>
        <v>0</v>
      </c>
      <c r="AE245" s="11" t="str">
        <f t="shared" si="9"/>
        <v/>
      </c>
      <c r="AF245" s="73">
        <f t="shared" si="10"/>
        <v>-26.999755</v>
      </c>
      <c r="AG245" s="11" t="str">
        <f t="shared" si="11"/>
        <v/>
      </c>
      <c r="AH245" s="73">
        <f t="shared" si="12"/>
        <v>2.4499999999999999E-4</v>
      </c>
    </row>
    <row r="246" spans="1:34" ht="14.25" customHeight="1">
      <c r="A246" s="11">
        <v>231</v>
      </c>
      <c r="B246" s="66" t="s">
        <v>816</v>
      </c>
      <c r="C246" s="67">
        <v>44621</v>
      </c>
      <c r="D246" s="67">
        <v>44447</v>
      </c>
      <c r="E246" s="67"/>
      <c r="F246" s="67"/>
      <c r="G246" s="67"/>
      <c r="H246" s="67"/>
      <c r="I246" s="6" t="s">
        <v>817</v>
      </c>
      <c r="J246" s="9">
        <v>1698101137</v>
      </c>
      <c r="K246" s="68">
        <v>44439</v>
      </c>
      <c r="L246" s="68">
        <v>46022</v>
      </c>
      <c r="M246" s="68">
        <v>46203</v>
      </c>
      <c r="N246" s="69">
        <f t="shared" si="0"/>
        <v>1</v>
      </c>
      <c r="O246" s="69">
        <f t="shared" si="1"/>
        <v>0</v>
      </c>
      <c r="P246" s="70">
        <v>1</v>
      </c>
      <c r="Q246" s="70">
        <v>2</v>
      </c>
      <c r="R246" s="70">
        <v>2</v>
      </c>
      <c r="S246" s="68" t="str">
        <f t="shared" si="2"/>
        <v/>
      </c>
      <c r="T246" s="68"/>
      <c r="U246" s="68">
        <v>46022</v>
      </c>
      <c r="V246" s="68"/>
      <c r="W246" s="9"/>
      <c r="X246" s="10"/>
      <c r="Y246" s="71">
        <f t="shared" si="3"/>
        <v>2</v>
      </c>
      <c r="Z246" s="73">
        <f t="shared" si="4"/>
        <v>2</v>
      </c>
      <c r="AA246" s="73">
        <f t="shared" si="5"/>
        <v>1</v>
      </c>
      <c r="AB246" s="11" t="str">
        <f t="shared" si="6"/>
        <v/>
      </c>
      <c r="AC246" s="73">
        <f t="shared" si="7"/>
        <v>0</v>
      </c>
      <c r="AD246" s="11" t="str">
        <f t="shared" si="8"/>
        <v/>
      </c>
      <c r="AE246" s="73">
        <f t="shared" si="9"/>
        <v>1.000246</v>
      </c>
      <c r="AF246" s="11" t="str">
        <f t="shared" si="10"/>
        <v/>
      </c>
      <c r="AG246" s="73">
        <f t="shared" si="11"/>
        <v>2.4600000000000002E-4</v>
      </c>
      <c r="AH246" s="11" t="str">
        <f t="shared" si="12"/>
        <v/>
      </c>
    </row>
    <row r="247" spans="1:34" ht="14.25" customHeight="1">
      <c r="A247" s="11">
        <v>232</v>
      </c>
      <c r="B247" s="66"/>
      <c r="C247" s="67"/>
      <c r="D247" s="67"/>
      <c r="E247" s="67"/>
      <c r="F247" s="67"/>
      <c r="G247" s="67" t="s">
        <v>35</v>
      </c>
      <c r="H247" s="67">
        <v>44805</v>
      </c>
      <c r="I247" s="6" t="s">
        <v>818</v>
      </c>
      <c r="J247" s="9">
        <v>1698102475</v>
      </c>
      <c r="K247" s="68">
        <v>44804</v>
      </c>
      <c r="L247" s="68">
        <v>46022</v>
      </c>
      <c r="M247" s="68">
        <v>46203</v>
      </c>
      <c r="N247" s="69">
        <f t="shared" si="0"/>
        <v>-2</v>
      </c>
      <c r="O247" s="69">
        <f t="shared" si="1"/>
        <v>-3</v>
      </c>
      <c r="P247" s="70">
        <v>7</v>
      </c>
      <c r="Q247" s="70">
        <v>8</v>
      </c>
      <c r="R247" s="70">
        <v>5</v>
      </c>
      <c r="S247" s="68" t="str">
        <f t="shared" si="2"/>
        <v/>
      </c>
      <c r="T247" s="68"/>
      <c r="U247" s="68"/>
      <c r="V247" s="68"/>
      <c r="W247" s="9"/>
      <c r="X247" s="10" t="s">
        <v>819</v>
      </c>
      <c r="Y247" s="71">
        <f t="shared" si="3"/>
        <v>8</v>
      </c>
      <c r="Z247" s="73">
        <f t="shared" si="4"/>
        <v>5</v>
      </c>
      <c r="AA247" s="11" t="str">
        <f t="shared" si="5"/>
        <v/>
      </c>
      <c r="AB247" s="73">
        <f t="shared" si="6"/>
        <v>-2</v>
      </c>
      <c r="AC247" s="11" t="str">
        <f t="shared" si="7"/>
        <v/>
      </c>
      <c r="AD247" s="73">
        <f t="shared" si="8"/>
        <v>-3</v>
      </c>
      <c r="AE247" s="11" t="str">
        <f t="shared" si="9"/>
        <v/>
      </c>
      <c r="AF247" s="73">
        <f t="shared" si="10"/>
        <v>-1.9997529999999999</v>
      </c>
      <c r="AG247" s="11" t="str">
        <f t="shared" si="11"/>
        <v/>
      </c>
      <c r="AH247" s="73">
        <f t="shared" si="12"/>
        <v>-2.9997530000000001</v>
      </c>
    </row>
    <row r="248" spans="1:34" ht="14.25" customHeight="1">
      <c r="A248" s="11">
        <v>233</v>
      </c>
      <c r="B248" s="66" t="s">
        <v>35</v>
      </c>
      <c r="C248" s="67">
        <v>42422</v>
      </c>
      <c r="D248" s="67"/>
      <c r="E248" s="67"/>
      <c r="F248" s="67"/>
      <c r="G248" s="67"/>
      <c r="H248" s="67"/>
      <c r="I248" s="6" t="s">
        <v>820</v>
      </c>
      <c r="J248" s="9">
        <v>1698700144</v>
      </c>
      <c r="K248" s="68">
        <v>42400</v>
      </c>
      <c r="L248" s="68">
        <v>46022</v>
      </c>
      <c r="M248" s="68">
        <v>46203</v>
      </c>
      <c r="N248" s="69">
        <f t="shared" si="0"/>
        <v>7</v>
      </c>
      <c r="O248" s="69">
        <f t="shared" si="1"/>
        <v>4</v>
      </c>
      <c r="P248" s="70">
        <v>4</v>
      </c>
      <c r="Q248" s="70">
        <v>7</v>
      </c>
      <c r="R248" s="70">
        <v>11</v>
      </c>
      <c r="S248" s="68" t="str">
        <f t="shared" si="2"/>
        <v/>
      </c>
      <c r="T248" s="68"/>
      <c r="U248" s="68"/>
      <c r="V248" s="68"/>
      <c r="W248" s="9"/>
      <c r="X248" s="10"/>
      <c r="Y248" s="71">
        <f t="shared" si="3"/>
        <v>7</v>
      </c>
      <c r="Z248" s="73">
        <f t="shared" si="4"/>
        <v>11</v>
      </c>
      <c r="AA248" s="73">
        <f t="shared" si="5"/>
        <v>7</v>
      </c>
      <c r="AB248" s="11" t="str">
        <f t="shared" si="6"/>
        <v/>
      </c>
      <c r="AC248" s="73">
        <f t="shared" si="7"/>
        <v>4</v>
      </c>
      <c r="AD248" s="11" t="str">
        <f t="shared" si="8"/>
        <v/>
      </c>
      <c r="AE248" s="73">
        <f t="shared" si="9"/>
        <v>7.000248</v>
      </c>
      <c r="AF248" s="11" t="str">
        <f t="shared" si="10"/>
        <v/>
      </c>
      <c r="AG248" s="73">
        <f t="shared" si="11"/>
        <v>4.000248</v>
      </c>
      <c r="AH248" s="11" t="str">
        <f t="shared" si="12"/>
        <v/>
      </c>
    </row>
    <row r="249" spans="1:34" ht="14.25" customHeight="1">
      <c r="A249" s="11">
        <v>234</v>
      </c>
      <c r="B249" s="66" t="s">
        <v>35</v>
      </c>
      <c r="C249" s="67">
        <v>46023</v>
      </c>
      <c r="D249" s="67"/>
      <c r="E249" s="67"/>
      <c r="F249" s="67"/>
      <c r="G249" s="67"/>
      <c r="H249" s="67"/>
      <c r="I249" s="6" t="s">
        <v>821</v>
      </c>
      <c r="J249" s="37">
        <v>1698703030</v>
      </c>
      <c r="K249" s="68">
        <v>46022</v>
      </c>
      <c r="L249" s="68">
        <v>46022</v>
      </c>
      <c r="M249" s="68">
        <v>46203</v>
      </c>
      <c r="N249" s="69">
        <f t="shared" si="0"/>
        <v>-1</v>
      </c>
      <c r="O249" s="69">
        <f t="shared" si="1"/>
        <v>-1</v>
      </c>
      <c r="P249" s="70">
        <v>13</v>
      </c>
      <c r="Q249" s="70">
        <v>13</v>
      </c>
      <c r="R249" s="70">
        <v>12</v>
      </c>
      <c r="S249" s="68" t="str">
        <f t="shared" si="2"/>
        <v/>
      </c>
      <c r="T249" s="68"/>
      <c r="U249" s="95"/>
      <c r="V249" s="68"/>
      <c r="W249" s="6"/>
      <c r="X249" s="10"/>
      <c r="Y249" s="71">
        <f t="shared" si="3"/>
        <v>13</v>
      </c>
      <c r="Z249" s="73">
        <f t="shared" si="4"/>
        <v>12</v>
      </c>
      <c r="AA249" s="73">
        <f t="shared" si="5"/>
        <v>-1</v>
      </c>
      <c r="AB249" s="11" t="str">
        <f t="shared" si="6"/>
        <v/>
      </c>
      <c r="AC249" s="73">
        <f t="shared" si="7"/>
        <v>-1</v>
      </c>
      <c r="AD249" s="11" t="str">
        <f t="shared" si="8"/>
        <v/>
      </c>
      <c r="AE249" s="73">
        <f t="shared" si="9"/>
        <v>-0.99975099999999995</v>
      </c>
      <c r="AF249" s="11" t="str">
        <f t="shared" si="10"/>
        <v/>
      </c>
      <c r="AG249" s="73">
        <f t="shared" si="11"/>
        <v>-0.99975099999999995</v>
      </c>
      <c r="AH249" s="11" t="str">
        <f t="shared" si="12"/>
        <v/>
      </c>
    </row>
    <row r="250" spans="1:34" ht="14.25" customHeight="1">
      <c r="A250" s="11">
        <v>235</v>
      </c>
      <c r="B250" s="66"/>
      <c r="C250" s="67"/>
      <c r="D250" s="67"/>
      <c r="E250" s="67"/>
      <c r="F250" s="67"/>
      <c r="G250" s="67" t="s">
        <v>24</v>
      </c>
      <c r="H250" s="67">
        <v>43686</v>
      </c>
      <c r="I250" s="6" t="s">
        <v>822</v>
      </c>
      <c r="J250" s="9">
        <v>1708700673</v>
      </c>
      <c r="K250" s="68">
        <v>43677</v>
      </c>
      <c r="L250" s="68" t="s">
        <v>230</v>
      </c>
      <c r="M250" s="68">
        <v>44592</v>
      </c>
      <c r="N250" s="69">
        <f t="shared" si="0"/>
        <v>-20</v>
      </c>
      <c r="O250" s="69" t="str">
        <f t="shared" si="1"/>
        <v>N/A</v>
      </c>
      <c r="P250" s="70">
        <v>20</v>
      </c>
      <c r="Q250" s="70"/>
      <c r="R250" s="70">
        <v>0</v>
      </c>
      <c r="S250" s="68">
        <f t="shared" si="2"/>
        <v>44575</v>
      </c>
      <c r="T250" s="68">
        <v>44575</v>
      </c>
      <c r="U250" s="68"/>
      <c r="V250" s="68"/>
      <c r="W250" s="9"/>
      <c r="X250" s="10"/>
      <c r="Y250" s="65" t="str">
        <f t="shared" si="3"/>
        <v/>
      </c>
      <c r="Z250" s="11" t="str">
        <f t="shared" si="4"/>
        <v/>
      </c>
      <c r="AA250" s="11" t="str">
        <f t="shared" si="5"/>
        <v/>
      </c>
      <c r="AB250" s="73">
        <f t="shared" si="6"/>
        <v>-20</v>
      </c>
      <c r="AC250" s="11" t="str">
        <f t="shared" si="7"/>
        <v/>
      </c>
      <c r="AD250" s="11" t="str">
        <f t="shared" si="8"/>
        <v/>
      </c>
      <c r="AE250" s="11" t="str">
        <f t="shared" si="9"/>
        <v/>
      </c>
      <c r="AF250" s="73">
        <f t="shared" si="10"/>
        <v>-19.999749999999999</v>
      </c>
      <c r="AG250" s="11" t="str">
        <f t="shared" si="11"/>
        <v/>
      </c>
      <c r="AH250" s="11" t="str">
        <f t="shared" si="12"/>
        <v/>
      </c>
    </row>
    <row r="251" spans="1:34" ht="14.25" customHeight="1">
      <c r="A251" s="11">
        <v>236</v>
      </c>
      <c r="B251" s="66"/>
      <c r="C251" s="67"/>
      <c r="D251" s="67"/>
      <c r="E251" s="67"/>
      <c r="F251" s="67"/>
      <c r="G251" s="67" t="s">
        <v>35</v>
      </c>
      <c r="H251" s="67">
        <v>44398</v>
      </c>
      <c r="I251" s="6" t="s">
        <v>823</v>
      </c>
      <c r="J251" s="9">
        <v>1708701032</v>
      </c>
      <c r="K251" s="68">
        <v>44377</v>
      </c>
      <c r="L251" s="68">
        <v>46022</v>
      </c>
      <c r="M251" s="68">
        <v>46203</v>
      </c>
      <c r="N251" s="69">
        <f t="shared" si="0"/>
        <v>39</v>
      </c>
      <c r="O251" s="69">
        <f t="shared" si="1"/>
        <v>-1</v>
      </c>
      <c r="P251" s="70">
        <v>8</v>
      </c>
      <c r="Q251" s="70">
        <v>48</v>
      </c>
      <c r="R251" s="70">
        <v>47</v>
      </c>
      <c r="S251" s="68" t="str">
        <f t="shared" si="2"/>
        <v/>
      </c>
      <c r="T251" s="68"/>
      <c r="U251" s="68"/>
      <c r="V251" s="68"/>
      <c r="W251" s="9"/>
      <c r="X251" s="10"/>
      <c r="Y251" s="71">
        <f t="shared" si="3"/>
        <v>48</v>
      </c>
      <c r="Z251" s="73">
        <f t="shared" si="4"/>
        <v>47</v>
      </c>
      <c r="AA251" s="11" t="str">
        <f t="shared" si="5"/>
        <v/>
      </c>
      <c r="AB251" s="73">
        <f t="shared" si="6"/>
        <v>39</v>
      </c>
      <c r="AC251" s="11" t="str">
        <f t="shared" si="7"/>
        <v/>
      </c>
      <c r="AD251" s="73">
        <f t="shared" si="8"/>
        <v>-1</v>
      </c>
      <c r="AE251" s="11" t="str">
        <f t="shared" si="9"/>
        <v/>
      </c>
      <c r="AF251" s="73">
        <f t="shared" si="10"/>
        <v>39.000250999999999</v>
      </c>
      <c r="AG251" s="11" t="str">
        <f t="shared" si="11"/>
        <v/>
      </c>
      <c r="AH251" s="73">
        <f t="shared" si="12"/>
        <v>-0.999749</v>
      </c>
    </row>
    <row r="252" spans="1:34" ht="14.25" customHeight="1">
      <c r="A252" s="11">
        <v>237</v>
      </c>
      <c r="B252" s="66"/>
      <c r="C252" s="67"/>
      <c r="D252" s="67"/>
      <c r="E252" s="67"/>
      <c r="F252" s="67"/>
      <c r="G252" s="67" t="s">
        <v>35</v>
      </c>
      <c r="H252" s="67">
        <v>45709</v>
      </c>
      <c r="I252" s="6" t="s">
        <v>824</v>
      </c>
      <c r="J252" s="9">
        <v>1708701823</v>
      </c>
      <c r="K252" s="68">
        <v>45688</v>
      </c>
      <c r="L252" s="68">
        <v>46022</v>
      </c>
      <c r="M252" s="68">
        <v>46203</v>
      </c>
      <c r="N252" s="69">
        <f t="shared" si="0"/>
        <v>5</v>
      </c>
      <c r="O252" s="69">
        <f t="shared" si="1"/>
        <v>1</v>
      </c>
      <c r="P252" s="70">
        <v>15</v>
      </c>
      <c r="Q252" s="70">
        <v>19</v>
      </c>
      <c r="R252" s="70">
        <v>20</v>
      </c>
      <c r="S252" s="68" t="str">
        <f t="shared" si="2"/>
        <v/>
      </c>
      <c r="T252" s="68"/>
      <c r="U252" s="68"/>
      <c r="V252" s="68"/>
      <c r="W252" s="9"/>
      <c r="X252" s="10"/>
      <c r="Y252" s="71">
        <f t="shared" si="3"/>
        <v>19</v>
      </c>
      <c r="Z252" s="73">
        <f t="shared" si="4"/>
        <v>20</v>
      </c>
      <c r="AA252" s="11" t="str">
        <f t="shared" si="5"/>
        <v/>
      </c>
      <c r="AB252" s="73">
        <f t="shared" si="6"/>
        <v>5</v>
      </c>
      <c r="AC252" s="11" t="str">
        <f t="shared" si="7"/>
        <v/>
      </c>
      <c r="AD252" s="73">
        <f t="shared" si="8"/>
        <v>1</v>
      </c>
      <c r="AE252" s="11" t="str">
        <f t="shared" si="9"/>
        <v/>
      </c>
      <c r="AF252" s="73">
        <f t="shared" si="10"/>
        <v>5.0002519999999997</v>
      </c>
      <c r="AG252" s="11" t="str">
        <f t="shared" si="11"/>
        <v/>
      </c>
      <c r="AH252" s="73">
        <f t="shared" si="12"/>
        <v>1.0002519999999999</v>
      </c>
    </row>
    <row r="253" spans="1:34" ht="14.25" customHeight="1">
      <c r="A253" s="11">
        <v>238</v>
      </c>
      <c r="B253" s="66"/>
      <c r="C253" s="67"/>
      <c r="D253" s="67"/>
      <c r="E253" s="67"/>
      <c r="F253" s="67"/>
      <c r="G253" s="67" t="s">
        <v>35</v>
      </c>
      <c r="H253" s="67">
        <v>45596</v>
      </c>
      <c r="I253" s="6" t="s">
        <v>825</v>
      </c>
      <c r="J253" s="9">
        <v>1718601800</v>
      </c>
      <c r="K253" s="68">
        <v>45565</v>
      </c>
      <c r="L253" s="68">
        <v>46022</v>
      </c>
      <c r="M253" s="68">
        <v>46203</v>
      </c>
      <c r="N253" s="69">
        <f t="shared" si="0"/>
        <v>-2</v>
      </c>
      <c r="O253" s="69">
        <f t="shared" si="1"/>
        <v>-2</v>
      </c>
      <c r="P253" s="70">
        <v>4</v>
      </c>
      <c r="Q253" s="70">
        <v>4</v>
      </c>
      <c r="R253" s="70">
        <v>2</v>
      </c>
      <c r="S253" s="68" t="str">
        <f t="shared" si="2"/>
        <v/>
      </c>
      <c r="T253" s="68"/>
      <c r="U253" s="68"/>
      <c r="V253" s="68"/>
      <c r="W253" s="9"/>
      <c r="X253" s="10"/>
      <c r="Y253" s="71">
        <f t="shared" si="3"/>
        <v>4</v>
      </c>
      <c r="Z253" s="73">
        <f t="shared" si="4"/>
        <v>2</v>
      </c>
      <c r="AA253" s="11" t="str">
        <f t="shared" si="5"/>
        <v/>
      </c>
      <c r="AB253" s="73">
        <f t="shared" si="6"/>
        <v>-2</v>
      </c>
      <c r="AC253" s="11" t="str">
        <f t="shared" si="7"/>
        <v/>
      </c>
      <c r="AD253" s="73">
        <f t="shared" si="8"/>
        <v>-2</v>
      </c>
      <c r="AE253" s="11" t="str">
        <f t="shared" si="9"/>
        <v/>
      </c>
      <c r="AF253" s="73">
        <f t="shared" si="10"/>
        <v>-1.9997469999999999</v>
      </c>
      <c r="AG253" s="11" t="str">
        <f t="shared" si="11"/>
        <v/>
      </c>
      <c r="AH253" s="73">
        <f t="shared" si="12"/>
        <v>-1.9997469999999999</v>
      </c>
    </row>
    <row r="254" spans="1:34" ht="14.25" customHeight="1">
      <c r="A254" s="11">
        <v>239</v>
      </c>
      <c r="B254" s="66"/>
      <c r="C254" s="67"/>
      <c r="D254" s="67"/>
      <c r="E254" s="67"/>
      <c r="F254" s="67"/>
      <c r="G254" s="67" t="s">
        <v>35</v>
      </c>
      <c r="H254" s="67">
        <v>45867</v>
      </c>
      <c r="I254" s="6" t="s">
        <v>826</v>
      </c>
      <c r="J254" s="94">
        <v>1718603754</v>
      </c>
      <c r="K254" s="68">
        <v>45838</v>
      </c>
      <c r="L254" s="68">
        <v>46022</v>
      </c>
      <c r="M254" s="68">
        <v>46203</v>
      </c>
      <c r="N254" s="69">
        <f t="shared" si="0"/>
        <v>5</v>
      </c>
      <c r="O254" s="69">
        <f t="shared" si="1"/>
        <v>1</v>
      </c>
      <c r="P254" s="70">
        <v>0</v>
      </c>
      <c r="Q254" s="70">
        <v>4</v>
      </c>
      <c r="R254" s="70">
        <v>5</v>
      </c>
      <c r="S254" s="68" t="str">
        <f t="shared" si="2"/>
        <v/>
      </c>
      <c r="T254" s="68"/>
      <c r="U254" s="95"/>
      <c r="V254" s="68"/>
      <c r="W254" s="6"/>
      <c r="X254" s="10"/>
      <c r="Y254" s="71">
        <f t="shared" si="3"/>
        <v>4</v>
      </c>
      <c r="Z254" s="73">
        <f t="shared" si="4"/>
        <v>5</v>
      </c>
      <c r="AA254" s="11" t="str">
        <f t="shared" si="5"/>
        <v/>
      </c>
      <c r="AB254" s="73">
        <f t="shared" si="6"/>
        <v>5</v>
      </c>
      <c r="AC254" s="11" t="str">
        <f t="shared" si="7"/>
        <v/>
      </c>
      <c r="AD254" s="73">
        <f t="shared" si="8"/>
        <v>1</v>
      </c>
      <c r="AE254" s="11" t="str">
        <f t="shared" si="9"/>
        <v/>
      </c>
      <c r="AF254" s="73">
        <f t="shared" si="10"/>
        <v>5.000254</v>
      </c>
      <c r="AG254" s="11" t="str">
        <f t="shared" si="11"/>
        <v/>
      </c>
      <c r="AH254" s="73">
        <f t="shared" si="12"/>
        <v>1.000254</v>
      </c>
    </row>
    <row r="255" spans="1:34" ht="14.25" customHeight="1">
      <c r="A255" s="11">
        <v>240</v>
      </c>
      <c r="B255" s="66"/>
      <c r="C255" s="67"/>
      <c r="D255" s="67"/>
      <c r="E255" s="67"/>
      <c r="F255" s="67"/>
      <c r="G255" s="67" t="s">
        <v>24</v>
      </c>
      <c r="H255" s="67">
        <v>43326</v>
      </c>
      <c r="I255" s="6" t="s">
        <v>827</v>
      </c>
      <c r="J255" s="9">
        <v>1728101133</v>
      </c>
      <c r="K255" s="68">
        <v>43312</v>
      </c>
      <c r="L255" s="68" t="s">
        <v>230</v>
      </c>
      <c r="M255" s="68">
        <v>44895</v>
      </c>
      <c r="N255" s="69">
        <f t="shared" si="0"/>
        <v>0</v>
      </c>
      <c r="O255" s="69" t="str">
        <f t="shared" si="1"/>
        <v>N/A</v>
      </c>
      <c r="P255" s="70">
        <v>0</v>
      </c>
      <c r="Q255" s="70"/>
      <c r="R255" s="70">
        <v>0</v>
      </c>
      <c r="S255" s="68">
        <f t="shared" si="2"/>
        <v>44895</v>
      </c>
      <c r="T255" s="68">
        <v>44895</v>
      </c>
      <c r="U255" s="68"/>
      <c r="V255" s="68"/>
      <c r="W255" s="9"/>
      <c r="X255" s="10"/>
      <c r="Y255" s="65" t="str">
        <f t="shared" si="3"/>
        <v/>
      </c>
      <c r="Z255" s="11" t="str">
        <f t="shared" si="4"/>
        <v/>
      </c>
      <c r="AA255" s="11" t="str">
        <f t="shared" si="5"/>
        <v/>
      </c>
      <c r="AB255" s="73">
        <f t="shared" si="6"/>
        <v>0</v>
      </c>
      <c r="AC255" s="11" t="str">
        <f t="shared" si="7"/>
        <v/>
      </c>
      <c r="AD255" s="11" t="str">
        <f t="shared" si="8"/>
        <v/>
      </c>
      <c r="AE255" s="11" t="str">
        <f t="shared" si="9"/>
        <v/>
      </c>
      <c r="AF255" s="73">
        <f t="shared" si="10"/>
        <v>2.5500000000000002E-4</v>
      </c>
      <c r="AG255" s="11" t="str">
        <f t="shared" si="11"/>
        <v/>
      </c>
      <c r="AH255" s="11" t="str">
        <f t="shared" si="12"/>
        <v/>
      </c>
    </row>
    <row r="256" spans="1:34" ht="14.25" customHeight="1">
      <c r="A256" s="11">
        <v>241</v>
      </c>
      <c r="B256" s="66" t="s">
        <v>35</v>
      </c>
      <c r="C256" s="67"/>
      <c r="D256" s="67"/>
      <c r="E256" s="67"/>
      <c r="F256" s="67">
        <v>46122</v>
      </c>
      <c r="G256" s="67"/>
      <c r="H256" s="67"/>
      <c r="I256" s="6" t="s">
        <v>828</v>
      </c>
      <c r="J256" s="37">
        <v>1728603136</v>
      </c>
      <c r="K256" s="68">
        <v>46112</v>
      </c>
      <c r="L256" s="68" t="s">
        <v>230</v>
      </c>
      <c r="M256" s="68">
        <v>46203</v>
      </c>
      <c r="N256" s="69">
        <f t="shared" si="0"/>
        <v>0</v>
      </c>
      <c r="O256" s="69">
        <f t="shared" si="1"/>
        <v>0</v>
      </c>
      <c r="P256" s="70">
        <v>9</v>
      </c>
      <c r="Q256" s="70"/>
      <c r="R256" s="70">
        <v>9</v>
      </c>
      <c r="S256" s="68" t="str">
        <f t="shared" si="2"/>
        <v/>
      </c>
      <c r="T256" s="68"/>
      <c r="U256" s="95"/>
      <c r="V256" s="68"/>
      <c r="W256" s="6"/>
      <c r="X256" s="93"/>
      <c r="Y256" s="71">
        <f t="shared" si="3"/>
        <v>9</v>
      </c>
      <c r="Z256" s="73">
        <f t="shared" si="4"/>
        <v>9</v>
      </c>
      <c r="AA256" s="73">
        <f t="shared" si="5"/>
        <v>0</v>
      </c>
      <c r="AB256" s="11" t="str">
        <f t="shared" si="6"/>
        <v/>
      </c>
      <c r="AC256" s="73">
        <f t="shared" si="7"/>
        <v>0</v>
      </c>
      <c r="AD256" s="11" t="str">
        <f t="shared" si="8"/>
        <v/>
      </c>
      <c r="AE256" s="73">
        <f t="shared" si="9"/>
        <v>2.5599999999999999E-4</v>
      </c>
      <c r="AF256" s="11" t="str">
        <f t="shared" si="10"/>
        <v/>
      </c>
      <c r="AG256" s="73">
        <f t="shared" si="11"/>
        <v>2.5599999999999999E-4</v>
      </c>
      <c r="AH256" s="11" t="str">
        <f t="shared" si="12"/>
        <v/>
      </c>
    </row>
    <row r="257" spans="1:34" ht="14.25" customHeight="1">
      <c r="A257" s="11">
        <v>242</v>
      </c>
      <c r="B257" s="66"/>
      <c r="C257" s="67"/>
      <c r="D257" s="67"/>
      <c r="E257" s="67"/>
      <c r="F257" s="67"/>
      <c r="G257" s="67" t="s">
        <v>35</v>
      </c>
      <c r="H257" s="67">
        <v>44552</v>
      </c>
      <c r="I257" s="6" t="s">
        <v>829</v>
      </c>
      <c r="J257" s="9">
        <v>1728700868</v>
      </c>
      <c r="K257" s="68">
        <v>44530</v>
      </c>
      <c r="L257" s="68">
        <v>46022</v>
      </c>
      <c r="M257" s="68">
        <v>46203</v>
      </c>
      <c r="N257" s="69">
        <f t="shared" si="0"/>
        <v>-3</v>
      </c>
      <c r="O257" s="69">
        <f t="shared" si="1"/>
        <v>0</v>
      </c>
      <c r="P257" s="70">
        <v>4</v>
      </c>
      <c r="Q257" s="70">
        <v>1</v>
      </c>
      <c r="R257" s="70">
        <v>1</v>
      </c>
      <c r="S257" s="68" t="str">
        <f t="shared" si="2"/>
        <v/>
      </c>
      <c r="T257" s="68"/>
      <c r="U257" s="68"/>
      <c r="V257" s="68"/>
      <c r="W257" s="9"/>
      <c r="X257" s="10"/>
      <c r="Y257" s="71">
        <f t="shared" si="3"/>
        <v>1</v>
      </c>
      <c r="Z257" s="73">
        <f t="shared" si="4"/>
        <v>1</v>
      </c>
      <c r="AA257" s="11" t="str">
        <f t="shared" si="5"/>
        <v/>
      </c>
      <c r="AB257" s="73">
        <f t="shared" si="6"/>
        <v>-3</v>
      </c>
      <c r="AC257" s="11" t="str">
        <f t="shared" si="7"/>
        <v/>
      </c>
      <c r="AD257" s="73">
        <f t="shared" si="8"/>
        <v>0</v>
      </c>
      <c r="AE257" s="11" t="str">
        <f t="shared" si="9"/>
        <v/>
      </c>
      <c r="AF257" s="73">
        <f t="shared" si="10"/>
        <v>-2.999743</v>
      </c>
      <c r="AG257" s="11" t="str">
        <f t="shared" si="11"/>
        <v/>
      </c>
      <c r="AH257" s="73">
        <f t="shared" si="12"/>
        <v>2.5700000000000001E-4</v>
      </c>
    </row>
    <row r="258" spans="1:34" ht="14.25" customHeight="1">
      <c r="A258" s="11">
        <v>243</v>
      </c>
      <c r="B258" s="66"/>
      <c r="C258" s="67"/>
      <c r="D258" s="67"/>
      <c r="E258" s="67"/>
      <c r="F258" s="67"/>
      <c r="G258" s="67" t="s">
        <v>24</v>
      </c>
      <c r="H258" s="67">
        <v>45492</v>
      </c>
      <c r="I258" s="6" t="s">
        <v>830</v>
      </c>
      <c r="J258" s="9">
        <v>1738101816</v>
      </c>
      <c r="K258" s="68">
        <v>45473</v>
      </c>
      <c r="L258" s="68">
        <v>46022</v>
      </c>
      <c r="M258" s="68">
        <v>46053</v>
      </c>
      <c r="N258" s="69">
        <f t="shared" si="0"/>
        <v>-5</v>
      </c>
      <c r="O258" s="69">
        <f t="shared" si="1"/>
        <v>-2</v>
      </c>
      <c r="P258" s="70">
        <v>5</v>
      </c>
      <c r="Q258" s="70">
        <v>2</v>
      </c>
      <c r="R258" s="70">
        <v>0</v>
      </c>
      <c r="S258" s="68">
        <f t="shared" si="2"/>
        <v>46053</v>
      </c>
      <c r="T258" s="68">
        <v>46053</v>
      </c>
      <c r="U258" s="68"/>
      <c r="V258" s="68"/>
      <c r="W258" s="9"/>
      <c r="X258" s="10"/>
      <c r="Y258" s="71">
        <f t="shared" si="3"/>
        <v>2</v>
      </c>
      <c r="Z258" s="73">
        <f t="shared" si="4"/>
        <v>0</v>
      </c>
      <c r="AA258" s="11" t="str">
        <f t="shared" si="5"/>
        <v/>
      </c>
      <c r="AB258" s="73">
        <f t="shared" si="6"/>
        <v>-5</v>
      </c>
      <c r="AC258" s="11" t="str">
        <f t="shared" si="7"/>
        <v/>
      </c>
      <c r="AD258" s="73">
        <f t="shared" si="8"/>
        <v>-2</v>
      </c>
      <c r="AE258" s="11" t="str">
        <f t="shared" si="9"/>
        <v/>
      </c>
      <c r="AF258" s="73">
        <f t="shared" si="10"/>
        <v>-4.9997420000000004</v>
      </c>
      <c r="AG258" s="11" t="str">
        <f t="shared" si="11"/>
        <v/>
      </c>
      <c r="AH258" s="73">
        <f t="shared" si="12"/>
        <v>-1.9997419999999999</v>
      </c>
    </row>
    <row r="259" spans="1:34" ht="14.25" customHeight="1">
      <c r="A259" s="11">
        <v>244</v>
      </c>
      <c r="B259" s="66" t="s">
        <v>35</v>
      </c>
      <c r="C259" s="67">
        <v>43518</v>
      </c>
      <c r="D259" s="67"/>
      <c r="E259" s="67"/>
      <c r="F259" s="67"/>
      <c r="G259" s="67"/>
      <c r="H259" s="67"/>
      <c r="I259" s="6" t="s">
        <v>831</v>
      </c>
      <c r="J259" s="9">
        <v>1738701007</v>
      </c>
      <c r="K259" s="68">
        <v>43496</v>
      </c>
      <c r="L259" s="68">
        <v>46022</v>
      </c>
      <c r="M259" s="68">
        <v>46203</v>
      </c>
      <c r="N259" s="69">
        <f t="shared" si="0"/>
        <v>-4</v>
      </c>
      <c r="O259" s="69">
        <f t="shared" si="1"/>
        <v>-1</v>
      </c>
      <c r="P259" s="70">
        <v>4</v>
      </c>
      <c r="Q259" s="70">
        <v>1</v>
      </c>
      <c r="R259" s="70">
        <v>0</v>
      </c>
      <c r="S259" s="68" t="str">
        <f t="shared" si="2"/>
        <v/>
      </c>
      <c r="T259" s="68"/>
      <c r="U259" s="68"/>
      <c r="V259" s="68"/>
      <c r="W259" s="9"/>
      <c r="X259" s="10"/>
      <c r="Y259" s="71">
        <f t="shared" si="3"/>
        <v>1</v>
      </c>
      <c r="Z259" s="73">
        <f t="shared" si="4"/>
        <v>0</v>
      </c>
      <c r="AA259" s="73">
        <f t="shared" si="5"/>
        <v>-4</v>
      </c>
      <c r="AB259" s="11" t="str">
        <f t="shared" si="6"/>
        <v/>
      </c>
      <c r="AC259" s="73">
        <f t="shared" si="7"/>
        <v>-1</v>
      </c>
      <c r="AD259" s="11" t="str">
        <f t="shared" si="8"/>
        <v/>
      </c>
      <c r="AE259" s="73">
        <f t="shared" si="9"/>
        <v>-3.9997410000000002</v>
      </c>
      <c r="AF259" s="11" t="str">
        <f t="shared" si="10"/>
        <v/>
      </c>
      <c r="AG259" s="73">
        <f t="shared" si="11"/>
        <v>-0.99974099999999999</v>
      </c>
      <c r="AH259" s="11" t="str">
        <f t="shared" si="12"/>
        <v/>
      </c>
    </row>
    <row r="260" spans="1:34" ht="14.25" customHeight="1">
      <c r="A260" s="11">
        <v>245</v>
      </c>
      <c r="B260" s="66"/>
      <c r="C260" s="67"/>
      <c r="D260" s="67"/>
      <c r="E260" s="67"/>
      <c r="F260" s="67"/>
      <c r="G260" s="67" t="s">
        <v>35</v>
      </c>
      <c r="H260" s="67">
        <v>46007</v>
      </c>
      <c r="I260" s="6" t="s">
        <v>832</v>
      </c>
      <c r="J260" s="94">
        <v>1744701154</v>
      </c>
      <c r="K260" s="68">
        <v>45991</v>
      </c>
      <c r="L260" s="68">
        <v>46022</v>
      </c>
      <c r="M260" s="68">
        <v>46203</v>
      </c>
      <c r="N260" s="69">
        <f t="shared" si="0"/>
        <v>0</v>
      </c>
      <c r="O260" s="69">
        <f t="shared" si="1"/>
        <v>0</v>
      </c>
      <c r="P260" s="70">
        <v>0</v>
      </c>
      <c r="Q260" s="70">
        <v>0</v>
      </c>
      <c r="R260" s="70">
        <v>0</v>
      </c>
      <c r="S260" s="68" t="str">
        <f t="shared" si="2"/>
        <v/>
      </c>
      <c r="T260" s="68"/>
      <c r="U260" s="95"/>
      <c r="V260" s="68"/>
      <c r="W260" s="6"/>
      <c r="X260" s="10"/>
      <c r="Y260" s="71">
        <f t="shared" si="3"/>
        <v>0</v>
      </c>
      <c r="Z260" s="73">
        <f t="shared" si="4"/>
        <v>0</v>
      </c>
      <c r="AA260" s="11" t="str">
        <f t="shared" si="5"/>
        <v/>
      </c>
      <c r="AB260" s="73">
        <f t="shared" si="6"/>
        <v>0</v>
      </c>
      <c r="AC260" s="11" t="str">
        <f t="shared" si="7"/>
        <v/>
      </c>
      <c r="AD260" s="73">
        <f t="shared" si="8"/>
        <v>0</v>
      </c>
      <c r="AE260" s="11" t="str">
        <f t="shared" si="9"/>
        <v/>
      </c>
      <c r="AF260" s="73">
        <f t="shared" si="10"/>
        <v>2.5999999999999998E-4</v>
      </c>
      <c r="AG260" s="11" t="str">
        <f t="shared" si="11"/>
        <v/>
      </c>
      <c r="AH260" s="73">
        <f t="shared" si="12"/>
        <v>2.5999999999999998E-4</v>
      </c>
    </row>
    <row r="261" spans="1:34" ht="14.25" customHeight="1">
      <c r="A261" s="11">
        <v>246</v>
      </c>
      <c r="B261" s="66"/>
      <c r="C261" s="67"/>
      <c r="D261" s="67"/>
      <c r="E261" s="67"/>
      <c r="F261" s="67"/>
      <c r="G261" s="67" t="s">
        <v>35</v>
      </c>
      <c r="H261" s="67">
        <v>42299</v>
      </c>
      <c r="I261" s="6" t="s">
        <v>833</v>
      </c>
      <c r="J261" s="9">
        <v>1748600076</v>
      </c>
      <c r="K261" s="68">
        <v>42277</v>
      </c>
      <c r="L261" s="68">
        <v>46022</v>
      </c>
      <c r="M261" s="68">
        <v>46203</v>
      </c>
      <c r="N261" s="69">
        <f t="shared" si="0"/>
        <v>-7</v>
      </c>
      <c r="O261" s="69">
        <f t="shared" si="1"/>
        <v>0</v>
      </c>
      <c r="P261" s="70">
        <v>7</v>
      </c>
      <c r="Q261" s="70">
        <v>0</v>
      </c>
      <c r="R261" s="70">
        <v>0</v>
      </c>
      <c r="S261" s="68" t="str">
        <f t="shared" si="2"/>
        <v/>
      </c>
      <c r="T261" s="68"/>
      <c r="U261" s="68"/>
      <c r="V261" s="68"/>
      <c r="W261" s="9"/>
      <c r="X261" s="10"/>
      <c r="Y261" s="71">
        <f t="shared" si="3"/>
        <v>0</v>
      </c>
      <c r="Z261" s="73">
        <f t="shared" si="4"/>
        <v>0</v>
      </c>
      <c r="AA261" s="11" t="str">
        <f t="shared" si="5"/>
        <v/>
      </c>
      <c r="AB261" s="73">
        <f t="shared" si="6"/>
        <v>-7</v>
      </c>
      <c r="AC261" s="11" t="str">
        <f t="shared" si="7"/>
        <v/>
      </c>
      <c r="AD261" s="73">
        <f t="shared" si="8"/>
        <v>0</v>
      </c>
      <c r="AE261" s="11" t="str">
        <f t="shared" si="9"/>
        <v/>
      </c>
      <c r="AF261" s="73">
        <f t="shared" si="10"/>
        <v>-6.9997389999999999</v>
      </c>
      <c r="AG261" s="11" t="str">
        <f t="shared" si="11"/>
        <v/>
      </c>
      <c r="AH261" s="73">
        <f t="shared" si="12"/>
        <v>2.61E-4</v>
      </c>
    </row>
    <row r="262" spans="1:34" ht="14.25" customHeight="1">
      <c r="A262" s="11">
        <v>247</v>
      </c>
      <c r="B262" s="66" t="s">
        <v>35</v>
      </c>
      <c r="C262" s="67">
        <v>44440</v>
      </c>
      <c r="D262" s="67">
        <v>44369</v>
      </c>
      <c r="E262" s="67"/>
      <c r="F262" s="67"/>
      <c r="G262" s="67" t="s">
        <v>283</v>
      </c>
      <c r="H262" s="67">
        <v>43879</v>
      </c>
      <c r="I262" s="6" t="s">
        <v>834</v>
      </c>
      <c r="J262" s="9">
        <v>1748701510</v>
      </c>
      <c r="K262" s="68">
        <v>43861</v>
      </c>
      <c r="L262" s="68">
        <v>46022</v>
      </c>
      <c r="M262" s="68">
        <v>46203</v>
      </c>
      <c r="N262" s="69">
        <f t="shared" si="0"/>
        <v>19</v>
      </c>
      <c r="O262" s="69">
        <f t="shared" si="1"/>
        <v>-15</v>
      </c>
      <c r="P262" s="70">
        <v>1</v>
      </c>
      <c r="Q262" s="70">
        <v>35</v>
      </c>
      <c r="R262" s="70">
        <v>20</v>
      </c>
      <c r="S262" s="68" t="str">
        <f t="shared" si="2"/>
        <v/>
      </c>
      <c r="T262" s="68"/>
      <c r="U262" s="68"/>
      <c r="V262" s="68"/>
      <c r="W262" s="68">
        <v>45721</v>
      </c>
      <c r="X262" s="10"/>
      <c r="Y262" s="71">
        <f t="shared" si="3"/>
        <v>35</v>
      </c>
      <c r="Z262" s="73">
        <f t="shared" si="4"/>
        <v>20</v>
      </c>
      <c r="AA262" s="73">
        <f t="shared" si="5"/>
        <v>19</v>
      </c>
      <c r="AB262" s="73">
        <f t="shared" si="6"/>
        <v>19</v>
      </c>
      <c r="AC262" s="73">
        <f t="shared" si="7"/>
        <v>-15</v>
      </c>
      <c r="AD262" s="73">
        <f t="shared" si="8"/>
        <v>-15</v>
      </c>
      <c r="AE262" s="73">
        <f t="shared" si="9"/>
        <v>19.000261999999999</v>
      </c>
      <c r="AF262" s="73">
        <f t="shared" si="10"/>
        <v>19.000261999999999</v>
      </c>
      <c r="AG262" s="73">
        <f t="shared" si="11"/>
        <v>-14.999738000000001</v>
      </c>
      <c r="AH262" s="73">
        <f t="shared" si="12"/>
        <v>-14.999738000000001</v>
      </c>
    </row>
    <row r="263" spans="1:34" ht="14.25" customHeight="1">
      <c r="A263" s="11">
        <v>248</v>
      </c>
      <c r="B263" s="66"/>
      <c r="C263" s="67"/>
      <c r="D263" s="67"/>
      <c r="E263" s="67"/>
      <c r="F263" s="67"/>
      <c r="G263" s="67" t="s">
        <v>35</v>
      </c>
      <c r="H263" s="67">
        <v>43404</v>
      </c>
      <c r="I263" s="6" t="s">
        <v>835</v>
      </c>
      <c r="J263" s="9">
        <v>1758100190</v>
      </c>
      <c r="K263" s="68">
        <v>43373</v>
      </c>
      <c r="L263" s="68">
        <v>46022</v>
      </c>
      <c r="M263" s="68">
        <v>46203</v>
      </c>
      <c r="N263" s="69">
        <f t="shared" si="0"/>
        <v>85</v>
      </c>
      <c r="O263" s="69">
        <f t="shared" si="1"/>
        <v>-7</v>
      </c>
      <c r="P263" s="70">
        <v>28</v>
      </c>
      <c r="Q263" s="70">
        <v>120</v>
      </c>
      <c r="R263" s="70">
        <v>113</v>
      </c>
      <c r="S263" s="68" t="str">
        <f t="shared" si="2"/>
        <v/>
      </c>
      <c r="T263" s="68"/>
      <c r="U263" s="68"/>
      <c r="V263" s="68"/>
      <c r="W263" s="9"/>
      <c r="X263" s="10"/>
      <c r="Y263" s="71">
        <f t="shared" si="3"/>
        <v>120</v>
      </c>
      <c r="Z263" s="73">
        <f t="shared" si="4"/>
        <v>113</v>
      </c>
      <c r="AA263" s="11" t="str">
        <f t="shared" si="5"/>
        <v/>
      </c>
      <c r="AB263" s="73">
        <f t="shared" si="6"/>
        <v>85</v>
      </c>
      <c r="AC263" s="11" t="str">
        <f t="shared" si="7"/>
        <v/>
      </c>
      <c r="AD263" s="73">
        <f t="shared" si="8"/>
        <v>-7</v>
      </c>
      <c r="AE263" s="11" t="str">
        <f t="shared" si="9"/>
        <v/>
      </c>
      <c r="AF263" s="73">
        <f t="shared" si="10"/>
        <v>85.000263000000004</v>
      </c>
      <c r="AG263" s="11" t="str">
        <f t="shared" si="11"/>
        <v/>
      </c>
      <c r="AH263" s="73">
        <f t="shared" si="12"/>
        <v>-6.9997369999999997</v>
      </c>
    </row>
    <row r="264" spans="1:34" ht="14.25" customHeight="1">
      <c r="A264" s="11">
        <v>249</v>
      </c>
      <c r="B264" s="66"/>
      <c r="C264" s="67"/>
      <c r="D264" s="67"/>
      <c r="E264" s="67"/>
      <c r="F264" s="67"/>
      <c r="G264" s="67" t="s">
        <v>35</v>
      </c>
      <c r="H264" s="67">
        <v>44361</v>
      </c>
      <c r="I264" s="6" t="s">
        <v>836</v>
      </c>
      <c r="J264" s="9">
        <v>1758102354</v>
      </c>
      <c r="K264" s="68">
        <v>44347</v>
      </c>
      <c r="L264" s="68">
        <v>46022</v>
      </c>
      <c r="M264" s="68">
        <v>46203</v>
      </c>
      <c r="N264" s="69">
        <f t="shared" si="0"/>
        <v>3</v>
      </c>
      <c r="O264" s="69">
        <f t="shared" si="1"/>
        <v>0</v>
      </c>
      <c r="P264" s="70">
        <v>0</v>
      </c>
      <c r="Q264" s="70">
        <v>3</v>
      </c>
      <c r="R264" s="70">
        <v>3</v>
      </c>
      <c r="S264" s="68" t="str">
        <f t="shared" si="2"/>
        <v/>
      </c>
      <c r="T264" s="68"/>
      <c r="U264" s="68"/>
      <c r="V264" s="68"/>
      <c r="W264" s="9"/>
      <c r="X264" s="10"/>
      <c r="Y264" s="71">
        <f t="shared" si="3"/>
        <v>3</v>
      </c>
      <c r="Z264" s="73">
        <f t="shared" si="4"/>
        <v>3</v>
      </c>
      <c r="AA264" s="11" t="str">
        <f t="shared" si="5"/>
        <v/>
      </c>
      <c r="AB264" s="73">
        <f t="shared" si="6"/>
        <v>3</v>
      </c>
      <c r="AC264" s="11" t="str">
        <f t="shared" si="7"/>
        <v/>
      </c>
      <c r="AD264" s="73">
        <f t="shared" si="8"/>
        <v>0</v>
      </c>
      <c r="AE264" s="11" t="str">
        <f t="shared" si="9"/>
        <v/>
      </c>
      <c r="AF264" s="73">
        <f t="shared" si="10"/>
        <v>3.000264</v>
      </c>
      <c r="AG264" s="11" t="str">
        <f t="shared" si="11"/>
        <v/>
      </c>
      <c r="AH264" s="73">
        <f t="shared" si="12"/>
        <v>2.6400000000000002E-4</v>
      </c>
    </row>
    <row r="265" spans="1:34" ht="14.25" customHeight="1">
      <c r="A265" s="11">
        <v>250</v>
      </c>
      <c r="B265" s="66" t="s">
        <v>24</v>
      </c>
      <c r="C265" s="67">
        <v>44621</v>
      </c>
      <c r="D265" s="67"/>
      <c r="E265" s="67"/>
      <c r="F265" s="67"/>
      <c r="G265" s="67"/>
      <c r="H265" s="67"/>
      <c r="I265" s="6" t="s">
        <v>837</v>
      </c>
      <c r="J265" s="9">
        <v>1766400459</v>
      </c>
      <c r="K265" s="68">
        <v>44620</v>
      </c>
      <c r="L265" s="68" t="s">
        <v>230</v>
      </c>
      <c r="M265" s="68">
        <v>44985</v>
      </c>
      <c r="N265" s="69">
        <f t="shared" si="0"/>
        <v>0</v>
      </c>
      <c r="O265" s="69" t="str">
        <f t="shared" si="1"/>
        <v>N/A</v>
      </c>
      <c r="P265" s="70">
        <v>0</v>
      </c>
      <c r="Q265" s="70"/>
      <c r="R265" s="70">
        <v>0</v>
      </c>
      <c r="S265" s="68">
        <f t="shared" si="2"/>
        <v>44983</v>
      </c>
      <c r="T265" s="68">
        <v>44983</v>
      </c>
      <c r="U265" s="68"/>
      <c r="V265" s="68"/>
      <c r="W265" s="9"/>
      <c r="X265" s="10"/>
      <c r="Y265" s="65" t="str">
        <f t="shared" si="3"/>
        <v/>
      </c>
      <c r="Z265" s="11" t="str">
        <f t="shared" si="4"/>
        <v/>
      </c>
      <c r="AA265" s="73">
        <f t="shared" si="5"/>
        <v>0</v>
      </c>
      <c r="AB265" s="11" t="str">
        <f t="shared" si="6"/>
        <v/>
      </c>
      <c r="AC265" s="11" t="str">
        <f t="shared" si="7"/>
        <v/>
      </c>
      <c r="AD265" s="11" t="str">
        <f t="shared" si="8"/>
        <v/>
      </c>
      <c r="AE265" s="73">
        <f t="shared" si="9"/>
        <v>2.6499999999999999E-4</v>
      </c>
      <c r="AF265" s="11" t="str">
        <f t="shared" si="10"/>
        <v/>
      </c>
      <c r="AG265" s="11" t="str">
        <f t="shared" si="11"/>
        <v/>
      </c>
      <c r="AH265" s="11" t="str">
        <f t="shared" si="12"/>
        <v/>
      </c>
    </row>
    <row r="266" spans="1:34" ht="14.25" customHeight="1">
      <c r="A266" s="11">
        <v>251</v>
      </c>
      <c r="B266" s="66" t="s">
        <v>35</v>
      </c>
      <c r="C266" s="67">
        <v>44287</v>
      </c>
      <c r="D266" s="67">
        <v>44354</v>
      </c>
      <c r="E266" s="67"/>
      <c r="F266" s="67"/>
      <c r="G266" s="67"/>
      <c r="H266" s="67"/>
      <c r="I266" s="6" t="s">
        <v>838</v>
      </c>
      <c r="J266" s="9">
        <v>1768701762</v>
      </c>
      <c r="K266" s="68">
        <v>44286</v>
      </c>
      <c r="L266" s="68">
        <v>46022</v>
      </c>
      <c r="M266" s="68">
        <v>46203</v>
      </c>
      <c r="N266" s="69">
        <f t="shared" si="0"/>
        <v>4</v>
      </c>
      <c r="O266" s="69">
        <f t="shared" si="1"/>
        <v>-1</v>
      </c>
      <c r="P266" s="70">
        <v>8</v>
      </c>
      <c r="Q266" s="70">
        <v>13</v>
      </c>
      <c r="R266" s="70">
        <v>12</v>
      </c>
      <c r="S266" s="68" t="str">
        <f t="shared" si="2"/>
        <v/>
      </c>
      <c r="T266" s="68"/>
      <c r="U266" s="68"/>
      <c r="V266" s="68"/>
      <c r="W266" s="9"/>
      <c r="X266" s="10"/>
      <c r="Y266" s="71">
        <f t="shared" si="3"/>
        <v>13</v>
      </c>
      <c r="Z266" s="73">
        <f t="shared" si="4"/>
        <v>12</v>
      </c>
      <c r="AA266" s="73">
        <f t="shared" si="5"/>
        <v>4</v>
      </c>
      <c r="AB266" s="11" t="str">
        <f t="shared" si="6"/>
        <v/>
      </c>
      <c r="AC266" s="73">
        <f t="shared" si="7"/>
        <v>-1</v>
      </c>
      <c r="AD266" s="11" t="str">
        <f t="shared" si="8"/>
        <v/>
      </c>
      <c r="AE266" s="73">
        <f t="shared" si="9"/>
        <v>4.0002659999999999</v>
      </c>
      <c r="AF266" s="11" t="str">
        <f t="shared" si="10"/>
        <v/>
      </c>
      <c r="AG266" s="73">
        <f t="shared" si="11"/>
        <v>-0.99973400000000001</v>
      </c>
      <c r="AH266" s="11" t="str">
        <f t="shared" si="12"/>
        <v/>
      </c>
    </row>
    <row r="267" spans="1:34" ht="14.25" customHeight="1">
      <c r="A267" s="11">
        <v>252</v>
      </c>
      <c r="B267" s="66" t="s">
        <v>35</v>
      </c>
      <c r="C267" s="67">
        <v>44986</v>
      </c>
      <c r="D267" s="67"/>
      <c r="E267" s="67"/>
      <c r="F267" s="67"/>
      <c r="G267" s="67" t="s">
        <v>35</v>
      </c>
      <c r="H267" s="67">
        <v>44832</v>
      </c>
      <c r="I267" s="6" t="s">
        <v>839</v>
      </c>
      <c r="J267" s="9">
        <v>1778100895</v>
      </c>
      <c r="K267" s="68">
        <v>44804</v>
      </c>
      <c r="L267" s="68">
        <v>46022</v>
      </c>
      <c r="M267" s="68">
        <v>46203</v>
      </c>
      <c r="N267" s="69">
        <f t="shared" si="0"/>
        <v>1</v>
      </c>
      <c r="O267" s="69">
        <f t="shared" si="1"/>
        <v>-2</v>
      </c>
      <c r="P267" s="70">
        <v>1</v>
      </c>
      <c r="Q267" s="70">
        <v>4</v>
      </c>
      <c r="R267" s="70">
        <v>2</v>
      </c>
      <c r="S267" s="68" t="str">
        <f t="shared" si="2"/>
        <v/>
      </c>
      <c r="T267" s="68"/>
      <c r="U267" s="68"/>
      <c r="V267" s="68"/>
      <c r="W267" s="9"/>
      <c r="X267" s="10"/>
      <c r="Y267" s="71">
        <f t="shared" si="3"/>
        <v>4</v>
      </c>
      <c r="Z267" s="73">
        <f t="shared" si="4"/>
        <v>2</v>
      </c>
      <c r="AA267" s="73">
        <f t="shared" si="5"/>
        <v>1</v>
      </c>
      <c r="AB267" s="73">
        <f t="shared" si="6"/>
        <v>1</v>
      </c>
      <c r="AC267" s="73">
        <f t="shared" si="7"/>
        <v>-2</v>
      </c>
      <c r="AD267" s="73">
        <f t="shared" si="8"/>
        <v>-2</v>
      </c>
      <c r="AE267" s="73">
        <f t="shared" si="9"/>
        <v>1.000267</v>
      </c>
      <c r="AF267" s="73">
        <f t="shared" si="10"/>
        <v>1.000267</v>
      </c>
      <c r="AG267" s="73">
        <f t="shared" si="11"/>
        <v>-1.999733</v>
      </c>
      <c r="AH267" s="73">
        <f t="shared" si="12"/>
        <v>-1.999733</v>
      </c>
    </row>
    <row r="268" spans="1:34" ht="14.25" customHeight="1">
      <c r="A268" s="11">
        <v>253</v>
      </c>
      <c r="B268" s="66"/>
      <c r="C268" s="67"/>
      <c r="D268" s="67"/>
      <c r="E268" s="67"/>
      <c r="F268" s="67"/>
      <c r="G268" s="67" t="s">
        <v>24</v>
      </c>
      <c r="H268" s="67">
        <v>44300</v>
      </c>
      <c r="I268" s="6" t="s">
        <v>840</v>
      </c>
      <c r="J268" s="9">
        <v>1778600148</v>
      </c>
      <c r="K268" s="68">
        <v>44286</v>
      </c>
      <c r="L268" s="68" t="s">
        <v>230</v>
      </c>
      <c r="M268" s="68">
        <v>44957</v>
      </c>
      <c r="N268" s="69">
        <f t="shared" si="0"/>
        <v>-9</v>
      </c>
      <c r="O268" s="69" t="str">
        <f t="shared" si="1"/>
        <v>N/A</v>
      </c>
      <c r="P268" s="70">
        <v>9</v>
      </c>
      <c r="Q268" s="70"/>
      <c r="R268" s="70">
        <v>0</v>
      </c>
      <c r="S268" s="68">
        <f t="shared" si="2"/>
        <v>44957</v>
      </c>
      <c r="T268" s="68">
        <v>44957</v>
      </c>
      <c r="U268" s="68"/>
      <c r="V268" s="68"/>
      <c r="W268" s="9"/>
      <c r="X268" s="10"/>
      <c r="Y268" s="65" t="str">
        <f t="shared" si="3"/>
        <v/>
      </c>
      <c r="Z268" s="11" t="str">
        <f t="shared" si="4"/>
        <v/>
      </c>
      <c r="AA268" s="11" t="str">
        <f t="shared" si="5"/>
        <v/>
      </c>
      <c r="AB268" s="73">
        <f t="shared" si="6"/>
        <v>-9</v>
      </c>
      <c r="AC268" s="11" t="str">
        <f t="shared" si="7"/>
        <v/>
      </c>
      <c r="AD268" s="11" t="str">
        <f t="shared" si="8"/>
        <v/>
      </c>
      <c r="AE268" s="11" t="str">
        <f t="shared" si="9"/>
        <v/>
      </c>
      <c r="AF268" s="73">
        <f t="shared" si="10"/>
        <v>-8.9997319999999998</v>
      </c>
      <c r="AG268" s="11" t="str">
        <f t="shared" si="11"/>
        <v/>
      </c>
      <c r="AH268" s="11" t="str">
        <f t="shared" si="12"/>
        <v/>
      </c>
    </row>
    <row r="269" spans="1:34" ht="14.25" customHeight="1">
      <c r="A269" s="11">
        <v>254</v>
      </c>
      <c r="B269" s="66" t="s">
        <v>35</v>
      </c>
      <c r="C269" s="67">
        <v>42835</v>
      </c>
      <c r="D269" s="67"/>
      <c r="E269" s="67"/>
      <c r="F269" s="67"/>
      <c r="G269" s="67"/>
      <c r="H269" s="67"/>
      <c r="I269" s="6" t="s">
        <v>841</v>
      </c>
      <c r="J269" s="9">
        <v>1778800119</v>
      </c>
      <c r="K269" s="68">
        <v>42825</v>
      </c>
      <c r="L269" s="68">
        <v>46022</v>
      </c>
      <c r="M269" s="68">
        <v>46203</v>
      </c>
      <c r="N269" s="69">
        <f t="shared" si="0"/>
        <v>-8</v>
      </c>
      <c r="O269" s="69">
        <f t="shared" si="1"/>
        <v>0</v>
      </c>
      <c r="P269" s="70">
        <v>8</v>
      </c>
      <c r="Q269" s="70">
        <v>0</v>
      </c>
      <c r="R269" s="70">
        <v>0</v>
      </c>
      <c r="S269" s="68" t="str">
        <f t="shared" si="2"/>
        <v/>
      </c>
      <c r="T269" s="68"/>
      <c r="U269" s="68"/>
      <c r="V269" s="68"/>
      <c r="W269" s="9"/>
      <c r="X269" s="10" t="s">
        <v>842</v>
      </c>
      <c r="Y269" s="71">
        <f t="shared" si="3"/>
        <v>0</v>
      </c>
      <c r="Z269" s="73">
        <f t="shared" si="4"/>
        <v>0</v>
      </c>
      <c r="AA269" s="73">
        <f t="shared" si="5"/>
        <v>-8</v>
      </c>
      <c r="AB269" s="11" t="str">
        <f t="shared" si="6"/>
        <v/>
      </c>
      <c r="AC269" s="73">
        <f t="shared" si="7"/>
        <v>0</v>
      </c>
      <c r="AD269" s="11" t="str">
        <f t="shared" si="8"/>
        <v/>
      </c>
      <c r="AE269" s="73">
        <f t="shared" si="9"/>
        <v>-7.9997309999999997</v>
      </c>
      <c r="AF269" s="11" t="str">
        <f t="shared" si="10"/>
        <v/>
      </c>
      <c r="AG269" s="73">
        <f t="shared" si="11"/>
        <v>2.6899999999999998E-4</v>
      </c>
      <c r="AH269" s="11" t="str">
        <f t="shared" si="12"/>
        <v/>
      </c>
    </row>
    <row r="270" spans="1:34" ht="14.25" customHeight="1">
      <c r="A270" s="11">
        <v>255</v>
      </c>
      <c r="B270" s="66"/>
      <c r="C270" s="67"/>
      <c r="D270" s="67"/>
      <c r="E270" s="67"/>
      <c r="F270" s="67"/>
      <c r="G270" s="67" t="s">
        <v>35</v>
      </c>
      <c r="H270" s="67">
        <v>45033</v>
      </c>
      <c r="I270" s="6" t="s">
        <v>843</v>
      </c>
      <c r="J270" s="9">
        <v>1788101922</v>
      </c>
      <c r="K270" s="68">
        <v>45016</v>
      </c>
      <c r="L270" s="68">
        <v>46022</v>
      </c>
      <c r="M270" s="68">
        <v>46203</v>
      </c>
      <c r="N270" s="69">
        <f t="shared" si="0"/>
        <v>3</v>
      </c>
      <c r="O270" s="69">
        <f t="shared" si="1"/>
        <v>7</v>
      </c>
      <c r="P270" s="70">
        <v>10</v>
      </c>
      <c r="Q270" s="70">
        <v>6</v>
      </c>
      <c r="R270" s="70">
        <v>13</v>
      </c>
      <c r="S270" s="68" t="str">
        <f t="shared" si="2"/>
        <v/>
      </c>
      <c r="T270" s="68"/>
      <c r="U270" s="68"/>
      <c r="V270" s="68"/>
      <c r="W270" s="9"/>
      <c r="X270" s="10"/>
      <c r="Y270" s="71">
        <f t="shared" si="3"/>
        <v>6</v>
      </c>
      <c r="Z270" s="73">
        <f t="shared" si="4"/>
        <v>13</v>
      </c>
      <c r="AA270" s="11" t="str">
        <f t="shared" si="5"/>
        <v/>
      </c>
      <c r="AB270" s="73">
        <f t="shared" si="6"/>
        <v>3</v>
      </c>
      <c r="AC270" s="11" t="str">
        <f t="shared" si="7"/>
        <v/>
      </c>
      <c r="AD270" s="73">
        <f t="shared" si="8"/>
        <v>7</v>
      </c>
      <c r="AE270" s="11" t="str">
        <f t="shared" si="9"/>
        <v/>
      </c>
      <c r="AF270" s="73">
        <f t="shared" si="10"/>
        <v>3.00027</v>
      </c>
      <c r="AG270" s="11" t="str">
        <f t="shared" si="11"/>
        <v/>
      </c>
      <c r="AH270" s="73">
        <f t="shared" si="12"/>
        <v>7.0002700000000004</v>
      </c>
    </row>
    <row r="271" spans="1:34" ht="14.25" customHeight="1">
      <c r="A271" s="11">
        <v>256</v>
      </c>
      <c r="B271" s="66"/>
      <c r="C271" s="67"/>
      <c r="D271" s="67"/>
      <c r="E271" s="67"/>
      <c r="F271" s="67"/>
      <c r="G271" s="67" t="s">
        <v>35</v>
      </c>
      <c r="H271" s="67">
        <v>45412</v>
      </c>
      <c r="I271" s="6" t="s">
        <v>844</v>
      </c>
      <c r="J271" s="9">
        <v>1798701285</v>
      </c>
      <c r="K271" s="68">
        <v>45382</v>
      </c>
      <c r="L271" s="68">
        <v>46022</v>
      </c>
      <c r="M271" s="68">
        <v>46203</v>
      </c>
      <c r="N271" s="69">
        <f t="shared" ref="N271:N525" si="13">R271-P271</f>
        <v>-1</v>
      </c>
      <c r="O271" s="69">
        <f t="shared" ref="O271:O525" si="14">IF(M271&lt;DATE(2026,1,1),"N/A",IF(K271&gt;=DATE(2026,1,1),R271-P271,R271-Q271))</f>
        <v>-3</v>
      </c>
      <c r="P271" s="70">
        <v>8</v>
      </c>
      <c r="Q271" s="70">
        <v>10</v>
      </c>
      <c r="R271" s="70">
        <v>7</v>
      </c>
      <c r="S271" s="68" t="str">
        <f t="shared" ref="S271:S525" si="15">IF(OR(LEFT(B271,6)="Active",G271="Active"),"",IF(COUNT(C271,E271,F271)&gt;0,IF(COUNT(T271)=0,"",T271),IF(COUNT(T271:W271)=0,"",MIN(T271:W271))))</f>
        <v/>
      </c>
      <c r="T271" s="68"/>
      <c r="U271" s="68"/>
      <c r="V271" s="68"/>
      <c r="W271" s="9"/>
      <c r="X271" s="10"/>
      <c r="Y271" s="71">
        <f t="shared" ref="Y271:Y525" si="16">IF($M271&lt;DATE(2026,1,1),"",IF($K271&gt;=DATE(2026,1,1),$P271,$Q271))</f>
        <v>10</v>
      </c>
      <c r="Z271" s="73">
        <f t="shared" ref="Z271:Z525" si="17">IF($M271&lt;DATE(2026,1,1),"",$R271)</f>
        <v>7</v>
      </c>
      <c r="AA271" s="11" t="str">
        <f t="shared" ref="AA271:AA525" si="18">IF($B271="","",IF(ISNUMBER($N271),$N271,""))</f>
        <v/>
      </c>
      <c r="AB271" s="73">
        <f t="shared" ref="AB271:AB525" si="19">IF($G271="","",IF(ISNUMBER($N271),$N271,""))</f>
        <v>-1</v>
      </c>
      <c r="AC271" s="11" t="str">
        <f t="shared" ref="AC271:AC525" si="20">IF($B271="","",IF(ISNUMBER($O271),$O271,""))</f>
        <v/>
      </c>
      <c r="AD271" s="73">
        <f t="shared" ref="AD271:AD525" si="21">IF($G271="","",IF(ISNUMBER($O271),$O271,""))</f>
        <v>-3</v>
      </c>
      <c r="AE271" s="11" t="str">
        <f t="shared" ref="AE271:AE525" si="22">IF($AA271="","",$AA271+ROW()/1000000)</f>
        <v/>
      </c>
      <c r="AF271" s="73">
        <f t="shared" ref="AF271:AF525" si="23">IF($AB271="","",$AB271+ROW()/1000000)</f>
        <v>-0.99972899999999998</v>
      </c>
      <c r="AG271" s="11" t="str">
        <f t="shared" ref="AG271:AG525" si="24">IF($AC271="","",$AC271+ROW()/1000000)</f>
        <v/>
      </c>
      <c r="AH271" s="73">
        <f t="shared" ref="AH271:AH525" si="25">IF($AD271="","",$AD271+ROW()/1000000)</f>
        <v>-2.9997289999999999</v>
      </c>
    </row>
    <row r="272" spans="1:34" ht="14.25" customHeight="1">
      <c r="A272" s="11">
        <v>257</v>
      </c>
      <c r="B272" s="66"/>
      <c r="C272" s="67"/>
      <c r="D272" s="67"/>
      <c r="E272" s="67"/>
      <c r="F272" s="67"/>
      <c r="G272" s="67" t="s">
        <v>35</v>
      </c>
      <c r="H272" s="67">
        <v>44988</v>
      </c>
      <c r="I272" s="6" t="s">
        <v>845</v>
      </c>
      <c r="J272" s="9">
        <v>1798802961</v>
      </c>
      <c r="K272" s="68">
        <v>44985</v>
      </c>
      <c r="L272" s="68">
        <v>46022</v>
      </c>
      <c r="M272" s="68">
        <v>46203</v>
      </c>
      <c r="N272" s="69">
        <f t="shared" si="13"/>
        <v>7</v>
      </c>
      <c r="O272" s="69">
        <f t="shared" si="14"/>
        <v>-1</v>
      </c>
      <c r="P272" s="70">
        <v>0</v>
      </c>
      <c r="Q272" s="70">
        <v>8</v>
      </c>
      <c r="R272" s="70">
        <v>7</v>
      </c>
      <c r="S272" s="68" t="str">
        <f t="shared" si="15"/>
        <v/>
      </c>
      <c r="T272" s="68"/>
      <c r="U272" s="68"/>
      <c r="V272" s="68"/>
      <c r="W272" s="9"/>
      <c r="X272" s="10"/>
      <c r="Y272" s="71">
        <f t="shared" si="16"/>
        <v>8</v>
      </c>
      <c r="Z272" s="73">
        <f t="shared" si="17"/>
        <v>7</v>
      </c>
      <c r="AA272" s="11" t="str">
        <f t="shared" si="18"/>
        <v/>
      </c>
      <c r="AB272" s="73">
        <f t="shared" si="19"/>
        <v>7</v>
      </c>
      <c r="AC272" s="11" t="str">
        <f t="shared" si="20"/>
        <v/>
      </c>
      <c r="AD272" s="73">
        <f t="shared" si="21"/>
        <v>-1</v>
      </c>
      <c r="AE272" s="11" t="str">
        <f t="shared" si="22"/>
        <v/>
      </c>
      <c r="AF272" s="73">
        <f t="shared" si="23"/>
        <v>7.0002719999999998</v>
      </c>
      <c r="AG272" s="11" t="str">
        <f t="shared" si="24"/>
        <v/>
      </c>
      <c r="AH272" s="73">
        <f t="shared" si="25"/>
        <v>-0.99972799999999995</v>
      </c>
    </row>
    <row r="273" spans="1:34" ht="14.25" customHeight="1">
      <c r="A273" s="11">
        <v>258</v>
      </c>
      <c r="B273" s="66"/>
      <c r="C273" s="67"/>
      <c r="D273" s="67"/>
      <c r="E273" s="67"/>
      <c r="F273" s="67"/>
      <c r="G273" s="67" t="s">
        <v>35</v>
      </c>
      <c r="H273" s="67">
        <v>45876</v>
      </c>
      <c r="I273" s="6" t="s">
        <v>846</v>
      </c>
      <c r="J273" s="94">
        <v>1828801992</v>
      </c>
      <c r="K273" s="68">
        <v>45869</v>
      </c>
      <c r="L273" s="68">
        <v>46022</v>
      </c>
      <c r="M273" s="68">
        <v>46203</v>
      </c>
      <c r="N273" s="69">
        <f t="shared" si="13"/>
        <v>13</v>
      </c>
      <c r="O273" s="69">
        <f t="shared" si="14"/>
        <v>12</v>
      </c>
      <c r="P273" s="70">
        <v>21</v>
      </c>
      <c r="Q273" s="70">
        <v>22</v>
      </c>
      <c r="R273" s="70">
        <v>34</v>
      </c>
      <c r="S273" s="68" t="str">
        <f t="shared" si="15"/>
        <v/>
      </c>
      <c r="T273" s="68"/>
      <c r="U273" s="95"/>
      <c r="V273" s="68"/>
      <c r="W273" s="6"/>
      <c r="X273" s="10"/>
      <c r="Y273" s="71">
        <f t="shared" si="16"/>
        <v>22</v>
      </c>
      <c r="Z273" s="73">
        <f t="shared" si="17"/>
        <v>34</v>
      </c>
      <c r="AA273" s="11" t="str">
        <f t="shared" si="18"/>
        <v/>
      </c>
      <c r="AB273" s="73">
        <f t="shared" si="19"/>
        <v>13</v>
      </c>
      <c r="AC273" s="11" t="str">
        <f t="shared" si="20"/>
        <v/>
      </c>
      <c r="AD273" s="73">
        <f t="shared" si="21"/>
        <v>12</v>
      </c>
      <c r="AE273" s="11" t="str">
        <f t="shared" si="22"/>
        <v/>
      </c>
      <c r="AF273" s="73">
        <f t="shared" si="23"/>
        <v>13.000273</v>
      </c>
      <c r="AG273" s="11" t="str">
        <f t="shared" si="24"/>
        <v/>
      </c>
      <c r="AH273" s="73">
        <f t="shared" si="25"/>
        <v>12.000273</v>
      </c>
    </row>
    <row r="274" spans="1:34" ht="14.25" customHeight="1">
      <c r="A274" s="11">
        <v>259</v>
      </c>
      <c r="B274" s="66"/>
      <c r="C274" s="67"/>
      <c r="D274" s="67"/>
      <c r="E274" s="67"/>
      <c r="F274" s="67"/>
      <c r="G274" s="67" t="s">
        <v>35</v>
      </c>
      <c r="H274" s="67">
        <v>45996</v>
      </c>
      <c r="I274" s="6" t="s">
        <v>847</v>
      </c>
      <c r="J274" s="94">
        <v>1838800206</v>
      </c>
      <c r="K274" s="68">
        <v>45991</v>
      </c>
      <c r="L274" s="68">
        <v>46022</v>
      </c>
      <c r="M274" s="68">
        <v>46203</v>
      </c>
      <c r="N274" s="69">
        <f t="shared" si="13"/>
        <v>3</v>
      </c>
      <c r="O274" s="69">
        <f t="shared" si="14"/>
        <v>2</v>
      </c>
      <c r="P274" s="70">
        <v>39</v>
      </c>
      <c r="Q274" s="70">
        <v>40</v>
      </c>
      <c r="R274" s="70">
        <v>42</v>
      </c>
      <c r="S274" s="68" t="str">
        <f t="shared" si="15"/>
        <v/>
      </c>
      <c r="T274" s="68"/>
      <c r="U274" s="95"/>
      <c r="V274" s="68"/>
      <c r="W274" s="6"/>
      <c r="X274" s="10"/>
      <c r="Y274" s="71">
        <f t="shared" si="16"/>
        <v>40</v>
      </c>
      <c r="Z274" s="73">
        <f t="shared" si="17"/>
        <v>42</v>
      </c>
      <c r="AA274" s="11" t="str">
        <f t="shared" si="18"/>
        <v/>
      </c>
      <c r="AB274" s="73">
        <f t="shared" si="19"/>
        <v>3</v>
      </c>
      <c r="AC274" s="11" t="str">
        <f t="shared" si="20"/>
        <v/>
      </c>
      <c r="AD274" s="73">
        <f t="shared" si="21"/>
        <v>2</v>
      </c>
      <c r="AE274" s="11" t="str">
        <f t="shared" si="22"/>
        <v/>
      </c>
      <c r="AF274" s="73">
        <f t="shared" si="23"/>
        <v>3.0002740000000001</v>
      </c>
      <c r="AG274" s="11" t="str">
        <f t="shared" si="24"/>
        <v/>
      </c>
      <c r="AH274" s="73">
        <f t="shared" si="25"/>
        <v>2.0002740000000001</v>
      </c>
    </row>
    <row r="275" spans="1:34" ht="14.25" customHeight="1">
      <c r="A275" s="11">
        <v>260</v>
      </c>
      <c r="B275" s="66"/>
      <c r="C275" s="67"/>
      <c r="D275" s="67"/>
      <c r="E275" s="67"/>
      <c r="F275" s="67"/>
      <c r="G275" s="67" t="s">
        <v>35</v>
      </c>
      <c r="H275" s="67">
        <v>45247</v>
      </c>
      <c r="I275" s="6" t="s">
        <v>848</v>
      </c>
      <c r="J275" s="9">
        <v>1858102725</v>
      </c>
      <c r="K275" s="68">
        <v>45230</v>
      </c>
      <c r="L275" s="68">
        <v>46022</v>
      </c>
      <c r="M275" s="68">
        <v>46203</v>
      </c>
      <c r="N275" s="69">
        <f t="shared" si="13"/>
        <v>8</v>
      </c>
      <c r="O275" s="69">
        <f t="shared" si="14"/>
        <v>0</v>
      </c>
      <c r="P275" s="70">
        <v>6</v>
      </c>
      <c r="Q275" s="70">
        <v>14</v>
      </c>
      <c r="R275" s="70">
        <v>14</v>
      </c>
      <c r="S275" s="68" t="str">
        <f t="shared" si="15"/>
        <v/>
      </c>
      <c r="T275" s="68"/>
      <c r="U275" s="68"/>
      <c r="V275" s="68"/>
      <c r="W275" s="9"/>
      <c r="X275" s="10"/>
      <c r="Y275" s="71">
        <f t="shared" si="16"/>
        <v>14</v>
      </c>
      <c r="Z275" s="73">
        <f t="shared" si="17"/>
        <v>14</v>
      </c>
      <c r="AA275" s="11" t="str">
        <f t="shared" si="18"/>
        <v/>
      </c>
      <c r="AB275" s="73">
        <f t="shared" si="19"/>
        <v>8</v>
      </c>
      <c r="AC275" s="11" t="str">
        <f t="shared" si="20"/>
        <v/>
      </c>
      <c r="AD275" s="73">
        <f t="shared" si="21"/>
        <v>0</v>
      </c>
      <c r="AE275" s="11" t="str">
        <f t="shared" si="22"/>
        <v/>
      </c>
      <c r="AF275" s="73">
        <f t="shared" si="23"/>
        <v>8.0002750000000002</v>
      </c>
      <c r="AG275" s="11" t="str">
        <f t="shared" si="24"/>
        <v/>
      </c>
      <c r="AH275" s="73">
        <f t="shared" si="25"/>
        <v>2.7500000000000002E-4</v>
      </c>
    </row>
    <row r="276" spans="1:34" ht="14.25" customHeight="1">
      <c r="A276" s="11">
        <v>261</v>
      </c>
      <c r="B276" s="66" t="s">
        <v>35</v>
      </c>
      <c r="C276" s="67">
        <v>43633</v>
      </c>
      <c r="D276" s="67"/>
      <c r="E276" s="67"/>
      <c r="F276" s="67"/>
      <c r="G276" s="67"/>
      <c r="H276" s="67"/>
      <c r="I276" s="6" t="s">
        <v>849</v>
      </c>
      <c r="J276" s="9">
        <v>1858700660</v>
      </c>
      <c r="K276" s="68">
        <v>43616</v>
      </c>
      <c r="L276" s="68">
        <v>46022</v>
      </c>
      <c r="M276" s="68">
        <v>46203</v>
      </c>
      <c r="N276" s="69">
        <f t="shared" si="13"/>
        <v>-9</v>
      </c>
      <c r="O276" s="69">
        <f t="shared" si="14"/>
        <v>0</v>
      </c>
      <c r="P276" s="70">
        <v>9</v>
      </c>
      <c r="Q276" s="70">
        <v>0</v>
      </c>
      <c r="R276" s="70">
        <v>0</v>
      </c>
      <c r="S276" s="68" t="str">
        <f t="shared" si="15"/>
        <v/>
      </c>
      <c r="T276" s="68"/>
      <c r="U276" s="68"/>
      <c r="V276" s="68"/>
      <c r="W276" s="9"/>
      <c r="X276" s="10" t="s">
        <v>850</v>
      </c>
      <c r="Y276" s="71">
        <f t="shared" si="16"/>
        <v>0</v>
      </c>
      <c r="Z276" s="73">
        <f t="shared" si="17"/>
        <v>0</v>
      </c>
      <c r="AA276" s="73">
        <f t="shared" si="18"/>
        <v>-9</v>
      </c>
      <c r="AB276" s="11" t="str">
        <f t="shared" si="19"/>
        <v/>
      </c>
      <c r="AC276" s="73">
        <f t="shared" si="20"/>
        <v>0</v>
      </c>
      <c r="AD276" s="11" t="str">
        <f t="shared" si="21"/>
        <v/>
      </c>
      <c r="AE276" s="73">
        <f t="shared" si="22"/>
        <v>-8.9997240000000005</v>
      </c>
      <c r="AF276" s="11" t="str">
        <f t="shared" si="23"/>
        <v/>
      </c>
      <c r="AG276" s="73">
        <f t="shared" si="24"/>
        <v>2.7599999999999999E-4</v>
      </c>
      <c r="AH276" s="11" t="str">
        <f t="shared" si="25"/>
        <v/>
      </c>
    </row>
    <row r="277" spans="1:34" ht="14.25" customHeight="1">
      <c r="A277" s="11">
        <v>262</v>
      </c>
      <c r="B277" s="66"/>
      <c r="C277" s="67"/>
      <c r="D277" s="67"/>
      <c r="E277" s="67"/>
      <c r="F277" s="67"/>
      <c r="G277" s="67" t="s">
        <v>35</v>
      </c>
      <c r="H277" s="67">
        <v>44487</v>
      </c>
      <c r="I277" s="6" t="s">
        <v>851</v>
      </c>
      <c r="J277" s="9">
        <v>1858802030</v>
      </c>
      <c r="K277" s="68">
        <v>44469</v>
      </c>
      <c r="L277" s="68">
        <v>46022</v>
      </c>
      <c r="M277" s="68">
        <v>46203</v>
      </c>
      <c r="N277" s="69">
        <f t="shared" si="13"/>
        <v>0</v>
      </c>
      <c r="O277" s="69">
        <f t="shared" si="14"/>
        <v>0</v>
      </c>
      <c r="P277" s="70">
        <v>0</v>
      </c>
      <c r="Q277" s="70">
        <v>0</v>
      </c>
      <c r="R277" s="70">
        <v>0</v>
      </c>
      <c r="S277" s="68" t="str">
        <f t="shared" si="15"/>
        <v/>
      </c>
      <c r="T277" s="68"/>
      <c r="U277" s="68"/>
      <c r="V277" s="68"/>
      <c r="W277" s="9"/>
      <c r="X277" s="10"/>
      <c r="Y277" s="71">
        <f t="shared" si="16"/>
        <v>0</v>
      </c>
      <c r="Z277" s="73">
        <f t="shared" si="17"/>
        <v>0</v>
      </c>
      <c r="AA277" s="11" t="str">
        <f t="shared" si="18"/>
        <v/>
      </c>
      <c r="AB277" s="73">
        <f t="shared" si="19"/>
        <v>0</v>
      </c>
      <c r="AC277" s="11" t="str">
        <f t="shared" si="20"/>
        <v/>
      </c>
      <c r="AD277" s="73">
        <f t="shared" si="21"/>
        <v>0</v>
      </c>
      <c r="AE277" s="11" t="str">
        <f t="shared" si="22"/>
        <v/>
      </c>
      <c r="AF277" s="73">
        <f t="shared" si="23"/>
        <v>2.7700000000000001E-4</v>
      </c>
      <c r="AG277" s="11" t="str">
        <f t="shared" si="24"/>
        <v/>
      </c>
      <c r="AH277" s="73">
        <f t="shared" si="25"/>
        <v>2.7700000000000001E-4</v>
      </c>
    </row>
    <row r="278" spans="1:34" ht="14.25" customHeight="1">
      <c r="A278" s="11">
        <v>263</v>
      </c>
      <c r="B278" s="66"/>
      <c r="C278" s="67"/>
      <c r="D278" s="67"/>
      <c r="E278" s="67"/>
      <c r="F278" s="67"/>
      <c r="G278" s="67" t="s">
        <v>35</v>
      </c>
      <c r="H278" s="67">
        <v>44412</v>
      </c>
      <c r="I278" s="6" t="s">
        <v>852</v>
      </c>
      <c r="J278" s="9">
        <v>1868600972</v>
      </c>
      <c r="K278" s="68">
        <v>44408</v>
      </c>
      <c r="L278" s="68">
        <v>46022</v>
      </c>
      <c r="M278" s="68">
        <v>46203</v>
      </c>
      <c r="N278" s="69">
        <f t="shared" si="13"/>
        <v>7</v>
      </c>
      <c r="O278" s="69">
        <f t="shared" si="14"/>
        <v>-11</v>
      </c>
      <c r="P278" s="70">
        <v>25</v>
      </c>
      <c r="Q278" s="70">
        <v>43</v>
      </c>
      <c r="R278" s="70">
        <v>32</v>
      </c>
      <c r="S278" s="68" t="str">
        <f t="shared" si="15"/>
        <v/>
      </c>
      <c r="T278" s="68"/>
      <c r="U278" s="68"/>
      <c r="V278" s="68"/>
      <c r="W278" s="9"/>
      <c r="X278" s="10"/>
      <c r="Y278" s="71">
        <f t="shared" si="16"/>
        <v>43</v>
      </c>
      <c r="Z278" s="73">
        <f t="shared" si="17"/>
        <v>32</v>
      </c>
      <c r="AA278" s="11" t="str">
        <f t="shared" si="18"/>
        <v/>
      </c>
      <c r="AB278" s="73">
        <f t="shared" si="19"/>
        <v>7</v>
      </c>
      <c r="AC278" s="11" t="str">
        <f t="shared" si="20"/>
        <v/>
      </c>
      <c r="AD278" s="73">
        <f t="shared" si="21"/>
        <v>-11</v>
      </c>
      <c r="AE278" s="11" t="str">
        <f t="shared" si="22"/>
        <v/>
      </c>
      <c r="AF278" s="73">
        <f t="shared" si="23"/>
        <v>7.0002779999999998</v>
      </c>
      <c r="AG278" s="11" t="str">
        <f t="shared" si="24"/>
        <v/>
      </c>
      <c r="AH278" s="73">
        <f t="shared" si="25"/>
        <v>-10.999722</v>
      </c>
    </row>
    <row r="279" spans="1:34" ht="14.25" customHeight="1">
      <c r="A279" s="11">
        <v>264</v>
      </c>
      <c r="B279" s="66"/>
      <c r="C279" s="67"/>
      <c r="D279" s="67"/>
      <c r="E279" s="67"/>
      <c r="F279" s="67"/>
      <c r="G279" s="67" t="s">
        <v>35</v>
      </c>
      <c r="H279" s="67">
        <v>45849</v>
      </c>
      <c r="I279" s="6" t="s">
        <v>853</v>
      </c>
      <c r="J279" s="94">
        <v>1878103604</v>
      </c>
      <c r="K279" s="68">
        <v>45838</v>
      </c>
      <c r="L279" s="68">
        <v>46022</v>
      </c>
      <c r="M279" s="68">
        <v>46203</v>
      </c>
      <c r="N279" s="69">
        <f t="shared" si="13"/>
        <v>1</v>
      </c>
      <c r="O279" s="69">
        <f t="shared" si="14"/>
        <v>1</v>
      </c>
      <c r="P279" s="70">
        <v>2</v>
      </c>
      <c r="Q279" s="70">
        <v>2</v>
      </c>
      <c r="R279" s="70">
        <v>3</v>
      </c>
      <c r="S279" s="68" t="str">
        <f t="shared" si="15"/>
        <v/>
      </c>
      <c r="T279" s="68"/>
      <c r="U279" s="95"/>
      <c r="V279" s="68"/>
      <c r="W279" s="6"/>
      <c r="X279" s="10"/>
      <c r="Y279" s="71">
        <f t="shared" si="16"/>
        <v>2</v>
      </c>
      <c r="Z279" s="73">
        <f t="shared" si="17"/>
        <v>3</v>
      </c>
      <c r="AA279" s="11" t="str">
        <f t="shared" si="18"/>
        <v/>
      </c>
      <c r="AB279" s="73">
        <f t="shared" si="19"/>
        <v>1</v>
      </c>
      <c r="AC279" s="11" t="str">
        <f t="shared" si="20"/>
        <v/>
      </c>
      <c r="AD279" s="73">
        <f t="shared" si="21"/>
        <v>1</v>
      </c>
      <c r="AE279" s="11" t="str">
        <f t="shared" si="22"/>
        <v/>
      </c>
      <c r="AF279" s="73">
        <f t="shared" si="23"/>
        <v>1.0002789999999999</v>
      </c>
      <c r="AG279" s="11" t="str">
        <f t="shared" si="24"/>
        <v/>
      </c>
      <c r="AH279" s="73">
        <f t="shared" si="25"/>
        <v>1.0002789999999999</v>
      </c>
    </row>
    <row r="280" spans="1:34" ht="14.25" customHeight="1">
      <c r="A280" s="11">
        <v>265</v>
      </c>
      <c r="B280" s="66"/>
      <c r="C280" s="67"/>
      <c r="D280" s="67"/>
      <c r="E280" s="67"/>
      <c r="F280" s="67"/>
      <c r="G280" s="67" t="s">
        <v>35</v>
      </c>
      <c r="H280" s="67">
        <v>45750</v>
      </c>
      <c r="I280" s="6" t="s">
        <v>854</v>
      </c>
      <c r="J280" s="9">
        <v>1878801148</v>
      </c>
      <c r="K280" s="68">
        <v>45747</v>
      </c>
      <c r="L280" s="68">
        <v>46022</v>
      </c>
      <c r="M280" s="68">
        <v>46203</v>
      </c>
      <c r="N280" s="69">
        <f t="shared" si="13"/>
        <v>62</v>
      </c>
      <c r="O280" s="69">
        <f t="shared" si="14"/>
        <v>28</v>
      </c>
      <c r="P280" s="70">
        <v>52</v>
      </c>
      <c r="Q280" s="70">
        <v>86</v>
      </c>
      <c r="R280" s="70">
        <v>114</v>
      </c>
      <c r="S280" s="68" t="str">
        <f t="shared" si="15"/>
        <v/>
      </c>
      <c r="T280" s="68"/>
      <c r="U280" s="68"/>
      <c r="V280" s="68"/>
      <c r="W280" s="9"/>
      <c r="X280" s="10"/>
      <c r="Y280" s="71">
        <f t="shared" si="16"/>
        <v>86</v>
      </c>
      <c r="Z280" s="73">
        <f t="shared" si="17"/>
        <v>114</v>
      </c>
      <c r="AA280" s="11" t="str">
        <f t="shared" si="18"/>
        <v/>
      </c>
      <c r="AB280" s="73">
        <f t="shared" si="19"/>
        <v>62</v>
      </c>
      <c r="AC280" s="11" t="str">
        <f t="shared" si="20"/>
        <v/>
      </c>
      <c r="AD280" s="73">
        <f t="shared" si="21"/>
        <v>28</v>
      </c>
      <c r="AE280" s="11" t="str">
        <f t="shared" si="22"/>
        <v/>
      </c>
      <c r="AF280" s="73">
        <f t="shared" si="23"/>
        <v>62.000279999999997</v>
      </c>
      <c r="AG280" s="11" t="str">
        <f t="shared" si="24"/>
        <v/>
      </c>
      <c r="AH280" s="73">
        <f t="shared" si="25"/>
        <v>28.00028</v>
      </c>
    </row>
    <row r="281" spans="1:34" ht="14.25" customHeight="1">
      <c r="A281" s="11">
        <v>266</v>
      </c>
      <c r="B281" s="66"/>
      <c r="C281" s="67"/>
      <c r="D281" s="67"/>
      <c r="E281" s="67"/>
      <c r="F281" s="67"/>
      <c r="G281" s="67" t="s">
        <v>24</v>
      </c>
      <c r="H281" s="67">
        <v>42536</v>
      </c>
      <c r="I281" s="6" t="s">
        <v>855</v>
      </c>
      <c r="J281" s="9">
        <v>1888100236</v>
      </c>
      <c r="K281" s="68">
        <v>42521</v>
      </c>
      <c r="L281" s="68" t="s">
        <v>230</v>
      </c>
      <c r="M281" s="68">
        <v>44012</v>
      </c>
      <c r="N281" s="69">
        <f t="shared" si="13"/>
        <v>-2</v>
      </c>
      <c r="O281" s="69" t="str">
        <f t="shared" si="14"/>
        <v>N/A</v>
      </c>
      <c r="P281" s="70">
        <v>2</v>
      </c>
      <c r="Q281" s="70"/>
      <c r="R281" s="70">
        <v>0</v>
      </c>
      <c r="S281" s="68">
        <f t="shared" si="15"/>
        <v>44012</v>
      </c>
      <c r="T281" s="68">
        <v>44012</v>
      </c>
      <c r="U281" s="68"/>
      <c r="V281" s="68"/>
      <c r="W281" s="9"/>
      <c r="X281" s="10"/>
      <c r="Y281" s="65" t="str">
        <f t="shared" si="16"/>
        <v/>
      </c>
      <c r="Z281" s="11" t="str">
        <f t="shared" si="17"/>
        <v/>
      </c>
      <c r="AA281" s="11" t="str">
        <f t="shared" si="18"/>
        <v/>
      </c>
      <c r="AB281" s="73">
        <f t="shared" si="19"/>
        <v>-2</v>
      </c>
      <c r="AC281" s="11" t="str">
        <f t="shared" si="20"/>
        <v/>
      </c>
      <c r="AD281" s="11" t="str">
        <f t="shared" si="21"/>
        <v/>
      </c>
      <c r="AE281" s="11" t="str">
        <f t="shared" si="22"/>
        <v/>
      </c>
      <c r="AF281" s="73">
        <f t="shared" si="23"/>
        <v>-1.999719</v>
      </c>
      <c r="AG281" s="11" t="str">
        <f t="shared" si="24"/>
        <v/>
      </c>
      <c r="AH281" s="11" t="str">
        <f t="shared" si="25"/>
        <v/>
      </c>
    </row>
    <row r="282" spans="1:34" ht="14.25" customHeight="1">
      <c r="A282" s="11">
        <v>267</v>
      </c>
      <c r="B282" s="66" t="s">
        <v>35</v>
      </c>
      <c r="C282" s="67">
        <v>42964</v>
      </c>
      <c r="D282" s="67"/>
      <c r="E282" s="67"/>
      <c r="F282" s="67"/>
      <c r="G282" s="67"/>
      <c r="H282" s="67"/>
      <c r="I282" s="6" t="s">
        <v>856</v>
      </c>
      <c r="J282" s="9">
        <v>1888800685</v>
      </c>
      <c r="K282" s="68">
        <v>42947</v>
      </c>
      <c r="L282" s="68">
        <v>46022</v>
      </c>
      <c r="M282" s="68">
        <v>46203</v>
      </c>
      <c r="N282" s="69">
        <f t="shared" si="13"/>
        <v>-4</v>
      </c>
      <c r="O282" s="69">
        <f t="shared" si="14"/>
        <v>0</v>
      </c>
      <c r="P282" s="70">
        <v>5</v>
      </c>
      <c r="Q282" s="70">
        <v>1</v>
      </c>
      <c r="R282" s="70">
        <v>1</v>
      </c>
      <c r="S282" s="68" t="str">
        <f t="shared" si="15"/>
        <v/>
      </c>
      <c r="T282" s="68"/>
      <c r="U282" s="68"/>
      <c r="V282" s="68"/>
      <c r="W282" s="9"/>
      <c r="X282" s="10"/>
      <c r="Y282" s="71">
        <f t="shared" si="16"/>
        <v>1</v>
      </c>
      <c r="Z282" s="73">
        <f t="shared" si="17"/>
        <v>1</v>
      </c>
      <c r="AA282" s="73">
        <f t="shared" si="18"/>
        <v>-4</v>
      </c>
      <c r="AB282" s="11" t="str">
        <f t="shared" si="19"/>
        <v/>
      </c>
      <c r="AC282" s="73">
        <f t="shared" si="20"/>
        <v>0</v>
      </c>
      <c r="AD282" s="11" t="str">
        <f t="shared" si="21"/>
        <v/>
      </c>
      <c r="AE282" s="73">
        <f t="shared" si="22"/>
        <v>-3.9997180000000001</v>
      </c>
      <c r="AF282" s="11" t="str">
        <f t="shared" si="23"/>
        <v/>
      </c>
      <c r="AG282" s="73">
        <f t="shared" si="24"/>
        <v>2.8200000000000002E-4</v>
      </c>
      <c r="AH282" s="11" t="str">
        <f t="shared" si="25"/>
        <v/>
      </c>
    </row>
    <row r="283" spans="1:34" ht="14.25" customHeight="1">
      <c r="A283" s="11">
        <v>268</v>
      </c>
      <c r="B283" s="66" t="s">
        <v>35</v>
      </c>
      <c r="C283" s="67">
        <v>45261</v>
      </c>
      <c r="D283" s="67"/>
      <c r="E283" s="67"/>
      <c r="F283" s="67"/>
      <c r="G283" s="67"/>
      <c r="H283" s="67"/>
      <c r="I283" s="6" t="s">
        <v>857</v>
      </c>
      <c r="J283" s="9">
        <v>1908801294</v>
      </c>
      <c r="K283" s="68">
        <v>45260</v>
      </c>
      <c r="L283" s="68">
        <v>46022</v>
      </c>
      <c r="M283" s="68">
        <v>46203</v>
      </c>
      <c r="N283" s="69">
        <f t="shared" si="13"/>
        <v>-3</v>
      </c>
      <c r="O283" s="69">
        <f t="shared" si="14"/>
        <v>1</v>
      </c>
      <c r="P283" s="70">
        <v>8</v>
      </c>
      <c r="Q283" s="70">
        <v>4</v>
      </c>
      <c r="R283" s="70">
        <v>5</v>
      </c>
      <c r="S283" s="68" t="str">
        <f t="shared" si="15"/>
        <v/>
      </c>
      <c r="T283" s="68"/>
      <c r="U283" s="68"/>
      <c r="V283" s="68"/>
      <c r="W283" s="9"/>
      <c r="X283" s="10"/>
      <c r="Y283" s="71">
        <f t="shared" si="16"/>
        <v>4</v>
      </c>
      <c r="Z283" s="73">
        <f t="shared" si="17"/>
        <v>5</v>
      </c>
      <c r="AA283" s="73">
        <f t="shared" si="18"/>
        <v>-3</v>
      </c>
      <c r="AB283" s="11" t="str">
        <f t="shared" si="19"/>
        <v/>
      </c>
      <c r="AC283" s="73">
        <f t="shared" si="20"/>
        <v>1</v>
      </c>
      <c r="AD283" s="11" t="str">
        <f t="shared" si="21"/>
        <v/>
      </c>
      <c r="AE283" s="73">
        <f t="shared" si="22"/>
        <v>-2.999717</v>
      </c>
      <c r="AF283" s="11" t="str">
        <f t="shared" si="23"/>
        <v/>
      </c>
      <c r="AG283" s="73">
        <f t="shared" si="24"/>
        <v>1.000283</v>
      </c>
      <c r="AH283" s="11" t="str">
        <f t="shared" si="25"/>
        <v/>
      </c>
    </row>
    <row r="284" spans="1:34" ht="14.25" customHeight="1">
      <c r="A284" s="11">
        <v>269</v>
      </c>
      <c r="B284" s="66"/>
      <c r="C284" s="67"/>
      <c r="D284" s="67"/>
      <c r="E284" s="67"/>
      <c r="F284" s="67"/>
      <c r="G284" s="67" t="s">
        <v>35</v>
      </c>
      <c r="H284" s="67">
        <v>45275</v>
      </c>
      <c r="I284" s="6" t="s">
        <v>858</v>
      </c>
      <c r="J284" s="9">
        <v>1908801523</v>
      </c>
      <c r="K284" s="68">
        <v>45260</v>
      </c>
      <c r="L284" s="68">
        <v>46022</v>
      </c>
      <c r="M284" s="68">
        <v>46203</v>
      </c>
      <c r="N284" s="69">
        <f t="shared" si="13"/>
        <v>-8</v>
      </c>
      <c r="O284" s="69">
        <f t="shared" si="14"/>
        <v>0</v>
      </c>
      <c r="P284" s="70">
        <v>13</v>
      </c>
      <c r="Q284" s="70">
        <v>5</v>
      </c>
      <c r="R284" s="70">
        <v>5</v>
      </c>
      <c r="S284" s="68" t="str">
        <f t="shared" si="15"/>
        <v/>
      </c>
      <c r="T284" s="68"/>
      <c r="U284" s="68"/>
      <c r="V284" s="68"/>
      <c r="W284" s="9"/>
      <c r="X284" s="10"/>
      <c r="Y284" s="71">
        <f t="shared" si="16"/>
        <v>5</v>
      </c>
      <c r="Z284" s="73">
        <f t="shared" si="17"/>
        <v>5</v>
      </c>
      <c r="AA284" s="11" t="str">
        <f t="shared" si="18"/>
        <v/>
      </c>
      <c r="AB284" s="73">
        <f t="shared" si="19"/>
        <v>-8</v>
      </c>
      <c r="AC284" s="11" t="str">
        <f t="shared" si="20"/>
        <v/>
      </c>
      <c r="AD284" s="73">
        <f t="shared" si="21"/>
        <v>0</v>
      </c>
      <c r="AE284" s="11" t="str">
        <f t="shared" si="22"/>
        <v/>
      </c>
      <c r="AF284" s="73">
        <f t="shared" si="23"/>
        <v>-7.9997160000000003</v>
      </c>
      <c r="AG284" s="11" t="str">
        <f t="shared" si="24"/>
        <v/>
      </c>
      <c r="AH284" s="73">
        <f t="shared" si="25"/>
        <v>2.8400000000000002E-4</v>
      </c>
    </row>
    <row r="285" spans="1:34" ht="14.25" customHeight="1">
      <c r="A285" s="11">
        <v>270</v>
      </c>
      <c r="B285" s="66" t="s">
        <v>35</v>
      </c>
      <c r="C285" s="67">
        <v>46113</v>
      </c>
      <c r="D285" s="67">
        <v>46056</v>
      </c>
      <c r="E285" s="67">
        <v>46113</v>
      </c>
      <c r="F285" s="67"/>
      <c r="G285" s="67"/>
      <c r="H285" s="67"/>
      <c r="I285" s="6" t="s">
        <v>859</v>
      </c>
      <c r="J285" s="37">
        <v>1918103016</v>
      </c>
      <c r="K285" s="68">
        <v>46053</v>
      </c>
      <c r="L285" s="68" t="s">
        <v>230</v>
      </c>
      <c r="M285" s="68">
        <v>46203</v>
      </c>
      <c r="N285" s="69">
        <f t="shared" si="13"/>
        <v>9</v>
      </c>
      <c r="O285" s="69">
        <f t="shared" si="14"/>
        <v>9</v>
      </c>
      <c r="P285" s="70">
        <v>23</v>
      </c>
      <c r="Q285" s="70"/>
      <c r="R285" s="70">
        <v>32</v>
      </c>
      <c r="S285" s="68" t="str">
        <f t="shared" si="15"/>
        <v/>
      </c>
      <c r="T285" s="68"/>
      <c r="U285" s="95"/>
      <c r="V285" s="68"/>
      <c r="W285" s="6"/>
      <c r="X285" s="10"/>
      <c r="Y285" s="71">
        <f t="shared" si="16"/>
        <v>23</v>
      </c>
      <c r="Z285" s="73">
        <f t="shared" si="17"/>
        <v>32</v>
      </c>
      <c r="AA285" s="73">
        <f t="shared" si="18"/>
        <v>9</v>
      </c>
      <c r="AB285" s="11" t="str">
        <f t="shared" si="19"/>
        <v/>
      </c>
      <c r="AC285" s="73">
        <f t="shared" si="20"/>
        <v>9</v>
      </c>
      <c r="AD285" s="11" t="str">
        <f t="shared" si="21"/>
        <v/>
      </c>
      <c r="AE285" s="73">
        <f t="shared" si="22"/>
        <v>9.0002849999999999</v>
      </c>
      <c r="AF285" s="11" t="str">
        <f t="shared" si="23"/>
        <v/>
      </c>
      <c r="AG285" s="73">
        <f t="shared" si="24"/>
        <v>9.0002849999999999</v>
      </c>
      <c r="AH285" s="11" t="str">
        <f t="shared" si="25"/>
        <v/>
      </c>
    </row>
    <row r="286" spans="1:34" ht="14.25" customHeight="1">
      <c r="A286" s="11">
        <v>271</v>
      </c>
      <c r="B286" s="66" t="s">
        <v>35</v>
      </c>
      <c r="C286" s="67">
        <v>44986</v>
      </c>
      <c r="D286" s="67">
        <v>44798</v>
      </c>
      <c r="E286" s="67"/>
      <c r="F286" s="67"/>
      <c r="G286" s="67" t="s">
        <v>35</v>
      </c>
      <c r="H286" s="67">
        <v>45539</v>
      </c>
      <c r="I286" s="6" t="s">
        <v>860</v>
      </c>
      <c r="J286" s="9">
        <v>1928601660</v>
      </c>
      <c r="K286" s="68">
        <v>44773</v>
      </c>
      <c r="L286" s="68">
        <v>46022</v>
      </c>
      <c r="M286" s="68">
        <v>46203</v>
      </c>
      <c r="N286" s="69">
        <f t="shared" si="13"/>
        <v>49</v>
      </c>
      <c r="O286" s="69">
        <f t="shared" si="14"/>
        <v>4</v>
      </c>
      <c r="P286" s="70">
        <v>4</v>
      </c>
      <c r="Q286" s="70">
        <v>49</v>
      </c>
      <c r="R286" s="70">
        <v>53</v>
      </c>
      <c r="S286" s="68" t="str">
        <f t="shared" si="15"/>
        <v/>
      </c>
      <c r="T286" s="68"/>
      <c r="U286" s="68"/>
      <c r="V286" s="68"/>
      <c r="W286" s="9"/>
      <c r="X286" s="10"/>
      <c r="Y286" s="71">
        <f t="shared" si="16"/>
        <v>49</v>
      </c>
      <c r="Z286" s="73">
        <f t="shared" si="17"/>
        <v>53</v>
      </c>
      <c r="AA286" s="73">
        <f t="shared" si="18"/>
        <v>49</v>
      </c>
      <c r="AB286" s="73">
        <f t="shared" si="19"/>
        <v>49</v>
      </c>
      <c r="AC286" s="73">
        <f t="shared" si="20"/>
        <v>4</v>
      </c>
      <c r="AD286" s="73">
        <f t="shared" si="21"/>
        <v>4</v>
      </c>
      <c r="AE286" s="73">
        <f t="shared" si="22"/>
        <v>49.000286000000003</v>
      </c>
      <c r="AF286" s="73">
        <f t="shared" si="23"/>
        <v>49.000286000000003</v>
      </c>
      <c r="AG286" s="73">
        <f t="shared" si="24"/>
        <v>4.000286</v>
      </c>
      <c r="AH286" s="73">
        <f t="shared" si="25"/>
        <v>4.000286</v>
      </c>
    </row>
    <row r="287" spans="1:34" ht="14.25" customHeight="1">
      <c r="A287" s="11">
        <v>272</v>
      </c>
      <c r="B287" s="66"/>
      <c r="C287" s="67"/>
      <c r="D287" s="67"/>
      <c r="E287" s="67"/>
      <c r="F287" s="67"/>
      <c r="G287" s="67" t="s">
        <v>35</v>
      </c>
      <c r="H287" s="67">
        <v>45471</v>
      </c>
      <c r="I287" s="6" t="s">
        <v>861</v>
      </c>
      <c r="J287" s="9">
        <v>1938103327</v>
      </c>
      <c r="K287" s="68">
        <v>45443</v>
      </c>
      <c r="L287" s="68">
        <v>46022</v>
      </c>
      <c r="M287" s="68">
        <v>46203</v>
      </c>
      <c r="N287" s="69">
        <f t="shared" si="13"/>
        <v>5</v>
      </c>
      <c r="O287" s="69">
        <f t="shared" si="14"/>
        <v>1</v>
      </c>
      <c r="P287" s="70">
        <v>4</v>
      </c>
      <c r="Q287" s="70">
        <v>8</v>
      </c>
      <c r="R287" s="70">
        <v>9</v>
      </c>
      <c r="S287" s="68" t="str">
        <f t="shared" si="15"/>
        <v/>
      </c>
      <c r="T287" s="68"/>
      <c r="U287" s="68"/>
      <c r="V287" s="68"/>
      <c r="W287" s="9"/>
      <c r="X287" s="10"/>
      <c r="Y287" s="71">
        <f t="shared" si="16"/>
        <v>8</v>
      </c>
      <c r="Z287" s="73">
        <f t="shared" si="17"/>
        <v>9</v>
      </c>
      <c r="AA287" s="11" t="str">
        <f t="shared" si="18"/>
        <v/>
      </c>
      <c r="AB287" s="73">
        <f t="shared" si="19"/>
        <v>5</v>
      </c>
      <c r="AC287" s="11" t="str">
        <f t="shared" si="20"/>
        <v/>
      </c>
      <c r="AD287" s="73">
        <f t="shared" si="21"/>
        <v>1</v>
      </c>
      <c r="AE287" s="11" t="str">
        <f t="shared" si="22"/>
        <v/>
      </c>
      <c r="AF287" s="73">
        <f t="shared" si="23"/>
        <v>5.0002870000000001</v>
      </c>
      <c r="AG287" s="11" t="str">
        <f t="shared" si="24"/>
        <v/>
      </c>
      <c r="AH287" s="73">
        <f t="shared" si="25"/>
        <v>1.0002869999999999</v>
      </c>
    </row>
    <row r="288" spans="1:34" ht="14.25" customHeight="1">
      <c r="A288" s="11">
        <v>273</v>
      </c>
      <c r="B288" s="66" t="s">
        <v>35</v>
      </c>
      <c r="C288" s="67">
        <v>44466</v>
      </c>
      <c r="D288" s="67">
        <v>44620</v>
      </c>
      <c r="E288" s="67"/>
      <c r="F288" s="67"/>
      <c r="G288" s="67" t="s">
        <v>35</v>
      </c>
      <c r="H288" s="67">
        <v>44897</v>
      </c>
      <c r="I288" s="6" t="s">
        <v>862</v>
      </c>
      <c r="J288" s="9">
        <v>1948701232</v>
      </c>
      <c r="K288" s="68">
        <v>44439</v>
      </c>
      <c r="L288" s="68">
        <v>46022</v>
      </c>
      <c r="M288" s="68">
        <v>46203</v>
      </c>
      <c r="N288" s="69">
        <f t="shared" si="13"/>
        <v>-10</v>
      </c>
      <c r="O288" s="69">
        <f t="shared" si="14"/>
        <v>-8</v>
      </c>
      <c r="P288" s="70">
        <v>16</v>
      </c>
      <c r="Q288" s="70">
        <v>14</v>
      </c>
      <c r="R288" s="70">
        <v>6</v>
      </c>
      <c r="S288" s="68" t="str">
        <f t="shared" si="15"/>
        <v/>
      </c>
      <c r="T288" s="68"/>
      <c r="U288" s="68"/>
      <c r="V288" s="68"/>
      <c r="W288" s="9"/>
      <c r="X288" s="10"/>
      <c r="Y288" s="71">
        <f t="shared" si="16"/>
        <v>14</v>
      </c>
      <c r="Z288" s="73">
        <f t="shared" si="17"/>
        <v>6</v>
      </c>
      <c r="AA288" s="73">
        <f t="shared" si="18"/>
        <v>-10</v>
      </c>
      <c r="AB288" s="73">
        <f t="shared" si="19"/>
        <v>-10</v>
      </c>
      <c r="AC288" s="73">
        <f t="shared" si="20"/>
        <v>-8</v>
      </c>
      <c r="AD288" s="73">
        <f t="shared" si="21"/>
        <v>-8</v>
      </c>
      <c r="AE288" s="73">
        <f t="shared" si="22"/>
        <v>-9.9997120000000006</v>
      </c>
      <c r="AF288" s="73">
        <f t="shared" si="23"/>
        <v>-9.9997120000000006</v>
      </c>
      <c r="AG288" s="73">
        <f t="shared" si="24"/>
        <v>-7.9997119999999997</v>
      </c>
      <c r="AH288" s="73">
        <f t="shared" si="25"/>
        <v>-7.9997119999999997</v>
      </c>
    </row>
    <row r="289" spans="1:34" ht="14.25" customHeight="1">
      <c r="A289" s="11">
        <v>274</v>
      </c>
      <c r="B289" s="66"/>
      <c r="C289" s="67"/>
      <c r="D289" s="67"/>
      <c r="E289" s="67"/>
      <c r="F289" s="67"/>
      <c r="G289" s="67" t="s">
        <v>35</v>
      </c>
      <c r="H289" s="67">
        <v>42559</v>
      </c>
      <c r="I289" s="6" t="s">
        <v>863</v>
      </c>
      <c r="J289" s="9">
        <v>1948800259</v>
      </c>
      <c r="K289" s="68">
        <v>42551</v>
      </c>
      <c r="L289" s="68">
        <v>46022</v>
      </c>
      <c r="M289" s="68">
        <v>46203</v>
      </c>
      <c r="N289" s="69">
        <f t="shared" si="13"/>
        <v>0</v>
      </c>
      <c r="O289" s="69">
        <f t="shared" si="14"/>
        <v>0</v>
      </c>
      <c r="P289" s="70">
        <v>1</v>
      </c>
      <c r="Q289" s="70">
        <v>1</v>
      </c>
      <c r="R289" s="70">
        <v>1</v>
      </c>
      <c r="S289" s="68" t="str">
        <f t="shared" si="15"/>
        <v/>
      </c>
      <c r="T289" s="68"/>
      <c r="U289" s="68"/>
      <c r="V289" s="68"/>
      <c r="W289" s="9"/>
      <c r="X289" s="10"/>
      <c r="Y289" s="71">
        <f t="shared" si="16"/>
        <v>1</v>
      </c>
      <c r="Z289" s="73">
        <f t="shared" si="17"/>
        <v>1</v>
      </c>
      <c r="AA289" s="11" t="str">
        <f t="shared" si="18"/>
        <v/>
      </c>
      <c r="AB289" s="73">
        <f t="shared" si="19"/>
        <v>0</v>
      </c>
      <c r="AC289" s="11" t="str">
        <f t="shared" si="20"/>
        <v/>
      </c>
      <c r="AD289" s="73">
        <f t="shared" si="21"/>
        <v>0</v>
      </c>
      <c r="AE289" s="11" t="str">
        <f t="shared" si="22"/>
        <v/>
      </c>
      <c r="AF289" s="73">
        <f t="shared" si="23"/>
        <v>2.8899999999999998E-4</v>
      </c>
      <c r="AG289" s="11" t="str">
        <f t="shared" si="24"/>
        <v/>
      </c>
      <c r="AH289" s="73">
        <f t="shared" si="25"/>
        <v>2.8899999999999998E-4</v>
      </c>
    </row>
    <row r="290" spans="1:34" ht="14.25" customHeight="1">
      <c r="A290" s="11">
        <v>275</v>
      </c>
      <c r="B290" s="66" t="s">
        <v>35</v>
      </c>
      <c r="C290" s="67">
        <v>43192</v>
      </c>
      <c r="D290" s="67"/>
      <c r="E290" s="67"/>
      <c r="F290" s="67"/>
      <c r="G290" s="67"/>
      <c r="H290" s="67"/>
      <c r="I290" s="6" t="s">
        <v>864</v>
      </c>
      <c r="J290" s="9">
        <v>1958602431</v>
      </c>
      <c r="K290" s="68">
        <v>43190</v>
      </c>
      <c r="L290" s="68">
        <v>46022</v>
      </c>
      <c r="M290" s="68">
        <v>46203</v>
      </c>
      <c r="N290" s="69">
        <f t="shared" si="13"/>
        <v>0</v>
      </c>
      <c r="O290" s="69">
        <f t="shared" si="14"/>
        <v>0</v>
      </c>
      <c r="P290" s="70">
        <v>0</v>
      </c>
      <c r="Q290" s="70">
        <v>0</v>
      </c>
      <c r="R290" s="70">
        <v>0</v>
      </c>
      <c r="S290" s="68" t="str">
        <f t="shared" si="15"/>
        <v/>
      </c>
      <c r="T290" s="68"/>
      <c r="U290" s="68"/>
      <c r="V290" s="68"/>
      <c r="W290" s="9"/>
      <c r="X290" s="10" t="s">
        <v>865</v>
      </c>
      <c r="Y290" s="71">
        <f t="shared" si="16"/>
        <v>0</v>
      </c>
      <c r="Z290" s="73">
        <f t="shared" si="17"/>
        <v>0</v>
      </c>
      <c r="AA290" s="73">
        <f t="shared" si="18"/>
        <v>0</v>
      </c>
      <c r="AB290" s="11" t="str">
        <f t="shared" si="19"/>
        <v/>
      </c>
      <c r="AC290" s="73">
        <f t="shared" si="20"/>
        <v>0</v>
      </c>
      <c r="AD290" s="11" t="str">
        <f t="shared" si="21"/>
        <v/>
      </c>
      <c r="AE290" s="73">
        <f t="shared" si="22"/>
        <v>2.9E-4</v>
      </c>
      <c r="AF290" s="11" t="str">
        <f t="shared" si="23"/>
        <v/>
      </c>
      <c r="AG290" s="73">
        <f t="shared" si="24"/>
        <v>2.9E-4</v>
      </c>
      <c r="AH290" s="11" t="str">
        <f t="shared" si="25"/>
        <v/>
      </c>
    </row>
    <row r="291" spans="1:34" ht="14.25" customHeight="1">
      <c r="A291" s="11">
        <v>276</v>
      </c>
      <c r="B291" s="66"/>
      <c r="C291" s="67"/>
      <c r="D291" s="67"/>
      <c r="E291" s="67"/>
      <c r="F291" s="67"/>
      <c r="G291" s="67" t="s">
        <v>35</v>
      </c>
      <c r="H291" s="67">
        <v>45973</v>
      </c>
      <c r="I291" s="6" t="s">
        <v>866</v>
      </c>
      <c r="J291" s="94">
        <v>1958703397</v>
      </c>
      <c r="K291" s="68">
        <v>45961</v>
      </c>
      <c r="L291" s="68">
        <v>46022</v>
      </c>
      <c r="M291" s="68">
        <v>46203</v>
      </c>
      <c r="N291" s="69">
        <f t="shared" si="13"/>
        <v>4</v>
      </c>
      <c r="O291" s="69">
        <f t="shared" si="14"/>
        <v>3</v>
      </c>
      <c r="P291" s="70">
        <v>2</v>
      </c>
      <c r="Q291" s="70">
        <v>3</v>
      </c>
      <c r="R291" s="70">
        <v>6</v>
      </c>
      <c r="S291" s="68" t="str">
        <f t="shared" si="15"/>
        <v/>
      </c>
      <c r="T291" s="68"/>
      <c r="U291" s="95"/>
      <c r="V291" s="68"/>
      <c r="W291" s="6"/>
      <c r="X291" s="10"/>
      <c r="Y291" s="71">
        <f t="shared" si="16"/>
        <v>3</v>
      </c>
      <c r="Z291" s="73">
        <f t="shared" si="17"/>
        <v>6</v>
      </c>
      <c r="AA291" s="11" t="str">
        <f t="shared" si="18"/>
        <v/>
      </c>
      <c r="AB291" s="73">
        <f t="shared" si="19"/>
        <v>4</v>
      </c>
      <c r="AC291" s="11" t="str">
        <f t="shared" si="20"/>
        <v/>
      </c>
      <c r="AD291" s="73">
        <f t="shared" si="21"/>
        <v>3</v>
      </c>
      <c r="AE291" s="11" t="str">
        <f t="shared" si="22"/>
        <v/>
      </c>
      <c r="AF291" s="73">
        <f t="shared" si="23"/>
        <v>4.0002909999999998</v>
      </c>
      <c r="AG291" s="11" t="str">
        <f t="shared" si="24"/>
        <v/>
      </c>
      <c r="AH291" s="73">
        <f t="shared" si="25"/>
        <v>3.0002909999999998</v>
      </c>
    </row>
    <row r="292" spans="1:34" ht="14.25" customHeight="1">
      <c r="A292" s="11">
        <v>277</v>
      </c>
      <c r="B292" s="66"/>
      <c r="C292" s="67"/>
      <c r="D292" s="67"/>
      <c r="E292" s="67"/>
      <c r="F292" s="67"/>
      <c r="G292" s="67" t="s">
        <v>35</v>
      </c>
      <c r="H292" s="67">
        <v>45195</v>
      </c>
      <c r="I292" s="6" t="s">
        <v>867</v>
      </c>
      <c r="J292" s="9">
        <v>1958800664</v>
      </c>
      <c r="K292" s="68">
        <v>45169</v>
      </c>
      <c r="L292" s="68">
        <v>46022</v>
      </c>
      <c r="M292" s="68">
        <v>46203</v>
      </c>
      <c r="N292" s="69">
        <f t="shared" si="13"/>
        <v>20</v>
      </c>
      <c r="O292" s="69">
        <f t="shared" si="14"/>
        <v>21</v>
      </c>
      <c r="P292" s="70">
        <v>49</v>
      </c>
      <c r="Q292" s="70">
        <v>48</v>
      </c>
      <c r="R292" s="70">
        <v>69</v>
      </c>
      <c r="S292" s="68" t="str">
        <f t="shared" si="15"/>
        <v/>
      </c>
      <c r="T292" s="68"/>
      <c r="U292" s="68"/>
      <c r="V292" s="68"/>
      <c r="W292" s="9"/>
      <c r="X292" s="10"/>
      <c r="Y292" s="71">
        <f t="shared" si="16"/>
        <v>48</v>
      </c>
      <c r="Z292" s="73">
        <f t="shared" si="17"/>
        <v>69</v>
      </c>
      <c r="AA292" s="11" t="str">
        <f t="shared" si="18"/>
        <v/>
      </c>
      <c r="AB292" s="73">
        <f t="shared" si="19"/>
        <v>20</v>
      </c>
      <c r="AC292" s="11" t="str">
        <f t="shared" si="20"/>
        <v/>
      </c>
      <c r="AD292" s="73">
        <f t="shared" si="21"/>
        <v>21</v>
      </c>
      <c r="AE292" s="11" t="str">
        <f t="shared" si="22"/>
        <v/>
      </c>
      <c r="AF292" s="73">
        <f t="shared" si="23"/>
        <v>20.000292000000002</v>
      </c>
      <c r="AG292" s="11" t="str">
        <f t="shared" si="24"/>
        <v/>
      </c>
      <c r="AH292" s="73">
        <f t="shared" si="25"/>
        <v>21.000292000000002</v>
      </c>
    </row>
    <row r="293" spans="1:34" ht="14.25" customHeight="1">
      <c r="A293" s="11">
        <v>278</v>
      </c>
      <c r="B293" s="66"/>
      <c r="C293" s="67"/>
      <c r="D293" s="67"/>
      <c r="E293" s="67"/>
      <c r="F293" s="67"/>
      <c r="G293" s="67" t="s">
        <v>35</v>
      </c>
      <c r="H293" s="67">
        <v>44124</v>
      </c>
      <c r="I293" s="6" t="s">
        <v>868</v>
      </c>
      <c r="J293" s="9">
        <v>1978700381</v>
      </c>
      <c r="K293" s="68">
        <v>44104</v>
      </c>
      <c r="L293" s="68">
        <v>46022</v>
      </c>
      <c r="M293" s="68">
        <v>46203</v>
      </c>
      <c r="N293" s="69">
        <f t="shared" si="13"/>
        <v>-14</v>
      </c>
      <c r="O293" s="69">
        <f t="shared" si="14"/>
        <v>0</v>
      </c>
      <c r="P293" s="70">
        <v>15</v>
      </c>
      <c r="Q293" s="70">
        <v>1</v>
      </c>
      <c r="R293" s="70">
        <v>1</v>
      </c>
      <c r="S293" s="68" t="str">
        <f t="shared" si="15"/>
        <v/>
      </c>
      <c r="T293" s="68"/>
      <c r="U293" s="68"/>
      <c r="V293" s="68"/>
      <c r="W293" s="9"/>
      <c r="X293" s="10"/>
      <c r="Y293" s="71">
        <f t="shared" si="16"/>
        <v>1</v>
      </c>
      <c r="Z293" s="73">
        <f t="shared" si="17"/>
        <v>1</v>
      </c>
      <c r="AA293" s="11" t="str">
        <f t="shared" si="18"/>
        <v/>
      </c>
      <c r="AB293" s="73">
        <f t="shared" si="19"/>
        <v>-14</v>
      </c>
      <c r="AC293" s="11" t="str">
        <f t="shared" si="20"/>
        <v/>
      </c>
      <c r="AD293" s="73">
        <f t="shared" si="21"/>
        <v>0</v>
      </c>
      <c r="AE293" s="11" t="str">
        <f t="shared" si="22"/>
        <v/>
      </c>
      <c r="AF293" s="73">
        <f t="shared" si="23"/>
        <v>-13.999707000000001</v>
      </c>
      <c r="AG293" s="11" t="str">
        <f t="shared" si="24"/>
        <v/>
      </c>
      <c r="AH293" s="73">
        <f t="shared" si="25"/>
        <v>2.9300000000000002E-4</v>
      </c>
    </row>
    <row r="294" spans="1:34" ht="14.25" customHeight="1">
      <c r="A294" s="11">
        <v>279</v>
      </c>
      <c r="B294" s="66"/>
      <c r="C294" s="67"/>
      <c r="D294" s="67"/>
      <c r="E294" s="67"/>
      <c r="F294" s="67"/>
      <c r="G294" s="67" t="s">
        <v>35</v>
      </c>
      <c r="H294" s="67">
        <v>44193</v>
      </c>
      <c r="I294" s="6" t="s">
        <v>869</v>
      </c>
      <c r="J294" s="9">
        <v>1978701788</v>
      </c>
      <c r="K294" s="68">
        <v>44165</v>
      </c>
      <c r="L294" s="68">
        <v>46022</v>
      </c>
      <c r="M294" s="68">
        <v>46203</v>
      </c>
      <c r="N294" s="69">
        <f t="shared" si="13"/>
        <v>20</v>
      </c>
      <c r="O294" s="69">
        <f t="shared" si="14"/>
        <v>2</v>
      </c>
      <c r="P294" s="70">
        <v>10</v>
      </c>
      <c r="Q294" s="70">
        <v>28</v>
      </c>
      <c r="R294" s="70">
        <v>30</v>
      </c>
      <c r="S294" s="68" t="str">
        <f t="shared" si="15"/>
        <v/>
      </c>
      <c r="T294" s="68"/>
      <c r="U294" s="68"/>
      <c r="V294" s="68"/>
      <c r="W294" s="9"/>
      <c r="X294" s="10"/>
      <c r="Y294" s="71">
        <f t="shared" si="16"/>
        <v>28</v>
      </c>
      <c r="Z294" s="73">
        <f t="shared" si="17"/>
        <v>30</v>
      </c>
      <c r="AA294" s="11" t="str">
        <f t="shared" si="18"/>
        <v/>
      </c>
      <c r="AB294" s="73">
        <f t="shared" si="19"/>
        <v>20</v>
      </c>
      <c r="AC294" s="11" t="str">
        <f t="shared" si="20"/>
        <v/>
      </c>
      <c r="AD294" s="73">
        <f t="shared" si="21"/>
        <v>2</v>
      </c>
      <c r="AE294" s="11" t="str">
        <f t="shared" si="22"/>
        <v/>
      </c>
      <c r="AF294" s="73">
        <f t="shared" si="23"/>
        <v>20.000294</v>
      </c>
      <c r="AG294" s="11" t="str">
        <f t="shared" si="24"/>
        <v/>
      </c>
      <c r="AH294" s="73">
        <f t="shared" si="25"/>
        <v>2.0002939999999998</v>
      </c>
    </row>
    <row r="295" spans="1:34" ht="14.25" customHeight="1">
      <c r="A295" s="11">
        <v>280</v>
      </c>
      <c r="B295" s="66"/>
      <c r="C295" s="67"/>
      <c r="D295" s="67"/>
      <c r="E295" s="67"/>
      <c r="F295" s="67"/>
      <c r="G295" s="67" t="s">
        <v>35</v>
      </c>
      <c r="H295" s="67">
        <v>45448</v>
      </c>
      <c r="I295" s="6" t="s">
        <v>870</v>
      </c>
      <c r="J295" s="9">
        <v>1978801844</v>
      </c>
      <c r="K295" s="68">
        <v>45443</v>
      </c>
      <c r="L295" s="68">
        <v>46022</v>
      </c>
      <c r="M295" s="68">
        <v>46203</v>
      </c>
      <c r="N295" s="69">
        <f t="shared" si="13"/>
        <v>-54</v>
      </c>
      <c r="O295" s="69">
        <f t="shared" si="14"/>
        <v>-4</v>
      </c>
      <c r="P295" s="70">
        <v>65</v>
      </c>
      <c r="Q295" s="70">
        <v>15</v>
      </c>
      <c r="R295" s="70">
        <v>11</v>
      </c>
      <c r="S295" s="68" t="str">
        <f t="shared" si="15"/>
        <v/>
      </c>
      <c r="T295" s="68"/>
      <c r="U295" s="68"/>
      <c r="V295" s="68"/>
      <c r="W295" s="9"/>
      <c r="X295" s="10"/>
      <c r="Y295" s="71">
        <f t="shared" si="16"/>
        <v>15</v>
      </c>
      <c r="Z295" s="73">
        <f t="shared" si="17"/>
        <v>11</v>
      </c>
      <c r="AA295" s="11" t="str">
        <f t="shared" si="18"/>
        <v/>
      </c>
      <c r="AB295" s="73">
        <f t="shared" si="19"/>
        <v>-54</v>
      </c>
      <c r="AC295" s="11" t="str">
        <f t="shared" si="20"/>
        <v/>
      </c>
      <c r="AD295" s="73">
        <f t="shared" si="21"/>
        <v>-4</v>
      </c>
      <c r="AE295" s="11" t="str">
        <f t="shared" si="22"/>
        <v/>
      </c>
      <c r="AF295" s="73">
        <f t="shared" si="23"/>
        <v>-53.999704999999999</v>
      </c>
      <c r="AG295" s="11" t="str">
        <f t="shared" si="24"/>
        <v/>
      </c>
      <c r="AH295" s="73">
        <f t="shared" si="25"/>
        <v>-3.9997050000000001</v>
      </c>
    </row>
    <row r="296" spans="1:34" ht="14.25" customHeight="1">
      <c r="A296" s="11">
        <v>281</v>
      </c>
      <c r="B296" s="66"/>
      <c r="C296" s="67"/>
      <c r="D296" s="67"/>
      <c r="E296" s="67"/>
      <c r="F296" s="67"/>
      <c r="G296" s="67" t="s">
        <v>35</v>
      </c>
      <c r="H296" s="67">
        <v>44966</v>
      </c>
      <c r="I296" s="6" t="s">
        <v>871</v>
      </c>
      <c r="J296" s="9">
        <v>1998801627</v>
      </c>
      <c r="K296" s="68">
        <v>44957</v>
      </c>
      <c r="L296" s="68">
        <v>46022</v>
      </c>
      <c r="M296" s="68">
        <v>46203</v>
      </c>
      <c r="N296" s="69">
        <f t="shared" si="13"/>
        <v>2</v>
      </c>
      <c r="O296" s="69">
        <f t="shared" si="14"/>
        <v>0</v>
      </c>
      <c r="P296" s="70">
        <v>7</v>
      </c>
      <c r="Q296" s="70">
        <v>9</v>
      </c>
      <c r="R296" s="70">
        <v>9</v>
      </c>
      <c r="S296" s="68" t="str">
        <f t="shared" si="15"/>
        <v/>
      </c>
      <c r="T296" s="68"/>
      <c r="U296" s="68"/>
      <c r="V296" s="68"/>
      <c r="W296" s="9"/>
      <c r="X296" s="10"/>
      <c r="Y296" s="71">
        <f t="shared" si="16"/>
        <v>9</v>
      </c>
      <c r="Z296" s="73">
        <f t="shared" si="17"/>
        <v>9</v>
      </c>
      <c r="AA296" s="11" t="str">
        <f t="shared" si="18"/>
        <v/>
      </c>
      <c r="AB296" s="73">
        <f t="shared" si="19"/>
        <v>2</v>
      </c>
      <c r="AC296" s="11" t="str">
        <f t="shared" si="20"/>
        <v/>
      </c>
      <c r="AD296" s="73">
        <f t="shared" si="21"/>
        <v>0</v>
      </c>
      <c r="AE296" s="11" t="str">
        <f t="shared" si="22"/>
        <v/>
      </c>
      <c r="AF296" s="73">
        <f t="shared" si="23"/>
        <v>2.0002960000000001</v>
      </c>
      <c r="AG296" s="11" t="str">
        <f t="shared" si="24"/>
        <v/>
      </c>
      <c r="AH296" s="73">
        <f t="shared" si="25"/>
        <v>2.9599999999999998E-4</v>
      </c>
    </row>
    <row r="297" spans="1:34" ht="14.25" customHeight="1">
      <c r="A297" s="11">
        <v>282</v>
      </c>
      <c r="B297" s="66" t="s">
        <v>35</v>
      </c>
      <c r="C297" s="67">
        <v>44998</v>
      </c>
      <c r="D297" s="67">
        <v>45056</v>
      </c>
      <c r="E297" s="67"/>
      <c r="F297" s="67"/>
      <c r="G297" s="67"/>
      <c r="H297" s="67"/>
      <c r="I297" s="6" t="s">
        <v>872</v>
      </c>
      <c r="J297" s="9">
        <v>1998802591</v>
      </c>
      <c r="K297" s="68">
        <v>44985</v>
      </c>
      <c r="L297" s="68">
        <v>46022</v>
      </c>
      <c r="M297" s="68">
        <v>46203</v>
      </c>
      <c r="N297" s="69">
        <f t="shared" si="13"/>
        <v>7</v>
      </c>
      <c r="O297" s="69">
        <f t="shared" si="14"/>
        <v>0</v>
      </c>
      <c r="P297" s="70">
        <v>0</v>
      </c>
      <c r="Q297" s="70">
        <v>7</v>
      </c>
      <c r="R297" s="70">
        <v>7</v>
      </c>
      <c r="S297" s="68" t="str">
        <f t="shared" si="15"/>
        <v/>
      </c>
      <c r="T297" s="68"/>
      <c r="U297" s="68"/>
      <c r="V297" s="68"/>
      <c r="W297" s="9"/>
      <c r="X297" s="10"/>
      <c r="Y297" s="71">
        <f t="shared" si="16"/>
        <v>7</v>
      </c>
      <c r="Z297" s="73">
        <f t="shared" si="17"/>
        <v>7</v>
      </c>
      <c r="AA297" s="73">
        <f t="shared" si="18"/>
        <v>7</v>
      </c>
      <c r="AB297" s="11" t="str">
        <f t="shared" si="19"/>
        <v/>
      </c>
      <c r="AC297" s="73">
        <f t="shared" si="20"/>
        <v>0</v>
      </c>
      <c r="AD297" s="11" t="str">
        <f t="shared" si="21"/>
        <v/>
      </c>
      <c r="AE297" s="73">
        <f t="shared" si="22"/>
        <v>7.0002969999999998</v>
      </c>
      <c r="AF297" s="11" t="str">
        <f t="shared" si="23"/>
        <v/>
      </c>
      <c r="AG297" s="73">
        <f t="shared" si="24"/>
        <v>2.9700000000000001E-4</v>
      </c>
      <c r="AH297" s="11" t="str">
        <f t="shared" si="25"/>
        <v/>
      </c>
    </row>
    <row r="298" spans="1:34" ht="14.25" customHeight="1">
      <c r="A298" s="11">
        <v>283</v>
      </c>
      <c r="B298" s="66"/>
      <c r="C298" s="67"/>
      <c r="D298" s="67"/>
      <c r="E298" s="67"/>
      <c r="F298" s="67"/>
      <c r="G298" s="67" t="s">
        <v>24</v>
      </c>
      <c r="H298" s="67">
        <v>42387</v>
      </c>
      <c r="I298" s="6" t="s">
        <v>873</v>
      </c>
      <c r="J298" s="9">
        <v>2018629623</v>
      </c>
      <c r="K298" s="68">
        <v>42369</v>
      </c>
      <c r="L298" s="68" t="s">
        <v>230</v>
      </c>
      <c r="M298" s="68">
        <v>44804</v>
      </c>
      <c r="N298" s="69">
        <f t="shared" si="13"/>
        <v>-61</v>
      </c>
      <c r="O298" s="69" t="str">
        <f t="shared" si="14"/>
        <v>N/A</v>
      </c>
      <c r="P298" s="70">
        <v>61</v>
      </c>
      <c r="Q298" s="70"/>
      <c r="R298" s="70">
        <v>0</v>
      </c>
      <c r="S298" s="68">
        <f t="shared" si="15"/>
        <v>44804</v>
      </c>
      <c r="T298" s="68">
        <v>44804</v>
      </c>
      <c r="U298" s="68"/>
      <c r="V298" s="68"/>
      <c r="W298" s="9"/>
      <c r="X298" s="10"/>
      <c r="Y298" s="65" t="str">
        <f t="shared" si="16"/>
        <v/>
      </c>
      <c r="Z298" s="11" t="str">
        <f t="shared" si="17"/>
        <v/>
      </c>
      <c r="AA298" s="11" t="str">
        <f t="shared" si="18"/>
        <v/>
      </c>
      <c r="AB298" s="73">
        <f t="shared" si="19"/>
        <v>-61</v>
      </c>
      <c r="AC298" s="11" t="str">
        <f t="shared" si="20"/>
        <v/>
      </c>
      <c r="AD298" s="11" t="str">
        <f t="shared" si="21"/>
        <v/>
      </c>
      <c r="AE298" s="11" t="str">
        <f t="shared" si="22"/>
        <v/>
      </c>
      <c r="AF298" s="73">
        <f t="shared" si="23"/>
        <v>-60.999701999999999</v>
      </c>
      <c r="AG298" s="11" t="str">
        <f t="shared" si="24"/>
        <v/>
      </c>
      <c r="AH298" s="11" t="str">
        <f t="shared" si="25"/>
        <v/>
      </c>
    </row>
    <row r="299" spans="1:34" ht="14.25" customHeight="1">
      <c r="A299" s="11">
        <v>284</v>
      </c>
      <c r="B299" s="66"/>
      <c r="C299" s="67"/>
      <c r="D299" s="67"/>
      <c r="E299" s="67"/>
      <c r="F299" s="67"/>
      <c r="G299" s="67" t="s">
        <v>35</v>
      </c>
      <c r="H299" s="67">
        <v>43917</v>
      </c>
      <c r="I299" s="6" t="s">
        <v>874</v>
      </c>
      <c r="J299" s="9">
        <v>2018631231</v>
      </c>
      <c r="K299" s="68">
        <v>43890</v>
      </c>
      <c r="L299" s="68">
        <v>46022</v>
      </c>
      <c r="M299" s="68">
        <v>46203</v>
      </c>
      <c r="N299" s="69">
        <f t="shared" si="13"/>
        <v>128</v>
      </c>
      <c r="O299" s="69">
        <f t="shared" si="14"/>
        <v>16</v>
      </c>
      <c r="P299" s="70">
        <v>62</v>
      </c>
      <c r="Q299" s="70">
        <v>174</v>
      </c>
      <c r="R299" s="70">
        <v>190</v>
      </c>
      <c r="S299" s="68" t="str">
        <f t="shared" si="15"/>
        <v/>
      </c>
      <c r="T299" s="68"/>
      <c r="U299" s="68"/>
      <c r="V299" s="68"/>
      <c r="W299" s="9"/>
      <c r="X299" s="10"/>
      <c r="Y299" s="71">
        <f t="shared" si="16"/>
        <v>174</v>
      </c>
      <c r="Z299" s="73">
        <f t="shared" si="17"/>
        <v>190</v>
      </c>
      <c r="AA299" s="11" t="str">
        <f t="shared" si="18"/>
        <v/>
      </c>
      <c r="AB299" s="73">
        <f t="shared" si="19"/>
        <v>128</v>
      </c>
      <c r="AC299" s="11" t="str">
        <f t="shared" si="20"/>
        <v/>
      </c>
      <c r="AD299" s="73">
        <f t="shared" si="21"/>
        <v>16</v>
      </c>
      <c r="AE299" s="11" t="str">
        <f t="shared" si="22"/>
        <v/>
      </c>
      <c r="AF299" s="73">
        <f t="shared" si="23"/>
        <v>128.00029900000001</v>
      </c>
      <c r="AG299" s="11" t="str">
        <f t="shared" si="24"/>
        <v/>
      </c>
      <c r="AH299" s="73">
        <f t="shared" si="25"/>
        <v>16.000298999999998</v>
      </c>
    </row>
    <row r="300" spans="1:34" ht="14.25" customHeight="1">
      <c r="A300" s="11">
        <v>285</v>
      </c>
      <c r="B300" s="66"/>
      <c r="C300" s="67"/>
      <c r="D300" s="67"/>
      <c r="E300" s="67"/>
      <c r="F300" s="67"/>
      <c r="G300" s="67" t="s">
        <v>24</v>
      </c>
      <c r="H300" s="67">
        <v>41789</v>
      </c>
      <c r="I300" s="6" t="s">
        <v>875</v>
      </c>
      <c r="J300" s="9">
        <v>2018639174</v>
      </c>
      <c r="K300" s="68">
        <v>41759</v>
      </c>
      <c r="L300" s="68" t="s">
        <v>230</v>
      </c>
      <c r="M300" s="68">
        <v>41882</v>
      </c>
      <c r="N300" s="69">
        <f t="shared" si="13"/>
        <v>0</v>
      </c>
      <c r="O300" s="69" t="str">
        <f t="shared" si="14"/>
        <v>N/A</v>
      </c>
      <c r="P300" s="70">
        <v>0</v>
      </c>
      <c r="Q300" s="70"/>
      <c r="R300" s="70">
        <v>0</v>
      </c>
      <c r="S300" s="68">
        <f t="shared" si="15"/>
        <v>41882</v>
      </c>
      <c r="T300" s="68">
        <v>41882</v>
      </c>
      <c r="U300" s="68"/>
      <c r="V300" s="68"/>
      <c r="W300" s="9"/>
      <c r="X300" s="10"/>
      <c r="Y300" s="65" t="str">
        <f t="shared" si="16"/>
        <v/>
      </c>
      <c r="Z300" s="11" t="str">
        <f t="shared" si="17"/>
        <v/>
      </c>
      <c r="AA300" s="11" t="str">
        <f t="shared" si="18"/>
        <v/>
      </c>
      <c r="AB300" s="73">
        <f t="shared" si="19"/>
        <v>0</v>
      </c>
      <c r="AC300" s="11" t="str">
        <f t="shared" si="20"/>
        <v/>
      </c>
      <c r="AD300" s="11" t="str">
        <f t="shared" si="21"/>
        <v/>
      </c>
      <c r="AE300" s="11" t="str">
        <f t="shared" si="22"/>
        <v/>
      </c>
      <c r="AF300" s="73">
        <f t="shared" si="23"/>
        <v>2.9999999999999997E-4</v>
      </c>
      <c r="AG300" s="11" t="str">
        <f t="shared" si="24"/>
        <v/>
      </c>
      <c r="AH300" s="11" t="str">
        <f t="shared" si="25"/>
        <v/>
      </c>
    </row>
    <row r="301" spans="1:34" ht="14.25" customHeight="1">
      <c r="A301" s="11">
        <v>286</v>
      </c>
      <c r="B301" s="66" t="s">
        <v>35</v>
      </c>
      <c r="C301" s="67">
        <v>45444</v>
      </c>
      <c r="D301" s="67"/>
      <c r="E301" s="67"/>
      <c r="F301" s="67"/>
      <c r="G301" s="67"/>
      <c r="H301" s="67"/>
      <c r="I301" s="6" t="s">
        <v>876</v>
      </c>
      <c r="J301" s="9">
        <v>2018646262</v>
      </c>
      <c r="K301" s="68">
        <v>45443</v>
      </c>
      <c r="L301" s="68">
        <v>46022</v>
      </c>
      <c r="M301" s="68">
        <v>46203</v>
      </c>
      <c r="N301" s="69">
        <f t="shared" si="13"/>
        <v>-6</v>
      </c>
      <c r="O301" s="69">
        <f t="shared" si="14"/>
        <v>-4</v>
      </c>
      <c r="P301" s="70">
        <v>6</v>
      </c>
      <c r="Q301" s="70">
        <v>4</v>
      </c>
      <c r="R301" s="70">
        <v>0</v>
      </c>
      <c r="S301" s="68" t="str">
        <f t="shared" si="15"/>
        <v/>
      </c>
      <c r="T301" s="68"/>
      <c r="U301" s="68"/>
      <c r="V301" s="68"/>
      <c r="W301" s="9"/>
      <c r="X301" s="10"/>
      <c r="Y301" s="71">
        <f t="shared" si="16"/>
        <v>4</v>
      </c>
      <c r="Z301" s="73">
        <f t="shared" si="17"/>
        <v>0</v>
      </c>
      <c r="AA301" s="73">
        <f t="shared" si="18"/>
        <v>-6</v>
      </c>
      <c r="AB301" s="11" t="str">
        <f t="shared" si="19"/>
        <v/>
      </c>
      <c r="AC301" s="73">
        <f t="shared" si="20"/>
        <v>-4</v>
      </c>
      <c r="AD301" s="11" t="str">
        <f t="shared" si="21"/>
        <v/>
      </c>
      <c r="AE301" s="73">
        <f t="shared" si="22"/>
        <v>-5.9996989999999997</v>
      </c>
      <c r="AF301" s="11" t="str">
        <f t="shared" si="23"/>
        <v/>
      </c>
      <c r="AG301" s="73">
        <f t="shared" si="24"/>
        <v>-3.9996990000000001</v>
      </c>
      <c r="AH301" s="11" t="str">
        <f t="shared" si="25"/>
        <v/>
      </c>
    </row>
    <row r="302" spans="1:34" ht="14.25" customHeight="1">
      <c r="A302" s="11">
        <v>287</v>
      </c>
      <c r="B302" s="66"/>
      <c r="C302" s="67"/>
      <c r="D302" s="67"/>
      <c r="E302" s="67"/>
      <c r="F302" s="67"/>
      <c r="G302" s="67" t="s">
        <v>35</v>
      </c>
      <c r="H302" s="67">
        <v>44784</v>
      </c>
      <c r="I302" s="6" t="s">
        <v>877</v>
      </c>
      <c r="J302" s="9">
        <v>2028167042</v>
      </c>
      <c r="K302" s="68">
        <v>44773</v>
      </c>
      <c r="L302" s="68">
        <v>46022</v>
      </c>
      <c r="M302" s="68">
        <v>46203</v>
      </c>
      <c r="N302" s="69">
        <f t="shared" si="13"/>
        <v>161</v>
      </c>
      <c r="O302" s="69">
        <f t="shared" si="14"/>
        <v>36</v>
      </c>
      <c r="P302" s="70">
        <v>15</v>
      </c>
      <c r="Q302" s="70">
        <v>140</v>
      </c>
      <c r="R302" s="70">
        <v>176</v>
      </c>
      <c r="S302" s="68" t="str">
        <f t="shared" si="15"/>
        <v/>
      </c>
      <c r="T302" s="68"/>
      <c r="U302" s="68"/>
      <c r="V302" s="68"/>
      <c r="W302" s="9"/>
      <c r="X302" s="10"/>
      <c r="Y302" s="71">
        <f t="shared" si="16"/>
        <v>140</v>
      </c>
      <c r="Z302" s="73">
        <f t="shared" si="17"/>
        <v>176</v>
      </c>
      <c r="AA302" s="11" t="str">
        <f t="shared" si="18"/>
        <v/>
      </c>
      <c r="AB302" s="73">
        <f t="shared" si="19"/>
        <v>161</v>
      </c>
      <c r="AC302" s="11" t="str">
        <f t="shared" si="20"/>
        <v/>
      </c>
      <c r="AD302" s="73">
        <f t="shared" si="21"/>
        <v>36</v>
      </c>
      <c r="AE302" s="11" t="str">
        <f t="shared" si="22"/>
        <v/>
      </c>
      <c r="AF302" s="73">
        <f t="shared" si="23"/>
        <v>161.000302</v>
      </c>
      <c r="AG302" s="11" t="str">
        <f t="shared" si="24"/>
        <v/>
      </c>
      <c r="AH302" s="73">
        <f t="shared" si="25"/>
        <v>36.000301999999998</v>
      </c>
    </row>
    <row r="303" spans="1:34" ht="14.25" customHeight="1">
      <c r="A303" s="11">
        <v>288</v>
      </c>
      <c r="B303" s="66"/>
      <c r="C303" s="67"/>
      <c r="D303" s="67"/>
      <c r="E303" s="67"/>
      <c r="F303" s="67"/>
      <c r="G303" s="67" t="s">
        <v>35</v>
      </c>
      <c r="H303" s="67">
        <v>45908</v>
      </c>
      <c r="I303" s="6" t="s">
        <v>878</v>
      </c>
      <c r="J303" s="94">
        <v>2028701299</v>
      </c>
      <c r="K303" s="68">
        <v>45900</v>
      </c>
      <c r="L303" s="68">
        <v>46022</v>
      </c>
      <c r="M303" s="68">
        <v>46203</v>
      </c>
      <c r="N303" s="69">
        <f t="shared" si="13"/>
        <v>3</v>
      </c>
      <c r="O303" s="69">
        <f t="shared" si="14"/>
        <v>2</v>
      </c>
      <c r="P303" s="70">
        <v>7</v>
      </c>
      <c r="Q303" s="70">
        <v>8</v>
      </c>
      <c r="R303" s="70">
        <v>10</v>
      </c>
      <c r="S303" s="68" t="str">
        <f t="shared" si="15"/>
        <v/>
      </c>
      <c r="T303" s="68"/>
      <c r="U303" s="95"/>
      <c r="V303" s="68"/>
      <c r="W303" s="6"/>
      <c r="X303" s="10"/>
      <c r="Y303" s="71">
        <f t="shared" si="16"/>
        <v>8</v>
      </c>
      <c r="Z303" s="73">
        <f t="shared" si="17"/>
        <v>10</v>
      </c>
      <c r="AA303" s="11" t="str">
        <f t="shared" si="18"/>
        <v/>
      </c>
      <c r="AB303" s="73">
        <f t="shared" si="19"/>
        <v>3</v>
      </c>
      <c r="AC303" s="11" t="str">
        <f t="shared" si="20"/>
        <v/>
      </c>
      <c r="AD303" s="73">
        <f t="shared" si="21"/>
        <v>2</v>
      </c>
      <c r="AE303" s="11" t="str">
        <f t="shared" si="22"/>
        <v/>
      </c>
      <c r="AF303" s="73">
        <f t="shared" si="23"/>
        <v>3.0003030000000002</v>
      </c>
      <c r="AG303" s="11" t="str">
        <f t="shared" si="24"/>
        <v/>
      </c>
      <c r="AH303" s="73">
        <f t="shared" si="25"/>
        <v>2.0003030000000002</v>
      </c>
    </row>
    <row r="304" spans="1:34" ht="14.25" customHeight="1">
      <c r="A304" s="11">
        <v>289</v>
      </c>
      <c r="B304" s="66" t="s">
        <v>35</v>
      </c>
      <c r="C304" s="67">
        <v>44621</v>
      </c>
      <c r="D304" s="67"/>
      <c r="E304" s="67"/>
      <c r="F304" s="67"/>
      <c r="G304" s="67"/>
      <c r="H304" s="67"/>
      <c r="I304" s="6" t="s">
        <v>879</v>
      </c>
      <c r="J304" s="9">
        <v>2028801165</v>
      </c>
      <c r="K304" s="68">
        <v>44620</v>
      </c>
      <c r="L304" s="68">
        <v>46022</v>
      </c>
      <c r="M304" s="68">
        <v>46203</v>
      </c>
      <c r="N304" s="69">
        <f t="shared" si="13"/>
        <v>-4</v>
      </c>
      <c r="O304" s="69">
        <f t="shared" si="14"/>
        <v>-1</v>
      </c>
      <c r="P304" s="70">
        <v>7</v>
      </c>
      <c r="Q304" s="70">
        <v>4</v>
      </c>
      <c r="R304" s="70">
        <v>3</v>
      </c>
      <c r="S304" s="68" t="str">
        <f t="shared" si="15"/>
        <v/>
      </c>
      <c r="T304" s="68"/>
      <c r="U304" s="68"/>
      <c r="V304" s="68"/>
      <c r="W304" s="9"/>
      <c r="X304" s="10"/>
      <c r="Y304" s="71">
        <f t="shared" si="16"/>
        <v>4</v>
      </c>
      <c r="Z304" s="73">
        <f t="shared" si="17"/>
        <v>3</v>
      </c>
      <c r="AA304" s="73">
        <f t="shared" si="18"/>
        <v>-4</v>
      </c>
      <c r="AB304" s="11" t="str">
        <f t="shared" si="19"/>
        <v/>
      </c>
      <c r="AC304" s="73">
        <f t="shared" si="20"/>
        <v>-1</v>
      </c>
      <c r="AD304" s="11" t="str">
        <f t="shared" si="21"/>
        <v/>
      </c>
      <c r="AE304" s="73">
        <f t="shared" si="22"/>
        <v>-3.9996960000000001</v>
      </c>
      <c r="AF304" s="11" t="str">
        <f t="shared" si="23"/>
        <v/>
      </c>
      <c r="AG304" s="73">
        <f t="shared" si="24"/>
        <v>-0.99969600000000003</v>
      </c>
      <c r="AH304" s="11" t="str">
        <f t="shared" si="25"/>
        <v/>
      </c>
    </row>
    <row r="305" spans="1:34" ht="14.25" customHeight="1">
      <c r="A305" s="11">
        <v>290</v>
      </c>
      <c r="B305" s="66"/>
      <c r="C305" s="67"/>
      <c r="D305" s="67"/>
      <c r="E305" s="67"/>
      <c r="F305" s="67"/>
      <c r="G305" s="67" t="s">
        <v>35</v>
      </c>
      <c r="H305" s="67">
        <v>44638</v>
      </c>
      <c r="I305" s="6" t="s">
        <v>880</v>
      </c>
      <c r="J305" s="9">
        <v>2038165649</v>
      </c>
      <c r="K305" s="68">
        <v>44620</v>
      </c>
      <c r="L305" s="68">
        <v>46022</v>
      </c>
      <c r="M305" s="68">
        <v>46203</v>
      </c>
      <c r="N305" s="69">
        <f t="shared" si="13"/>
        <v>10</v>
      </c>
      <c r="O305" s="69">
        <f t="shared" si="14"/>
        <v>10</v>
      </c>
      <c r="P305" s="70">
        <v>0</v>
      </c>
      <c r="Q305" s="70">
        <v>0</v>
      </c>
      <c r="R305" s="70">
        <v>10</v>
      </c>
      <c r="S305" s="68" t="str">
        <f t="shared" si="15"/>
        <v/>
      </c>
      <c r="T305" s="68"/>
      <c r="U305" s="68"/>
      <c r="V305" s="68"/>
      <c r="W305" s="9"/>
      <c r="X305" s="10"/>
      <c r="Y305" s="71">
        <f t="shared" si="16"/>
        <v>0</v>
      </c>
      <c r="Z305" s="73">
        <f t="shared" si="17"/>
        <v>10</v>
      </c>
      <c r="AA305" s="11" t="str">
        <f t="shared" si="18"/>
        <v/>
      </c>
      <c r="AB305" s="73">
        <f t="shared" si="19"/>
        <v>10</v>
      </c>
      <c r="AC305" s="11" t="str">
        <f t="shared" si="20"/>
        <v/>
      </c>
      <c r="AD305" s="73">
        <f t="shared" si="21"/>
        <v>10</v>
      </c>
      <c r="AE305" s="11" t="str">
        <f t="shared" si="22"/>
        <v/>
      </c>
      <c r="AF305" s="73">
        <f t="shared" si="23"/>
        <v>10.000305000000001</v>
      </c>
      <c r="AG305" s="11" t="str">
        <f t="shared" si="24"/>
        <v/>
      </c>
      <c r="AH305" s="73">
        <f t="shared" si="25"/>
        <v>10.000305000000001</v>
      </c>
    </row>
    <row r="306" spans="1:34" ht="14.25" customHeight="1">
      <c r="A306" s="11">
        <v>291</v>
      </c>
      <c r="B306" s="66"/>
      <c r="C306" s="67"/>
      <c r="D306" s="67"/>
      <c r="E306" s="67"/>
      <c r="F306" s="67"/>
      <c r="G306" s="67" t="s">
        <v>35</v>
      </c>
      <c r="H306" s="67">
        <v>45800</v>
      </c>
      <c r="I306" s="6" t="s">
        <v>881</v>
      </c>
      <c r="J306" s="9">
        <v>2038802885</v>
      </c>
      <c r="K306" s="68">
        <v>45777</v>
      </c>
      <c r="L306" s="68">
        <v>46022</v>
      </c>
      <c r="M306" s="68">
        <v>46203</v>
      </c>
      <c r="N306" s="69">
        <f t="shared" si="13"/>
        <v>4</v>
      </c>
      <c r="O306" s="69">
        <f t="shared" si="14"/>
        <v>3</v>
      </c>
      <c r="P306" s="70">
        <v>13</v>
      </c>
      <c r="Q306" s="70">
        <v>14</v>
      </c>
      <c r="R306" s="70">
        <v>17</v>
      </c>
      <c r="S306" s="68" t="str">
        <f t="shared" si="15"/>
        <v/>
      </c>
      <c r="T306" s="68"/>
      <c r="U306" s="68"/>
      <c r="V306" s="68"/>
      <c r="W306" s="9"/>
      <c r="X306" s="10"/>
      <c r="Y306" s="71">
        <f t="shared" si="16"/>
        <v>14</v>
      </c>
      <c r="Z306" s="73">
        <f t="shared" si="17"/>
        <v>17</v>
      </c>
      <c r="AA306" s="11" t="str">
        <f t="shared" si="18"/>
        <v/>
      </c>
      <c r="AB306" s="73">
        <f t="shared" si="19"/>
        <v>4</v>
      </c>
      <c r="AC306" s="11" t="str">
        <f t="shared" si="20"/>
        <v/>
      </c>
      <c r="AD306" s="73">
        <f t="shared" si="21"/>
        <v>3</v>
      </c>
      <c r="AE306" s="11" t="str">
        <f t="shared" si="22"/>
        <v/>
      </c>
      <c r="AF306" s="73">
        <f t="shared" si="23"/>
        <v>4.0003060000000001</v>
      </c>
      <c r="AG306" s="11" t="str">
        <f t="shared" si="24"/>
        <v/>
      </c>
      <c r="AH306" s="73">
        <f t="shared" si="25"/>
        <v>3.0003060000000001</v>
      </c>
    </row>
    <row r="307" spans="1:34" ht="14.25" customHeight="1">
      <c r="A307" s="11">
        <v>292</v>
      </c>
      <c r="B307" s="66"/>
      <c r="C307" s="67"/>
      <c r="D307" s="67"/>
      <c r="E307" s="67"/>
      <c r="F307" s="67"/>
      <c r="G307" s="67" t="s">
        <v>35</v>
      </c>
      <c r="H307" s="67">
        <v>45187</v>
      </c>
      <c r="I307" s="6" t="s">
        <v>882</v>
      </c>
      <c r="J307" s="9">
        <v>2048181832</v>
      </c>
      <c r="K307" s="68">
        <v>45169</v>
      </c>
      <c r="L307" s="68">
        <v>46022</v>
      </c>
      <c r="M307" s="68">
        <v>46203</v>
      </c>
      <c r="N307" s="69">
        <f t="shared" si="13"/>
        <v>59</v>
      </c>
      <c r="O307" s="69">
        <f t="shared" si="14"/>
        <v>20</v>
      </c>
      <c r="P307" s="70">
        <v>53</v>
      </c>
      <c r="Q307" s="70">
        <v>92</v>
      </c>
      <c r="R307" s="70">
        <v>112</v>
      </c>
      <c r="S307" s="68" t="str">
        <f t="shared" si="15"/>
        <v/>
      </c>
      <c r="T307" s="68"/>
      <c r="U307" s="68"/>
      <c r="V307" s="68"/>
      <c r="W307" s="9"/>
      <c r="X307" s="10"/>
      <c r="Y307" s="71">
        <f t="shared" si="16"/>
        <v>92</v>
      </c>
      <c r="Z307" s="73">
        <f t="shared" si="17"/>
        <v>112</v>
      </c>
      <c r="AA307" s="11" t="str">
        <f t="shared" si="18"/>
        <v/>
      </c>
      <c r="AB307" s="73">
        <f t="shared" si="19"/>
        <v>59</v>
      </c>
      <c r="AC307" s="11" t="str">
        <f t="shared" si="20"/>
        <v/>
      </c>
      <c r="AD307" s="73">
        <f t="shared" si="21"/>
        <v>20</v>
      </c>
      <c r="AE307" s="11" t="str">
        <f t="shared" si="22"/>
        <v/>
      </c>
      <c r="AF307" s="73">
        <f t="shared" si="23"/>
        <v>59.000306999999999</v>
      </c>
      <c r="AG307" s="11" t="str">
        <f t="shared" si="24"/>
        <v/>
      </c>
      <c r="AH307" s="73">
        <f t="shared" si="25"/>
        <v>20.000306999999999</v>
      </c>
    </row>
    <row r="308" spans="1:34" ht="14.25" customHeight="1">
      <c r="A308" s="11">
        <v>293</v>
      </c>
      <c r="B308" s="66"/>
      <c r="C308" s="67"/>
      <c r="D308" s="67"/>
      <c r="E308" s="67"/>
      <c r="F308" s="67"/>
      <c r="G308" s="67" t="s">
        <v>35</v>
      </c>
      <c r="H308" s="67">
        <v>42236</v>
      </c>
      <c r="I308" s="6" t="s">
        <v>883</v>
      </c>
      <c r="J308" s="9">
        <v>2048623536</v>
      </c>
      <c r="K308" s="68">
        <v>42216</v>
      </c>
      <c r="L308" s="68">
        <v>46022</v>
      </c>
      <c r="M308" s="68">
        <v>46203</v>
      </c>
      <c r="N308" s="69">
        <f t="shared" si="13"/>
        <v>-1</v>
      </c>
      <c r="O308" s="69">
        <f t="shared" si="14"/>
        <v>-4</v>
      </c>
      <c r="P308" s="70">
        <v>2</v>
      </c>
      <c r="Q308" s="70">
        <v>5</v>
      </c>
      <c r="R308" s="70">
        <v>1</v>
      </c>
      <c r="S308" s="68" t="str">
        <f t="shared" si="15"/>
        <v/>
      </c>
      <c r="T308" s="68"/>
      <c r="U308" s="68"/>
      <c r="V308" s="68"/>
      <c r="W308" s="9"/>
      <c r="X308" s="10"/>
      <c r="Y308" s="71">
        <f t="shared" si="16"/>
        <v>5</v>
      </c>
      <c r="Z308" s="73">
        <f t="shared" si="17"/>
        <v>1</v>
      </c>
      <c r="AA308" s="11" t="str">
        <f t="shared" si="18"/>
        <v/>
      </c>
      <c r="AB308" s="73">
        <f t="shared" si="19"/>
        <v>-1</v>
      </c>
      <c r="AC308" s="11" t="str">
        <f t="shared" si="20"/>
        <v/>
      </c>
      <c r="AD308" s="73">
        <f t="shared" si="21"/>
        <v>-4</v>
      </c>
      <c r="AE308" s="11" t="str">
        <f t="shared" si="22"/>
        <v/>
      </c>
      <c r="AF308" s="73">
        <f t="shared" si="23"/>
        <v>-0.99969200000000003</v>
      </c>
      <c r="AG308" s="11" t="str">
        <f t="shared" si="24"/>
        <v/>
      </c>
      <c r="AH308" s="73">
        <f t="shared" si="25"/>
        <v>-3.999692</v>
      </c>
    </row>
    <row r="309" spans="1:34" ht="14.25" customHeight="1">
      <c r="A309" s="11">
        <v>294</v>
      </c>
      <c r="B309" s="66"/>
      <c r="C309" s="67"/>
      <c r="D309" s="67"/>
      <c r="E309" s="67"/>
      <c r="F309" s="67"/>
      <c r="G309" s="67" t="s">
        <v>35</v>
      </c>
      <c r="H309" s="67">
        <v>45336</v>
      </c>
      <c r="I309" s="6" t="s">
        <v>884</v>
      </c>
      <c r="J309" s="9">
        <v>2048658239</v>
      </c>
      <c r="K309" s="68">
        <v>45322</v>
      </c>
      <c r="L309" s="68">
        <v>46022</v>
      </c>
      <c r="M309" s="68">
        <v>46203</v>
      </c>
      <c r="N309" s="69">
        <f t="shared" si="13"/>
        <v>-7</v>
      </c>
      <c r="O309" s="69">
        <f t="shared" si="14"/>
        <v>-4</v>
      </c>
      <c r="P309" s="70">
        <v>14</v>
      </c>
      <c r="Q309" s="70">
        <v>11</v>
      </c>
      <c r="R309" s="70">
        <v>7</v>
      </c>
      <c r="S309" s="68" t="str">
        <f t="shared" si="15"/>
        <v/>
      </c>
      <c r="T309" s="68"/>
      <c r="U309" s="68"/>
      <c r="V309" s="68"/>
      <c r="W309" s="9"/>
      <c r="X309" s="10"/>
      <c r="Y309" s="71">
        <f t="shared" si="16"/>
        <v>11</v>
      </c>
      <c r="Z309" s="73">
        <f t="shared" si="17"/>
        <v>7</v>
      </c>
      <c r="AA309" s="11" t="str">
        <f t="shared" si="18"/>
        <v/>
      </c>
      <c r="AB309" s="73">
        <f t="shared" si="19"/>
        <v>-7</v>
      </c>
      <c r="AC309" s="11" t="str">
        <f t="shared" si="20"/>
        <v/>
      </c>
      <c r="AD309" s="73">
        <f t="shared" si="21"/>
        <v>-4</v>
      </c>
      <c r="AE309" s="11" t="str">
        <f t="shared" si="22"/>
        <v/>
      </c>
      <c r="AF309" s="73">
        <f t="shared" si="23"/>
        <v>-6.9996910000000003</v>
      </c>
      <c r="AG309" s="11" t="str">
        <f t="shared" si="24"/>
        <v/>
      </c>
      <c r="AH309" s="73">
        <f t="shared" si="25"/>
        <v>-3.9996909999999999</v>
      </c>
    </row>
    <row r="310" spans="1:34" ht="14.25" customHeight="1">
      <c r="A310" s="11">
        <v>295</v>
      </c>
      <c r="B310" s="66" t="s">
        <v>35</v>
      </c>
      <c r="C310" s="67">
        <v>43192</v>
      </c>
      <c r="D310" s="67"/>
      <c r="E310" s="67"/>
      <c r="F310" s="67"/>
      <c r="G310" s="67"/>
      <c r="H310" s="67"/>
      <c r="I310" s="6" t="s">
        <v>885</v>
      </c>
      <c r="J310" s="9">
        <v>2050509144</v>
      </c>
      <c r="K310" s="68">
        <v>43190</v>
      </c>
      <c r="L310" s="68">
        <v>46022</v>
      </c>
      <c r="M310" s="68">
        <v>46203</v>
      </c>
      <c r="N310" s="69">
        <f t="shared" si="13"/>
        <v>8</v>
      </c>
      <c r="O310" s="69">
        <f t="shared" si="14"/>
        <v>0</v>
      </c>
      <c r="P310" s="70">
        <v>0</v>
      </c>
      <c r="Q310" s="70">
        <v>8</v>
      </c>
      <c r="R310" s="70">
        <v>8</v>
      </c>
      <c r="S310" s="68" t="str">
        <f t="shared" si="15"/>
        <v/>
      </c>
      <c r="T310" s="68"/>
      <c r="U310" s="68"/>
      <c r="V310" s="68"/>
      <c r="W310" s="9"/>
      <c r="X310" s="10"/>
      <c r="Y310" s="71">
        <f t="shared" si="16"/>
        <v>8</v>
      </c>
      <c r="Z310" s="73">
        <f t="shared" si="17"/>
        <v>8</v>
      </c>
      <c r="AA310" s="73">
        <f t="shared" si="18"/>
        <v>8</v>
      </c>
      <c r="AB310" s="11" t="str">
        <f t="shared" si="19"/>
        <v/>
      </c>
      <c r="AC310" s="73">
        <f t="shared" si="20"/>
        <v>0</v>
      </c>
      <c r="AD310" s="11" t="str">
        <f t="shared" si="21"/>
        <v/>
      </c>
      <c r="AE310" s="73">
        <f t="shared" si="22"/>
        <v>8.0003100000000007</v>
      </c>
      <c r="AF310" s="11" t="str">
        <f t="shared" si="23"/>
        <v/>
      </c>
      <c r="AG310" s="73">
        <f t="shared" si="24"/>
        <v>3.1E-4</v>
      </c>
      <c r="AH310" s="11" t="str">
        <f t="shared" si="25"/>
        <v/>
      </c>
    </row>
    <row r="311" spans="1:34" ht="14.25" customHeight="1">
      <c r="A311" s="11">
        <v>296</v>
      </c>
      <c r="B311" s="66"/>
      <c r="C311" s="67"/>
      <c r="D311" s="67"/>
      <c r="E311" s="67"/>
      <c r="F311" s="67"/>
      <c r="G311" s="67" t="s">
        <v>35</v>
      </c>
      <c r="H311" s="67">
        <v>44783</v>
      </c>
      <c r="I311" s="6" t="s">
        <v>886</v>
      </c>
      <c r="J311" s="9">
        <v>2058141075</v>
      </c>
      <c r="K311" s="68">
        <v>44773</v>
      </c>
      <c r="L311" s="68">
        <v>46022</v>
      </c>
      <c r="M311" s="68">
        <v>46203</v>
      </c>
      <c r="N311" s="69">
        <f t="shared" si="13"/>
        <v>3</v>
      </c>
      <c r="O311" s="69">
        <f t="shared" si="14"/>
        <v>0</v>
      </c>
      <c r="P311" s="70">
        <v>62</v>
      </c>
      <c r="Q311" s="70">
        <v>65</v>
      </c>
      <c r="R311" s="70">
        <v>65</v>
      </c>
      <c r="S311" s="68" t="str">
        <f t="shared" si="15"/>
        <v/>
      </c>
      <c r="T311" s="68"/>
      <c r="U311" s="68"/>
      <c r="V311" s="68"/>
      <c r="W311" s="9"/>
      <c r="X311" s="10"/>
      <c r="Y311" s="71">
        <f t="shared" si="16"/>
        <v>65</v>
      </c>
      <c r="Z311" s="73">
        <f t="shared" si="17"/>
        <v>65</v>
      </c>
      <c r="AA311" s="11" t="str">
        <f t="shared" si="18"/>
        <v/>
      </c>
      <c r="AB311" s="73">
        <f t="shared" si="19"/>
        <v>3</v>
      </c>
      <c r="AC311" s="11" t="str">
        <f t="shared" si="20"/>
        <v/>
      </c>
      <c r="AD311" s="73">
        <f t="shared" si="21"/>
        <v>0</v>
      </c>
      <c r="AE311" s="11" t="str">
        <f t="shared" si="22"/>
        <v/>
      </c>
      <c r="AF311" s="73">
        <f t="shared" si="23"/>
        <v>3.000311</v>
      </c>
      <c r="AG311" s="11" t="str">
        <f t="shared" si="24"/>
        <v/>
      </c>
      <c r="AH311" s="73">
        <f t="shared" si="25"/>
        <v>3.1100000000000002E-4</v>
      </c>
    </row>
    <row r="312" spans="1:34" ht="14.25" customHeight="1">
      <c r="A312" s="11">
        <v>297</v>
      </c>
      <c r="B312" s="66"/>
      <c r="C312" s="67"/>
      <c r="D312" s="67"/>
      <c r="E312" s="67"/>
      <c r="F312" s="67"/>
      <c r="G312" s="67" t="s">
        <v>35</v>
      </c>
      <c r="H312" s="67">
        <v>45537</v>
      </c>
      <c r="I312" s="6" t="s">
        <v>887</v>
      </c>
      <c r="J312" s="9">
        <v>2058144223</v>
      </c>
      <c r="K312" s="68">
        <v>45535</v>
      </c>
      <c r="L312" s="68">
        <v>46022</v>
      </c>
      <c r="M312" s="68">
        <v>46203</v>
      </c>
      <c r="N312" s="69">
        <f t="shared" si="13"/>
        <v>32</v>
      </c>
      <c r="O312" s="69">
        <f t="shared" si="14"/>
        <v>14</v>
      </c>
      <c r="P312" s="70">
        <v>25</v>
      </c>
      <c r="Q312" s="70">
        <v>43</v>
      </c>
      <c r="R312" s="70">
        <v>57</v>
      </c>
      <c r="S312" s="68" t="str">
        <f t="shared" si="15"/>
        <v/>
      </c>
      <c r="T312" s="68"/>
      <c r="U312" s="68"/>
      <c r="V312" s="68"/>
      <c r="W312" s="9"/>
      <c r="X312" s="10"/>
      <c r="Y312" s="71">
        <f t="shared" si="16"/>
        <v>43</v>
      </c>
      <c r="Z312" s="73">
        <f t="shared" si="17"/>
        <v>57</v>
      </c>
      <c r="AA312" s="11" t="str">
        <f t="shared" si="18"/>
        <v/>
      </c>
      <c r="AB312" s="73">
        <f t="shared" si="19"/>
        <v>32</v>
      </c>
      <c r="AC312" s="11" t="str">
        <f t="shared" si="20"/>
        <v/>
      </c>
      <c r="AD312" s="73">
        <f t="shared" si="21"/>
        <v>14</v>
      </c>
      <c r="AE312" s="11" t="str">
        <f t="shared" si="22"/>
        <v/>
      </c>
      <c r="AF312" s="73">
        <f t="shared" si="23"/>
        <v>32.000312000000001</v>
      </c>
      <c r="AG312" s="11" t="str">
        <f t="shared" si="24"/>
        <v/>
      </c>
      <c r="AH312" s="73">
        <f t="shared" si="25"/>
        <v>14.000311999999999</v>
      </c>
    </row>
    <row r="313" spans="1:34" ht="14.25" customHeight="1">
      <c r="A313" s="11">
        <v>298</v>
      </c>
      <c r="B313" s="66"/>
      <c r="C313" s="67"/>
      <c r="D313" s="67"/>
      <c r="E313" s="67"/>
      <c r="F313" s="67"/>
      <c r="G313" s="67" t="s">
        <v>35</v>
      </c>
      <c r="H313" s="67">
        <v>44071</v>
      </c>
      <c r="I313" s="6" t="s">
        <v>888</v>
      </c>
      <c r="J313" s="9">
        <v>2058801505</v>
      </c>
      <c r="K313" s="68">
        <v>44043</v>
      </c>
      <c r="L313" s="68">
        <v>46022</v>
      </c>
      <c r="M313" s="68">
        <v>46203</v>
      </c>
      <c r="N313" s="69">
        <f t="shared" si="13"/>
        <v>64</v>
      </c>
      <c r="O313" s="69">
        <f t="shared" si="14"/>
        <v>7</v>
      </c>
      <c r="P313" s="70">
        <v>6</v>
      </c>
      <c r="Q313" s="70">
        <v>63</v>
      </c>
      <c r="R313" s="70">
        <v>70</v>
      </c>
      <c r="S313" s="68" t="str">
        <f t="shared" si="15"/>
        <v/>
      </c>
      <c r="T313" s="68"/>
      <c r="U313" s="68"/>
      <c r="V313" s="68"/>
      <c r="W313" s="9"/>
      <c r="X313" s="10"/>
      <c r="Y313" s="71">
        <f t="shared" si="16"/>
        <v>63</v>
      </c>
      <c r="Z313" s="73">
        <f t="shared" si="17"/>
        <v>70</v>
      </c>
      <c r="AA313" s="11" t="str">
        <f t="shared" si="18"/>
        <v/>
      </c>
      <c r="AB313" s="73">
        <f t="shared" si="19"/>
        <v>64</v>
      </c>
      <c r="AC313" s="11" t="str">
        <f t="shared" si="20"/>
        <v/>
      </c>
      <c r="AD313" s="73">
        <f t="shared" si="21"/>
        <v>7</v>
      </c>
      <c r="AE313" s="11" t="str">
        <f t="shared" si="22"/>
        <v/>
      </c>
      <c r="AF313" s="73">
        <f t="shared" si="23"/>
        <v>64.000313000000006</v>
      </c>
      <c r="AG313" s="11" t="str">
        <f t="shared" si="24"/>
        <v/>
      </c>
      <c r="AH313" s="73">
        <f t="shared" si="25"/>
        <v>7.0003130000000002</v>
      </c>
    </row>
    <row r="314" spans="1:34" ht="14.25" customHeight="1">
      <c r="A314" s="11">
        <v>299</v>
      </c>
      <c r="B314" s="66" t="s">
        <v>24</v>
      </c>
      <c r="C314" s="67">
        <v>42416</v>
      </c>
      <c r="D314" s="67"/>
      <c r="E314" s="67"/>
      <c r="F314" s="67"/>
      <c r="G314" s="67"/>
      <c r="H314" s="67"/>
      <c r="I314" s="6" t="s">
        <v>889</v>
      </c>
      <c r="J314" s="9">
        <v>2063188267</v>
      </c>
      <c r="K314" s="68">
        <v>42400</v>
      </c>
      <c r="L314" s="68" t="s">
        <v>230</v>
      </c>
      <c r="M314" s="68">
        <v>44043</v>
      </c>
      <c r="N314" s="69">
        <f t="shared" si="13"/>
        <v>0</v>
      </c>
      <c r="O314" s="69" t="str">
        <f t="shared" si="14"/>
        <v>N/A</v>
      </c>
      <c r="P314" s="70">
        <v>0</v>
      </c>
      <c r="Q314" s="70"/>
      <c r="R314" s="70">
        <v>0</v>
      </c>
      <c r="S314" s="68">
        <f t="shared" si="15"/>
        <v>44025</v>
      </c>
      <c r="T314" s="68">
        <v>44025</v>
      </c>
      <c r="U314" s="68"/>
      <c r="V314" s="68"/>
      <c r="W314" s="9"/>
      <c r="X314" s="10"/>
      <c r="Y314" s="65" t="str">
        <f t="shared" si="16"/>
        <v/>
      </c>
      <c r="Z314" s="11" t="str">
        <f t="shared" si="17"/>
        <v/>
      </c>
      <c r="AA314" s="73">
        <f t="shared" si="18"/>
        <v>0</v>
      </c>
      <c r="AB314" s="11" t="str">
        <f t="shared" si="19"/>
        <v/>
      </c>
      <c r="AC314" s="11" t="str">
        <f t="shared" si="20"/>
        <v/>
      </c>
      <c r="AD314" s="11" t="str">
        <f t="shared" si="21"/>
        <v/>
      </c>
      <c r="AE314" s="73">
        <f t="shared" si="22"/>
        <v>3.1399999999999999E-4</v>
      </c>
      <c r="AF314" s="11" t="str">
        <f t="shared" si="23"/>
        <v/>
      </c>
      <c r="AG314" s="11" t="str">
        <f t="shared" si="24"/>
        <v/>
      </c>
      <c r="AH314" s="11" t="str">
        <f t="shared" si="25"/>
        <v/>
      </c>
    </row>
    <row r="315" spans="1:34" ht="14.25" customHeight="1">
      <c r="A315" s="11">
        <v>300</v>
      </c>
      <c r="B315" s="66"/>
      <c r="C315" s="67"/>
      <c r="D315" s="67"/>
      <c r="E315" s="67"/>
      <c r="F315" s="67"/>
      <c r="G315" s="67" t="s">
        <v>35</v>
      </c>
      <c r="H315" s="67">
        <v>44554</v>
      </c>
      <c r="I315" s="6" t="s">
        <v>890</v>
      </c>
      <c r="J315" s="9">
        <v>2068191016</v>
      </c>
      <c r="K315" s="68">
        <v>44530</v>
      </c>
      <c r="L315" s="68">
        <v>46022</v>
      </c>
      <c r="M315" s="68">
        <v>46203</v>
      </c>
      <c r="N315" s="69">
        <f t="shared" si="13"/>
        <v>10</v>
      </c>
      <c r="O315" s="69">
        <f t="shared" si="14"/>
        <v>7</v>
      </c>
      <c r="P315" s="70">
        <v>51</v>
      </c>
      <c r="Q315" s="70">
        <v>54</v>
      </c>
      <c r="R315" s="70">
        <v>61</v>
      </c>
      <c r="S315" s="68" t="str">
        <f t="shared" si="15"/>
        <v/>
      </c>
      <c r="T315" s="68"/>
      <c r="U315" s="68"/>
      <c r="V315" s="68"/>
      <c r="W315" s="9"/>
      <c r="X315" s="10"/>
      <c r="Y315" s="71">
        <f t="shared" si="16"/>
        <v>54</v>
      </c>
      <c r="Z315" s="73">
        <f t="shared" si="17"/>
        <v>61</v>
      </c>
      <c r="AA315" s="11" t="str">
        <f t="shared" si="18"/>
        <v/>
      </c>
      <c r="AB315" s="73">
        <f t="shared" si="19"/>
        <v>10</v>
      </c>
      <c r="AC315" s="11" t="str">
        <f t="shared" si="20"/>
        <v/>
      </c>
      <c r="AD315" s="73">
        <f t="shared" si="21"/>
        <v>7</v>
      </c>
      <c r="AE315" s="11" t="str">
        <f t="shared" si="22"/>
        <v/>
      </c>
      <c r="AF315" s="73">
        <f t="shared" si="23"/>
        <v>10.000315000000001</v>
      </c>
      <c r="AG315" s="11" t="str">
        <f t="shared" si="24"/>
        <v/>
      </c>
      <c r="AH315" s="73">
        <f t="shared" si="25"/>
        <v>7.0003149999999996</v>
      </c>
    </row>
    <row r="316" spans="1:34" ht="14.25" customHeight="1">
      <c r="A316" s="11">
        <v>301</v>
      </c>
      <c r="B316" s="66"/>
      <c r="C316" s="67"/>
      <c r="D316" s="67"/>
      <c r="E316" s="67"/>
      <c r="F316" s="67"/>
      <c r="G316" s="67" t="s">
        <v>35</v>
      </c>
      <c r="H316" s="67">
        <v>45961</v>
      </c>
      <c r="I316" s="6" t="s">
        <v>891</v>
      </c>
      <c r="J316" s="94">
        <v>2068655766</v>
      </c>
      <c r="K316" s="68">
        <v>45930</v>
      </c>
      <c r="L316" s="68">
        <v>46022</v>
      </c>
      <c r="M316" s="68">
        <v>46203</v>
      </c>
      <c r="N316" s="69">
        <f t="shared" si="13"/>
        <v>9</v>
      </c>
      <c r="O316" s="69">
        <f t="shared" si="14"/>
        <v>6</v>
      </c>
      <c r="P316" s="70">
        <v>45</v>
      </c>
      <c r="Q316" s="70">
        <v>48</v>
      </c>
      <c r="R316" s="70">
        <v>54</v>
      </c>
      <c r="S316" s="68" t="str">
        <f t="shared" si="15"/>
        <v/>
      </c>
      <c r="T316" s="68"/>
      <c r="U316" s="95"/>
      <c r="V316" s="68"/>
      <c r="W316" s="6"/>
      <c r="X316" s="10"/>
      <c r="Y316" s="71">
        <f t="shared" si="16"/>
        <v>48</v>
      </c>
      <c r="Z316" s="73">
        <f t="shared" si="17"/>
        <v>54</v>
      </c>
      <c r="AA316" s="11" t="str">
        <f t="shared" si="18"/>
        <v/>
      </c>
      <c r="AB316" s="73">
        <f t="shared" si="19"/>
        <v>9</v>
      </c>
      <c r="AC316" s="11" t="str">
        <f t="shared" si="20"/>
        <v/>
      </c>
      <c r="AD316" s="73">
        <f t="shared" si="21"/>
        <v>6</v>
      </c>
      <c r="AE316" s="11" t="str">
        <f t="shared" si="22"/>
        <v/>
      </c>
      <c r="AF316" s="73">
        <f t="shared" si="23"/>
        <v>9.0003159999999998</v>
      </c>
      <c r="AG316" s="11" t="str">
        <f t="shared" si="24"/>
        <v/>
      </c>
      <c r="AH316" s="73">
        <f t="shared" si="25"/>
        <v>6.0003159999999998</v>
      </c>
    </row>
    <row r="317" spans="1:34" ht="14.25" customHeight="1">
      <c r="A317" s="11">
        <v>302</v>
      </c>
      <c r="B317" s="66"/>
      <c r="C317" s="67"/>
      <c r="D317" s="67"/>
      <c r="E317" s="67"/>
      <c r="F317" s="67"/>
      <c r="G317" s="67" t="s">
        <v>35</v>
      </c>
      <c r="H317" s="67">
        <v>43752</v>
      </c>
      <c r="I317" s="6" t="s">
        <v>892</v>
      </c>
      <c r="J317" s="9">
        <v>2068683224</v>
      </c>
      <c r="K317" s="68">
        <v>43738</v>
      </c>
      <c r="L317" s="68">
        <v>46022</v>
      </c>
      <c r="M317" s="68">
        <v>46203</v>
      </c>
      <c r="N317" s="69">
        <f t="shared" si="13"/>
        <v>3</v>
      </c>
      <c r="O317" s="69">
        <f t="shared" si="14"/>
        <v>2</v>
      </c>
      <c r="P317" s="70">
        <v>47</v>
      </c>
      <c r="Q317" s="70">
        <v>48</v>
      </c>
      <c r="R317" s="70">
        <v>50</v>
      </c>
      <c r="S317" s="68" t="str">
        <f t="shared" si="15"/>
        <v/>
      </c>
      <c r="T317" s="68"/>
      <c r="U317" s="68"/>
      <c r="V317" s="68"/>
      <c r="W317" s="9"/>
      <c r="X317" s="10"/>
      <c r="Y317" s="71">
        <f t="shared" si="16"/>
        <v>48</v>
      </c>
      <c r="Z317" s="73">
        <f t="shared" si="17"/>
        <v>50</v>
      </c>
      <c r="AA317" s="11" t="str">
        <f t="shared" si="18"/>
        <v/>
      </c>
      <c r="AB317" s="73">
        <f t="shared" si="19"/>
        <v>3</v>
      </c>
      <c r="AC317" s="11" t="str">
        <f t="shared" si="20"/>
        <v/>
      </c>
      <c r="AD317" s="73">
        <f t="shared" si="21"/>
        <v>2</v>
      </c>
      <c r="AE317" s="11" t="str">
        <f t="shared" si="22"/>
        <v/>
      </c>
      <c r="AF317" s="73">
        <f t="shared" si="23"/>
        <v>3.0003169999999999</v>
      </c>
      <c r="AG317" s="11" t="str">
        <f t="shared" si="24"/>
        <v/>
      </c>
      <c r="AH317" s="73">
        <f t="shared" si="25"/>
        <v>2.0003169999999999</v>
      </c>
    </row>
    <row r="318" spans="1:34" ht="14.25" customHeight="1">
      <c r="A318" s="11">
        <v>303</v>
      </c>
      <c r="B318" s="66"/>
      <c r="C318" s="67"/>
      <c r="D318" s="67"/>
      <c r="E318" s="67"/>
      <c r="F318" s="67"/>
      <c r="G318" s="67" t="s">
        <v>24</v>
      </c>
      <c r="H318" s="67">
        <v>41844</v>
      </c>
      <c r="I318" s="6" t="s">
        <v>893</v>
      </c>
      <c r="J318" s="9">
        <v>2068684830</v>
      </c>
      <c r="K318" s="68">
        <v>41820</v>
      </c>
      <c r="L318" s="68" t="s">
        <v>230</v>
      </c>
      <c r="M318" s="68">
        <v>42766</v>
      </c>
      <c r="N318" s="69">
        <f t="shared" si="13"/>
        <v>-4</v>
      </c>
      <c r="O318" s="69" t="str">
        <f t="shared" si="14"/>
        <v>N/A</v>
      </c>
      <c r="P318" s="70">
        <v>4</v>
      </c>
      <c r="Q318" s="70"/>
      <c r="R318" s="70">
        <v>0</v>
      </c>
      <c r="S318" s="68">
        <f t="shared" si="15"/>
        <v>42759</v>
      </c>
      <c r="T318" s="68">
        <v>42759</v>
      </c>
      <c r="U318" s="68"/>
      <c r="V318" s="68"/>
      <c r="W318" s="9"/>
      <c r="X318" s="10"/>
      <c r="Y318" s="65" t="str">
        <f t="shared" si="16"/>
        <v/>
      </c>
      <c r="Z318" s="11" t="str">
        <f t="shared" si="17"/>
        <v/>
      </c>
      <c r="AA318" s="11" t="str">
        <f t="shared" si="18"/>
        <v/>
      </c>
      <c r="AB318" s="73">
        <f t="shared" si="19"/>
        <v>-4</v>
      </c>
      <c r="AC318" s="11" t="str">
        <f t="shared" si="20"/>
        <v/>
      </c>
      <c r="AD318" s="11" t="str">
        <f t="shared" si="21"/>
        <v/>
      </c>
      <c r="AE318" s="11" t="str">
        <f t="shared" si="22"/>
        <v/>
      </c>
      <c r="AF318" s="73">
        <f t="shared" si="23"/>
        <v>-3.999682</v>
      </c>
      <c r="AG318" s="11" t="str">
        <f t="shared" si="24"/>
        <v/>
      </c>
      <c r="AH318" s="11" t="str">
        <f t="shared" si="25"/>
        <v/>
      </c>
    </row>
    <row r="319" spans="1:34" ht="14.25" customHeight="1">
      <c r="A319" s="11">
        <v>304</v>
      </c>
      <c r="B319" s="66" t="s">
        <v>894</v>
      </c>
      <c r="C319" s="67">
        <v>41793</v>
      </c>
      <c r="D319" s="67">
        <v>41907</v>
      </c>
      <c r="E319" s="67"/>
      <c r="F319" s="67"/>
      <c r="G319" s="67" t="s">
        <v>35</v>
      </c>
      <c r="H319" s="67">
        <v>41661</v>
      </c>
      <c r="I319" s="6" t="s">
        <v>895</v>
      </c>
      <c r="J319" s="9">
        <v>2068685649</v>
      </c>
      <c r="K319" s="68">
        <v>41639</v>
      </c>
      <c r="L319" s="68">
        <v>46022</v>
      </c>
      <c r="M319" s="68">
        <v>46203</v>
      </c>
      <c r="N319" s="69">
        <f t="shared" si="13"/>
        <v>4</v>
      </c>
      <c r="O319" s="69">
        <f t="shared" si="14"/>
        <v>-1</v>
      </c>
      <c r="P319" s="70">
        <v>0</v>
      </c>
      <c r="Q319" s="70">
        <v>5</v>
      </c>
      <c r="R319" s="70">
        <v>4</v>
      </c>
      <c r="S319" s="68" t="str">
        <f t="shared" si="15"/>
        <v/>
      </c>
      <c r="T319" s="68"/>
      <c r="U319" s="68">
        <v>44926</v>
      </c>
      <c r="V319" s="68">
        <v>45560</v>
      </c>
      <c r="W319" s="9"/>
      <c r="X319" s="10"/>
      <c r="Y319" s="71">
        <f t="shared" si="16"/>
        <v>5</v>
      </c>
      <c r="Z319" s="73">
        <f t="shared" si="17"/>
        <v>4</v>
      </c>
      <c r="AA319" s="73">
        <f t="shared" si="18"/>
        <v>4</v>
      </c>
      <c r="AB319" s="73">
        <f t="shared" si="19"/>
        <v>4</v>
      </c>
      <c r="AC319" s="73">
        <f t="shared" si="20"/>
        <v>-1</v>
      </c>
      <c r="AD319" s="73">
        <f t="shared" si="21"/>
        <v>-1</v>
      </c>
      <c r="AE319" s="73">
        <f t="shared" si="22"/>
        <v>4.0003190000000002</v>
      </c>
      <c r="AF319" s="73">
        <f t="shared" si="23"/>
        <v>4.0003190000000002</v>
      </c>
      <c r="AG319" s="73">
        <f t="shared" si="24"/>
        <v>-0.99968100000000004</v>
      </c>
      <c r="AH319" s="73">
        <f t="shared" si="25"/>
        <v>-0.99968100000000004</v>
      </c>
    </row>
    <row r="320" spans="1:34" ht="14.25" customHeight="1">
      <c r="A320" s="11">
        <v>305</v>
      </c>
      <c r="B320" s="66"/>
      <c r="C320" s="67"/>
      <c r="D320" s="67"/>
      <c r="E320" s="67"/>
      <c r="F320" s="67"/>
      <c r="G320" s="67" t="s">
        <v>35</v>
      </c>
      <c r="H320" s="67">
        <v>42404</v>
      </c>
      <c r="I320" s="6" t="s">
        <v>896</v>
      </c>
      <c r="J320" s="9">
        <v>2068694454</v>
      </c>
      <c r="K320" s="68">
        <v>42400</v>
      </c>
      <c r="L320" s="68">
        <v>46022</v>
      </c>
      <c r="M320" s="68">
        <v>46203</v>
      </c>
      <c r="N320" s="69">
        <f t="shared" si="13"/>
        <v>-13</v>
      </c>
      <c r="O320" s="69">
        <f t="shared" si="14"/>
        <v>0</v>
      </c>
      <c r="P320" s="70">
        <v>18</v>
      </c>
      <c r="Q320" s="70">
        <v>5</v>
      </c>
      <c r="R320" s="70">
        <v>5</v>
      </c>
      <c r="S320" s="68" t="str">
        <f t="shared" si="15"/>
        <v/>
      </c>
      <c r="T320" s="68"/>
      <c r="U320" s="68"/>
      <c r="V320" s="68"/>
      <c r="W320" s="9"/>
      <c r="X320" s="10"/>
      <c r="Y320" s="71">
        <f t="shared" si="16"/>
        <v>5</v>
      </c>
      <c r="Z320" s="73">
        <f t="shared" si="17"/>
        <v>5</v>
      </c>
      <c r="AA320" s="11" t="str">
        <f t="shared" si="18"/>
        <v/>
      </c>
      <c r="AB320" s="73">
        <f t="shared" si="19"/>
        <v>-13</v>
      </c>
      <c r="AC320" s="11" t="str">
        <f t="shared" si="20"/>
        <v/>
      </c>
      <c r="AD320" s="73">
        <f t="shared" si="21"/>
        <v>0</v>
      </c>
      <c r="AE320" s="11" t="str">
        <f t="shared" si="22"/>
        <v/>
      </c>
      <c r="AF320" s="73">
        <f t="shared" si="23"/>
        <v>-12.99968</v>
      </c>
      <c r="AG320" s="11" t="str">
        <f t="shared" si="24"/>
        <v/>
      </c>
      <c r="AH320" s="73">
        <f t="shared" si="25"/>
        <v>3.2000000000000003E-4</v>
      </c>
    </row>
    <row r="321" spans="1:34" ht="14.25" customHeight="1">
      <c r="A321" s="11">
        <v>306</v>
      </c>
      <c r="B321" s="66" t="s">
        <v>35</v>
      </c>
      <c r="C321" s="67"/>
      <c r="D321" s="67">
        <v>45954</v>
      </c>
      <c r="E321" s="67">
        <v>46023</v>
      </c>
      <c r="F321" s="67"/>
      <c r="G321" s="67"/>
      <c r="H321" s="67"/>
      <c r="I321" s="6" t="s">
        <v>897</v>
      </c>
      <c r="J321" s="9">
        <v>2078802290</v>
      </c>
      <c r="K321" s="68">
        <v>45930</v>
      </c>
      <c r="L321" s="68">
        <v>46022</v>
      </c>
      <c r="M321" s="68">
        <v>46203</v>
      </c>
      <c r="N321" s="69">
        <f t="shared" si="13"/>
        <v>1</v>
      </c>
      <c r="O321" s="69">
        <f t="shared" si="14"/>
        <v>1</v>
      </c>
      <c r="P321" s="70">
        <v>19</v>
      </c>
      <c r="Q321" s="70">
        <v>19</v>
      </c>
      <c r="R321" s="70">
        <v>20</v>
      </c>
      <c r="S321" s="68" t="str">
        <f t="shared" si="15"/>
        <v/>
      </c>
      <c r="T321" s="68"/>
      <c r="U321" s="68"/>
      <c r="V321" s="68"/>
      <c r="W321" s="9"/>
      <c r="X321" s="10"/>
      <c r="Y321" s="71">
        <f t="shared" si="16"/>
        <v>19</v>
      </c>
      <c r="Z321" s="73">
        <f t="shared" si="17"/>
        <v>20</v>
      </c>
      <c r="AA321" s="73">
        <f t="shared" si="18"/>
        <v>1</v>
      </c>
      <c r="AB321" s="11" t="str">
        <f t="shared" si="19"/>
        <v/>
      </c>
      <c r="AC321" s="73">
        <f t="shared" si="20"/>
        <v>1</v>
      </c>
      <c r="AD321" s="11" t="str">
        <f t="shared" si="21"/>
        <v/>
      </c>
      <c r="AE321" s="73">
        <f t="shared" si="22"/>
        <v>1.000321</v>
      </c>
      <c r="AF321" s="11" t="str">
        <f t="shared" si="23"/>
        <v/>
      </c>
      <c r="AG321" s="73">
        <f t="shared" si="24"/>
        <v>1.000321</v>
      </c>
      <c r="AH321" s="11" t="str">
        <f t="shared" si="25"/>
        <v/>
      </c>
    </row>
    <row r="322" spans="1:34" ht="14.25" customHeight="1">
      <c r="A322" s="11">
        <v>307</v>
      </c>
      <c r="B322" s="66"/>
      <c r="C322" s="67"/>
      <c r="D322" s="67"/>
      <c r="E322" s="67"/>
      <c r="F322" s="67"/>
      <c r="G322" s="67" t="s">
        <v>35</v>
      </c>
      <c r="H322" s="67">
        <v>42241</v>
      </c>
      <c r="I322" s="6" t="s">
        <v>898</v>
      </c>
      <c r="J322" s="9">
        <v>2098155339</v>
      </c>
      <c r="K322" s="68">
        <v>42216</v>
      </c>
      <c r="L322" s="68">
        <v>46022</v>
      </c>
      <c r="M322" s="68">
        <v>46203</v>
      </c>
      <c r="N322" s="69">
        <f t="shared" si="13"/>
        <v>232</v>
      </c>
      <c r="O322" s="69">
        <f t="shared" si="14"/>
        <v>-23</v>
      </c>
      <c r="P322" s="70">
        <v>13</v>
      </c>
      <c r="Q322" s="70">
        <v>268</v>
      </c>
      <c r="R322" s="70">
        <v>245</v>
      </c>
      <c r="S322" s="68" t="str">
        <f t="shared" si="15"/>
        <v/>
      </c>
      <c r="T322" s="68"/>
      <c r="U322" s="68"/>
      <c r="V322" s="68"/>
      <c r="W322" s="9"/>
      <c r="X322" s="10"/>
      <c r="Y322" s="71">
        <f t="shared" si="16"/>
        <v>268</v>
      </c>
      <c r="Z322" s="73">
        <f t="shared" si="17"/>
        <v>245</v>
      </c>
      <c r="AA322" s="11" t="str">
        <f t="shared" si="18"/>
        <v/>
      </c>
      <c r="AB322" s="73">
        <f t="shared" si="19"/>
        <v>232</v>
      </c>
      <c r="AC322" s="11" t="str">
        <f t="shared" si="20"/>
        <v/>
      </c>
      <c r="AD322" s="73">
        <f t="shared" si="21"/>
        <v>-23</v>
      </c>
      <c r="AE322" s="11" t="str">
        <f t="shared" si="22"/>
        <v/>
      </c>
      <c r="AF322" s="73">
        <f t="shared" si="23"/>
        <v>232.00032200000001</v>
      </c>
      <c r="AG322" s="11" t="str">
        <f t="shared" si="24"/>
        <v/>
      </c>
      <c r="AH322" s="73">
        <f t="shared" si="25"/>
        <v>-22.999677999999999</v>
      </c>
    </row>
    <row r="323" spans="1:34" ht="14.25" customHeight="1">
      <c r="A323" s="11">
        <v>308</v>
      </c>
      <c r="B323" s="66"/>
      <c r="C323" s="67"/>
      <c r="D323" s="67"/>
      <c r="E323" s="67"/>
      <c r="F323" s="67"/>
      <c r="G323" s="67" t="s">
        <v>35</v>
      </c>
      <c r="H323" s="67">
        <v>44782</v>
      </c>
      <c r="I323" s="6" t="s">
        <v>899</v>
      </c>
      <c r="J323" s="9">
        <v>2098157303</v>
      </c>
      <c r="K323" s="68">
        <v>44773</v>
      </c>
      <c r="L323" s="68">
        <v>46022</v>
      </c>
      <c r="M323" s="68">
        <v>46203</v>
      </c>
      <c r="N323" s="69">
        <f t="shared" si="13"/>
        <v>11</v>
      </c>
      <c r="O323" s="69">
        <f t="shared" si="14"/>
        <v>4</v>
      </c>
      <c r="P323" s="70">
        <v>53</v>
      </c>
      <c r="Q323" s="70">
        <v>60</v>
      </c>
      <c r="R323" s="70">
        <v>64</v>
      </c>
      <c r="S323" s="68" t="str">
        <f t="shared" si="15"/>
        <v/>
      </c>
      <c r="T323" s="68"/>
      <c r="U323" s="68"/>
      <c r="V323" s="68"/>
      <c r="W323" s="9"/>
      <c r="X323" s="10"/>
      <c r="Y323" s="71">
        <f t="shared" si="16"/>
        <v>60</v>
      </c>
      <c r="Z323" s="73">
        <f t="shared" si="17"/>
        <v>64</v>
      </c>
      <c r="AA323" s="11" t="str">
        <f t="shared" si="18"/>
        <v/>
      </c>
      <c r="AB323" s="73">
        <f t="shared" si="19"/>
        <v>11</v>
      </c>
      <c r="AC323" s="11" t="str">
        <f t="shared" si="20"/>
        <v/>
      </c>
      <c r="AD323" s="73">
        <f t="shared" si="21"/>
        <v>4</v>
      </c>
      <c r="AE323" s="11" t="str">
        <f t="shared" si="22"/>
        <v/>
      </c>
      <c r="AF323" s="73">
        <f t="shared" si="23"/>
        <v>11.000323</v>
      </c>
      <c r="AG323" s="11" t="str">
        <f t="shared" si="24"/>
        <v/>
      </c>
      <c r="AH323" s="73">
        <f t="shared" si="25"/>
        <v>4.0003229999999999</v>
      </c>
    </row>
    <row r="324" spans="1:34" ht="14.25" customHeight="1">
      <c r="A324" s="11">
        <v>309</v>
      </c>
      <c r="B324" s="66" t="s">
        <v>24</v>
      </c>
      <c r="C324" s="67">
        <v>42552</v>
      </c>
      <c r="D324" s="67"/>
      <c r="E324" s="67"/>
      <c r="F324" s="67"/>
      <c r="G324" s="67"/>
      <c r="H324" s="67"/>
      <c r="I324" s="6" t="s">
        <v>900</v>
      </c>
      <c r="J324" s="9">
        <v>2098161210</v>
      </c>
      <c r="K324" s="68">
        <v>42551</v>
      </c>
      <c r="L324" s="68" t="s">
        <v>230</v>
      </c>
      <c r="M324" s="68">
        <v>43496</v>
      </c>
      <c r="N324" s="69">
        <f t="shared" si="13"/>
        <v>-5</v>
      </c>
      <c r="O324" s="69" t="str">
        <f t="shared" si="14"/>
        <v>N/A</v>
      </c>
      <c r="P324" s="70">
        <v>5</v>
      </c>
      <c r="Q324" s="70"/>
      <c r="R324" s="70">
        <v>0</v>
      </c>
      <c r="S324" s="68">
        <f t="shared" si="15"/>
        <v>43466</v>
      </c>
      <c r="T324" s="68">
        <v>43466</v>
      </c>
      <c r="U324" s="68"/>
      <c r="V324" s="68"/>
      <c r="W324" s="9"/>
      <c r="X324" s="10"/>
      <c r="Y324" s="65" t="str">
        <f t="shared" si="16"/>
        <v/>
      </c>
      <c r="Z324" s="11" t="str">
        <f t="shared" si="17"/>
        <v/>
      </c>
      <c r="AA324" s="73">
        <f t="shared" si="18"/>
        <v>-5</v>
      </c>
      <c r="AB324" s="11" t="str">
        <f t="shared" si="19"/>
        <v/>
      </c>
      <c r="AC324" s="11" t="str">
        <f t="shared" si="20"/>
        <v/>
      </c>
      <c r="AD324" s="11" t="str">
        <f t="shared" si="21"/>
        <v/>
      </c>
      <c r="AE324" s="73">
        <f t="shared" si="22"/>
        <v>-4.999676</v>
      </c>
      <c r="AF324" s="11" t="str">
        <f t="shared" si="23"/>
        <v/>
      </c>
      <c r="AG324" s="11" t="str">
        <f t="shared" si="24"/>
        <v/>
      </c>
      <c r="AH324" s="11" t="str">
        <f t="shared" si="25"/>
        <v/>
      </c>
    </row>
    <row r="325" spans="1:34" ht="14.25" customHeight="1">
      <c r="A325" s="11">
        <v>310</v>
      </c>
      <c r="B325" s="66"/>
      <c r="C325" s="67"/>
      <c r="D325" s="67"/>
      <c r="E325" s="67"/>
      <c r="F325" s="67"/>
      <c r="G325" s="67" t="s">
        <v>35</v>
      </c>
      <c r="H325" s="67">
        <v>45513</v>
      </c>
      <c r="I325" s="6" t="s">
        <v>901</v>
      </c>
      <c r="J325" s="9">
        <v>2098164804</v>
      </c>
      <c r="K325" s="68">
        <v>45504</v>
      </c>
      <c r="L325" s="68">
        <v>46022</v>
      </c>
      <c r="M325" s="68">
        <v>46203</v>
      </c>
      <c r="N325" s="69">
        <f t="shared" si="13"/>
        <v>1</v>
      </c>
      <c r="O325" s="69">
        <f t="shared" si="14"/>
        <v>10</v>
      </c>
      <c r="P325" s="70">
        <v>9</v>
      </c>
      <c r="Q325" s="70">
        <v>0</v>
      </c>
      <c r="R325" s="70">
        <v>10</v>
      </c>
      <c r="S325" s="68" t="str">
        <f t="shared" si="15"/>
        <v/>
      </c>
      <c r="T325" s="68"/>
      <c r="U325" s="68"/>
      <c r="V325" s="68"/>
      <c r="W325" s="9"/>
      <c r="X325" s="10"/>
      <c r="Y325" s="71">
        <f t="shared" si="16"/>
        <v>0</v>
      </c>
      <c r="Z325" s="73">
        <f t="shared" si="17"/>
        <v>10</v>
      </c>
      <c r="AA325" s="11" t="str">
        <f t="shared" si="18"/>
        <v/>
      </c>
      <c r="AB325" s="73">
        <f t="shared" si="19"/>
        <v>1</v>
      </c>
      <c r="AC325" s="11" t="str">
        <f t="shared" si="20"/>
        <v/>
      </c>
      <c r="AD325" s="73">
        <f t="shared" si="21"/>
        <v>10</v>
      </c>
      <c r="AE325" s="11" t="str">
        <f t="shared" si="22"/>
        <v/>
      </c>
      <c r="AF325" s="73">
        <f t="shared" si="23"/>
        <v>1.0003249999999999</v>
      </c>
      <c r="AG325" s="11" t="str">
        <f t="shared" si="24"/>
        <v/>
      </c>
      <c r="AH325" s="73">
        <f t="shared" si="25"/>
        <v>10.000325</v>
      </c>
    </row>
    <row r="326" spans="1:34" ht="14.25" customHeight="1">
      <c r="A326" s="11">
        <v>311</v>
      </c>
      <c r="B326" s="66" t="s">
        <v>35</v>
      </c>
      <c r="C326" s="67">
        <v>42259</v>
      </c>
      <c r="D326" s="67">
        <v>42347</v>
      </c>
      <c r="E326" s="67"/>
      <c r="F326" s="67"/>
      <c r="G326" s="67" t="s">
        <v>35</v>
      </c>
      <c r="H326" s="67">
        <v>42394</v>
      </c>
      <c r="I326" s="6" t="s">
        <v>902</v>
      </c>
      <c r="J326" s="9">
        <v>2098701010</v>
      </c>
      <c r="K326" s="68">
        <v>42247</v>
      </c>
      <c r="L326" s="68">
        <v>46022</v>
      </c>
      <c r="M326" s="68">
        <v>46203</v>
      </c>
      <c r="N326" s="69">
        <f t="shared" si="13"/>
        <v>1</v>
      </c>
      <c r="O326" s="69">
        <f t="shared" si="14"/>
        <v>0</v>
      </c>
      <c r="P326" s="70">
        <v>0</v>
      </c>
      <c r="Q326" s="70">
        <v>1</v>
      </c>
      <c r="R326" s="70">
        <v>1</v>
      </c>
      <c r="S326" s="68" t="str">
        <f t="shared" si="15"/>
        <v/>
      </c>
      <c r="T326" s="68"/>
      <c r="U326" s="68"/>
      <c r="V326" s="68"/>
      <c r="W326" s="9"/>
      <c r="X326" s="10"/>
      <c r="Y326" s="71">
        <f t="shared" si="16"/>
        <v>1</v>
      </c>
      <c r="Z326" s="73">
        <f t="shared" si="17"/>
        <v>1</v>
      </c>
      <c r="AA326" s="73">
        <f t="shared" si="18"/>
        <v>1</v>
      </c>
      <c r="AB326" s="73">
        <f t="shared" si="19"/>
        <v>1</v>
      </c>
      <c r="AC326" s="73">
        <f t="shared" si="20"/>
        <v>0</v>
      </c>
      <c r="AD326" s="73">
        <f t="shared" si="21"/>
        <v>0</v>
      </c>
      <c r="AE326" s="73">
        <f t="shared" si="22"/>
        <v>1.000326</v>
      </c>
      <c r="AF326" s="73">
        <f t="shared" si="23"/>
        <v>1.000326</v>
      </c>
      <c r="AG326" s="73">
        <f t="shared" si="24"/>
        <v>3.2600000000000001E-4</v>
      </c>
      <c r="AH326" s="73">
        <f t="shared" si="25"/>
        <v>3.2600000000000001E-4</v>
      </c>
    </row>
    <row r="327" spans="1:34" ht="14.25" customHeight="1">
      <c r="A327" s="11">
        <v>312</v>
      </c>
      <c r="B327" s="66" t="s">
        <v>24</v>
      </c>
      <c r="C327" s="67">
        <v>42887</v>
      </c>
      <c r="D327" s="67"/>
      <c r="E327" s="67"/>
      <c r="F327" s="67"/>
      <c r="G327" s="67"/>
      <c r="H327" s="67"/>
      <c r="I327" s="6" t="s">
        <v>903</v>
      </c>
      <c r="J327" s="9">
        <v>2098800323</v>
      </c>
      <c r="K327" s="68">
        <v>42886</v>
      </c>
      <c r="L327" s="68" t="s">
        <v>230</v>
      </c>
      <c r="M327" s="68">
        <v>45107</v>
      </c>
      <c r="N327" s="69">
        <f t="shared" si="13"/>
        <v>-3</v>
      </c>
      <c r="O327" s="69" t="str">
        <f t="shared" si="14"/>
        <v>N/A</v>
      </c>
      <c r="P327" s="70">
        <v>3</v>
      </c>
      <c r="Q327" s="70"/>
      <c r="R327" s="70">
        <v>0</v>
      </c>
      <c r="S327" s="68">
        <f t="shared" si="15"/>
        <v>45090</v>
      </c>
      <c r="T327" s="68">
        <v>45090</v>
      </c>
      <c r="U327" s="68"/>
      <c r="V327" s="68"/>
      <c r="W327" s="9"/>
      <c r="X327" s="10"/>
      <c r="Y327" s="65" t="str">
        <f t="shared" si="16"/>
        <v/>
      </c>
      <c r="Z327" s="11" t="str">
        <f t="shared" si="17"/>
        <v/>
      </c>
      <c r="AA327" s="73">
        <f t="shared" si="18"/>
        <v>-3</v>
      </c>
      <c r="AB327" s="11" t="str">
        <f t="shared" si="19"/>
        <v/>
      </c>
      <c r="AC327" s="11" t="str">
        <f t="shared" si="20"/>
        <v/>
      </c>
      <c r="AD327" s="11" t="str">
        <f t="shared" si="21"/>
        <v/>
      </c>
      <c r="AE327" s="73">
        <f t="shared" si="22"/>
        <v>-2.999673</v>
      </c>
      <c r="AF327" s="11" t="str">
        <f t="shared" si="23"/>
        <v/>
      </c>
      <c r="AG327" s="11" t="str">
        <f t="shared" si="24"/>
        <v/>
      </c>
      <c r="AH327" s="11" t="str">
        <f t="shared" si="25"/>
        <v/>
      </c>
    </row>
    <row r="328" spans="1:34" ht="14.25" customHeight="1">
      <c r="A328" s="11">
        <v>313</v>
      </c>
      <c r="B328" s="66"/>
      <c r="C328" s="67"/>
      <c r="D328" s="67"/>
      <c r="E328" s="67"/>
      <c r="F328" s="67"/>
      <c r="G328" s="67" t="s">
        <v>24</v>
      </c>
      <c r="H328" s="67">
        <v>43341</v>
      </c>
      <c r="I328" s="6" t="s">
        <v>904</v>
      </c>
      <c r="J328" s="9">
        <v>2108166030</v>
      </c>
      <c r="K328" s="68">
        <v>43312</v>
      </c>
      <c r="L328" s="68" t="s">
        <v>230</v>
      </c>
      <c r="M328" s="68">
        <v>44592</v>
      </c>
      <c r="N328" s="69">
        <f t="shared" si="13"/>
        <v>-32</v>
      </c>
      <c r="O328" s="69" t="str">
        <f t="shared" si="14"/>
        <v>N/A</v>
      </c>
      <c r="P328" s="70">
        <v>32</v>
      </c>
      <c r="Q328" s="70"/>
      <c r="R328" s="70">
        <v>0</v>
      </c>
      <c r="S328" s="68">
        <f t="shared" si="15"/>
        <v>44592</v>
      </c>
      <c r="T328" s="68">
        <v>44592</v>
      </c>
      <c r="U328" s="68"/>
      <c r="V328" s="68"/>
      <c r="W328" s="9"/>
      <c r="X328" s="10"/>
      <c r="Y328" s="65" t="str">
        <f t="shared" si="16"/>
        <v/>
      </c>
      <c r="Z328" s="11" t="str">
        <f t="shared" si="17"/>
        <v/>
      </c>
      <c r="AA328" s="11" t="str">
        <f t="shared" si="18"/>
        <v/>
      </c>
      <c r="AB328" s="73">
        <f t="shared" si="19"/>
        <v>-32</v>
      </c>
      <c r="AC328" s="11" t="str">
        <f t="shared" si="20"/>
        <v/>
      </c>
      <c r="AD328" s="11" t="str">
        <f t="shared" si="21"/>
        <v/>
      </c>
      <c r="AE328" s="11" t="str">
        <f t="shared" si="22"/>
        <v/>
      </c>
      <c r="AF328" s="73">
        <f t="shared" si="23"/>
        <v>-31.999672</v>
      </c>
      <c r="AG328" s="11" t="str">
        <f t="shared" si="24"/>
        <v/>
      </c>
      <c r="AH328" s="11" t="str">
        <f t="shared" si="25"/>
        <v/>
      </c>
    </row>
    <row r="329" spans="1:34" ht="14.25" customHeight="1">
      <c r="A329" s="11">
        <v>314</v>
      </c>
      <c r="B329" s="66"/>
      <c r="C329" s="67"/>
      <c r="D329" s="67"/>
      <c r="E329" s="67"/>
      <c r="F329" s="67"/>
      <c r="G329" s="67" t="s">
        <v>35</v>
      </c>
      <c r="H329" s="67">
        <v>45100</v>
      </c>
      <c r="I329" s="6" t="s">
        <v>905</v>
      </c>
      <c r="J329" s="9">
        <v>2108180672</v>
      </c>
      <c r="K329" s="68">
        <v>45077</v>
      </c>
      <c r="L329" s="68">
        <v>46022</v>
      </c>
      <c r="M329" s="68">
        <v>46203</v>
      </c>
      <c r="N329" s="69">
        <f t="shared" si="13"/>
        <v>-2</v>
      </c>
      <c r="O329" s="69">
        <f t="shared" si="14"/>
        <v>-1</v>
      </c>
      <c r="P329" s="70">
        <v>6</v>
      </c>
      <c r="Q329" s="70">
        <v>5</v>
      </c>
      <c r="R329" s="70">
        <v>4</v>
      </c>
      <c r="S329" s="68" t="str">
        <f t="shared" si="15"/>
        <v/>
      </c>
      <c r="T329" s="68"/>
      <c r="U329" s="68"/>
      <c r="V329" s="68"/>
      <c r="W329" s="9"/>
      <c r="X329" s="10"/>
      <c r="Y329" s="71">
        <f t="shared" si="16"/>
        <v>5</v>
      </c>
      <c r="Z329" s="73">
        <f t="shared" si="17"/>
        <v>4</v>
      </c>
      <c r="AA329" s="11" t="str">
        <f t="shared" si="18"/>
        <v/>
      </c>
      <c r="AB329" s="73">
        <f t="shared" si="19"/>
        <v>-2</v>
      </c>
      <c r="AC329" s="11" t="str">
        <f t="shared" si="20"/>
        <v/>
      </c>
      <c r="AD329" s="73">
        <f t="shared" si="21"/>
        <v>-1</v>
      </c>
      <c r="AE329" s="11" t="str">
        <f t="shared" si="22"/>
        <v/>
      </c>
      <c r="AF329" s="73">
        <f t="shared" si="23"/>
        <v>-1.999671</v>
      </c>
      <c r="AG329" s="11" t="str">
        <f t="shared" si="24"/>
        <v/>
      </c>
      <c r="AH329" s="73">
        <f t="shared" si="25"/>
        <v>-0.99967099999999998</v>
      </c>
    </row>
    <row r="330" spans="1:34" ht="14.25" customHeight="1">
      <c r="A330" s="11">
        <v>315</v>
      </c>
      <c r="B330" s="66"/>
      <c r="C330" s="67"/>
      <c r="D330" s="67"/>
      <c r="E330" s="67"/>
      <c r="F330" s="67"/>
      <c r="G330" s="67" t="s">
        <v>35</v>
      </c>
      <c r="H330" s="67">
        <v>44348</v>
      </c>
      <c r="I330" s="6" t="s">
        <v>906</v>
      </c>
      <c r="J330" s="9">
        <v>2108800959</v>
      </c>
      <c r="K330" s="68">
        <v>44347</v>
      </c>
      <c r="L330" s="68">
        <v>46022</v>
      </c>
      <c r="M330" s="68">
        <v>46203</v>
      </c>
      <c r="N330" s="69">
        <f t="shared" si="13"/>
        <v>24</v>
      </c>
      <c r="O330" s="69">
        <f t="shared" si="14"/>
        <v>0</v>
      </c>
      <c r="P330" s="70">
        <v>20</v>
      </c>
      <c r="Q330" s="70">
        <v>44</v>
      </c>
      <c r="R330" s="70">
        <v>44</v>
      </c>
      <c r="S330" s="68" t="str">
        <f t="shared" si="15"/>
        <v/>
      </c>
      <c r="T330" s="68"/>
      <c r="U330" s="68"/>
      <c r="V330" s="68"/>
      <c r="W330" s="9"/>
      <c r="X330" s="10"/>
      <c r="Y330" s="71">
        <f t="shared" si="16"/>
        <v>44</v>
      </c>
      <c r="Z330" s="73">
        <f t="shared" si="17"/>
        <v>44</v>
      </c>
      <c r="AA330" s="11" t="str">
        <f t="shared" si="18"/>
        <v/>
      </c>
      <c r="AB330" s="73">
        <f t="shared" si="19"/>
        <v>24</v>
      </c>
      <c r="AC330" s="11" t="str">
        <f t="shared" si="20"/>
        <v/>
      </c>
      <c r="AD330" s="73">
        <f t="shared" si="21"/>
        <v>0</v>
      </c>
      <c r="AE330" s="11" t="str">
        <f t="shared" si="22"/>
        <v/>
      </c>
      <c r="AF330" s="73">
        <f t="shared" si="23"/>
        <v>24.000330000000002</v>
      </c>
      <c r="AG330" s="11" t="str">
        <f t="shared" si="24"/>
        <v/>
      </c>
      <c r="AH330" s="73">
        <f t="shared" si="25"/>
        <v>3.3E-4</v>
      </c>
    </row>
    <row r="331" spans="1:34" ht="14.25" customHeight="1">
      <c r="A331" s="11">
        <v>316</v>
      </c>
      <c r="B331" s="66"/>
      <c r="C331" s="67"/>
      <c r="D331" s="67"/>
      <c r="E331" s="67"/>
      <c r="F331" s="67"/>
      <c r="G331" s="67" t="s">
        <v>35</v>
      </c>
      <c r="H331" s="67">
        <v>45653</v>
      </c>
      <c r="I331" s="6" t="s">
        <v>907</v>
      </c>
      <c r="J331" s="9">
        <v>2118782980</v>
      </c>
      <c r="K331" s="68">
        <v>45626</v>
      </c>
      <c r="L331" s="68">
        <v>46022</v>
      </c>
      <c r="M331" s="68">
        <v>46203</v>
      </c>
      <c r="N331" s="69">
        <f t="shared" si="13"/>
        <v>22</v>
      </c>
      <c r="O331" s="69">
        <f t="shared" si="14"/>
        <v>6</v>
      </c>
      <c r="P331" s="70">
        <v>57</v>
      </c>
      <c r="Q331" s="70">
        <v>73</v>
      </c>
      <c r="R331" s="70">
        <v>79</v>
      </c>
      <c r="S331" s="68" t="str">
        <f t="shared" si="15"/>
        <v/>
      </c>
      <c r="T331" s="68"/>
      <c r="U331" s="68"/>
      <c r="V331" s="68"/>
      <c r="W331" s="9"/>
      <c r="X331" s="10"/>
      <c r="Y331" s="71">
        <f t="shared" si="16"/>
        <v>73</v>
      </c>
      <c r="Z331" s="73">
        <f t="shared" si="17"/>
        <v>79</v>
      </c>
      <c r="AA331" s="11" t="str">
        <f t="shared" si="18"/>
        <v/>
      </c>
      <c r="AB331" s="73">
        <f t="shared" si="19"/>
        <v>22</v>
      </c>
      <c r="AC331" s="11" t="str">
        <f t="shared" si="20"/>
        <v/>
      </c>
      <c r="AD331" s="73">
        <f t="shared" si="21"/>
        <v>6</v>
      </c>
      <c r="AE331" s="11" t="str">
        <f t="shared" si="22"/>
        <v/>
      </c>
      <c r="AF331" s="73">
        <f t="shared" si="23"/>
        <v>22.000330999999999</v>
      </c>
      <c r="AG331" s="11" t="str">
        <f t="shared" si="24"/>
        <v/>
      </c>
      <c r="AH331" s="73">
        <f t="shared" si="25"/>
        <v>6.0003310000000001</v>
      </c>
    </row>
    <row r="332" spans="1:34" ht="14.25" customHeight="1">
      <c r="A332" s="11">
        <v>317</v>
      </c>
      <c r="B332" s="66"/>
      <c r="C332" s="67"/>
      <c r="D332" s="67"/>
      <c r="E332" s="67"/>
      <c r="F332" s="67"/>
      <c r="G332" s="67" t="s">
        <v>35</v>
      </c>
      <c r="H332" s="67">
        <v>45700</v>
      </c>
      <c r="I332" s="6" t="s">
        <v>908</v>
      </c>
      <c r="J332" s="9">
        <v>2118819048</v>
      </c>
      <c r="K332" s="68">
        <v>45688</v>
      </c>
      <c r="L332" s="68">
        <v>46022</v>
      </c>
      <c r="M332" s="68">
        <v>46203</v>
      </c>
      <c r="N332" s="69">
        <f t="shared" si="13"/>
        <v>7</v>
      </c>
      <c r="O332" s="69">
        <f t="shared" si="14"/>
        <v>1</v>
      </c>
      <c r="P332" s="70">
        <v>29</v>
      </c>
      <c r="Q332" s="70">
        <v>35</v>
      </c>
      <c r="R332" s="70">
        <v>36</v>
      </c>
      <c r="S332" s="68" t="str">
        <f t="shared" si="15"/>
        <v/>
      </c>
      <c r="T332" s="68"/>
      <c r="U332" s="68"/>
      <c r="V332" s="68"/>
      <c r="W332" s="9"/>
      <c r="X332" s="10"/>
      <c r="Y332" s="71">
        <f t="shared" si="16"/>
        <v>35</v>
      </c>
      <c r="Z332" s="73">
        <f t="shared" si="17"/>
        <v>36</v>
      </c>
      <c r="AA332" s="11" t="str">
        <f t="shared" si="18"/>
        <v/>
      </c>
      <c r="AB332" s="73">
        <f t="shared" si="19"/>
        <v>7</v>
      </c>
      <c r="AC332" s="11" t="str">
        <f t="shared" si="20"/>
        <v/>
      </c>
      <c r="AD332" s="73">
        <f t="shared" si="21"/>
        <v>1</v>
      </c>
      <c r="AE332" s="11" t="str">
        <f t="shared" si="22"/>
        <v/>
      </c>
      <c r="AF332" s="73">
        <f t="shared" si="23"/>
        <v>7.0003320000000002</v>
      </c>
      <c r="AG332" s="11" t="str">
        <f t="shared" si="24"/>
        <v/>
      </c>
      <c r="AH332" s="73">
        <f t="shared" si="25"/>
        <v>1.000332</v>
      </c>
    </row>
    <row r="333" spans="1:34" ht="14.25" customHeight="1">
      <c r="A333" s="11">
        <v>318</v>
      </c>
      <c r="B333" s="66"/>
      <c r="C333" s="67"/>
      <c r="D333" s="67"/>
      <c r="E333" s="67"/>
      <c r="F333" s="67"/>
      <c r="G333" s="67" t="s">
        <v>35</v>
      </c>
      <c r="H333" s="67">
        <v>42606</v>
      </c>
      <c r="I333" s="6" t="s">
        <v>909</v>
      </c>
      <c r="J333" s="9">
        <v>2118819183</v>
      </c>
      <c r="K333" s="68">
        <v>42582</v>
      </c>
      <c r="L333" s="68">
        <v>46022</v>
      </c>
      <c r="M333" s="68">
        <v>46203</v>
      </c>
      <c r="N333" s="69">
        <f t="shared" si="13"/>
        <v>180</v>
      </c>
      <c r="O333" s="69">
        <f t="shared" si="14"/>
        <v>7</v>
      </c>
      <c r="P333" s="70">
        <v>45</v>
      </c>
      <c r="Q333" s="70">
        <v>218</v>
      </c>
      <c r="R333" s="70">
        <v>225</v>
      </c>
      <c r="S333" s="68" t="str">
        <f t="shared" si="15"/>
        <v/>
      </c>
      <c r="T333" s="68"/>
      <c r="U333" s="68"/>
      <c r="V333" s="68"/>
      <c r="W333" s="9"/>
      <c r="X333" s="10"/>
      <c r="Y333" s="71">
        <f t="shared" si="16"/>
        <v>218</v>
      </c>
      <c r="Z333" s="73">
        <f t="shared" si="17"/>
        <v>225</v>
      </c>
      <c r="AA333" s="11" t="str">
        <f t="shared" si="18"/>
        <v/>
      </c>
      <c r="AB333" s="73">
        <f t="shared" si="19"/>
        <v>180</v>
      </c>
      <c r="AC333" s="11" t="str">
        <f t="shared" si="20"/>
        <v/>
      </c>
      <c r="AD333" s="73">
        <f t="shared" si="21"/>
        <v>7</v>
      </c>
      <c r="AE333" s="11" t="str">
        <f t="shared" si="22"/>
        <v/>
      </c>
      <c r="AF333" s="73">
        <f t="shared" si="23"/>
        <v>180.00033300000001</v>
      </c>
      <c r="AG333" s="11" t="str">
        <f t="shared" si="24"/>
        <v/>
      </c>
      <c r="AH333" s="73">
        <f t="shared" si="25"/>
        <v>7.0003330000000004</v>
      </c>
    </row>
    <row r="334" spans="1:34" ht="14.25" customHeight="1">
      <c r="A334" s="11">
        <v>319</v>
      </c>
      <c r="B334" s="66"/>
      <c r="C334" s="67"/>
      <c r="D334" s="67"/>
      <c r="E334" s="67"/>
      <c r="F334" s="67"/>
      <c r="G334" s="67" t="s">
        <v>35</v>
      </c>
      <c r="H334" s="67">
        <v>41827</v>
      </c>
      <c r="I334" s="6" t="s">
        <v>910</v>
      </c>
      <c r="J334" s="9">
        <v>2118847525</v>
      </c>
      <c r="K334" s="68">
        <v>41820</v>
      </c>
      <c r="L334" s="68">
        <v>46022</v>
      </c>
      <c r="M334" s="68">
        <v>46203</v>
      </c>
      <c r="N334" s="69">
        <f t="shared" si="13"/>
        <v>38</v>
      </c>
      <c r="O334" s="69">
        <f t="shared" si="14"/>
        <v>3</v>
      </c>
      <c r="P334" s="70">
        <v>60</v>
      </c>
      <c r="Q334" s="70">
        <v>95</v>
      </c>
      <c r="R334" s="70">
        <v>98</v>
      </c>
      <c r="S334" s="68" t="str">
        <f t="shared" si="15"/>
        <v/>
      </c>
      <c r="T334" s="68"/>
      <c r="U334" s="68"/>
      <c r="V334" s="68"/>
      <c r="W334" s="9"/>
      <c r="X334" s="10"/>
      <c r="Y334" s="71">
        <f t="shared" si="16"/>
        <v>95</v>
      </c>
      <c r="Z334" s="73">
        <f t="shared" si="17"/>
        <v>98</v>
      </c>
      <c r="AA334" s="11" t="str">
        <f t="shared" si="18"/>
        <v/>
      </c>
      <c r="AB334" s="73">
        <f t="shared" si="19"/>
        <v>38</v>
      </c>
      <c r="AC334" s="11" t="str">
        <f t="shared" si="20"/>
        <v/>
      </c>
      <c r="AD334" s="73">
        <f t="shared" si="21"/>
        <v>3</v>
      </c>
      <c r="AE334" s="11" t="str">
        <f t="shared" si="22"/>
        <v/>
      </c>
      <c r="AF334" s="73">
        <f t="shared" si="23"/>
        <v>38.000334000000002</v>
      </c>
      <c r="AG334" s="11" t="str">
        <f t="shared" si="24"/>
        <v/>
      </c>
      <c r="AH334" s="73">
        <f t="shared" si="25"/>
        <v>3.0003340000000001</v>
      </c>
    </row>
    <row r="335" spans="1:34" ht="14.25" customHeight="1">
      <c r="A335" s="11">
        <v>320</v>
      </c>
      <c r="B335" s="66"/>
      <c r="C335" s="67"/>
      <c r="D335" s="67"/>
      <c r="E335" s="67"/>
      <c r="F335" s="67"/>
      <c r="G335" s="67" t="s">
        <v>35</v>
      </c>
      <c r="H335" s="67">
        <v>42472</v>
      </c>
      <c r="I335" s="6" t="s">
        <v>911</v>
      </c>
      <c r="J335" s="9">
        <v>2118859899</v>
      </c>
      <c r="K335" s="68">
        <v>42460</v>
      </c>
      <c r="L335" s="68">
        <v>46022</v>
      </c>
      <c r="M335" s="68">
        <v>46203</v>
      </c>
      <c r="N335" s="69">
        <f t="shared" si="13"/>
        <v>-62</v>
      </c>
      <c r="O335" s="69">
        <f t="shared" si="14"/>
        <v>-9</v>
      </c>
      <c r="P335" s="70">
        <v>77</v>
      </c>
      <c r="Q335" s="70">
        <v>24</v>
      </c>
      <c r="R335" s="70">
        <v>15</v>
      </c>
      <c r="S335" s="68" t="str">
        <f t="shared" si="15"/>
        <v/>
      </c>
      <c r="T335" s="68"/>
      <c r="U335" s="68"/>
      <c r="V335" s="68"/>
      <c r="W335" s="9"/>
      <c r="X335" s="10"/>
      <c r="Y335" s="71">
        <f t="shared" si="16"/>
        <v>24</v>
      </c>
      <c r="Z335" s="73">
        <f t="shared" si="17"/>
        <v>15</v>
      </c>
      <c r="AA335" s="11" t="str">
        <f t="shared" si="18"/>
        <v/>
      </c>
      <c r="AB335" s="73">
        <f t="shared" si="19"/>
        <v>-62</v>
      </c>
      <c r="AC335" s="11" t="str">
        <f t="shared" si="20"/>
        <v/>
      </c>
      <c r="AD335" s="73">
        <f t="shared" si="21"/>
        <v>-9</v>
      </c>
      <c r="AE335" s="11" t="str">
        <f t="shared" si="22"/>
        <v/>
      </c>
      <c r="AF335" s="73">
        <f t="shared" si="23"/>
        <v>-61.999665</v>
      </c>
      <c r="AG335" s="11" t="str">
        <f t="shared" si="24"/>
        <v/>
      </c>
      <c r="AH335" s="73">
        <f t="shared" si="25"/>
        <v>-8.9996650000000002</v>
      </c>
    </row>
    <row r="336" spans="1:34" ht="14.25" customHeight="1">
      <c r="A336" s="11">
        <v>321</v>
      </c>
      <c r="B336" s="66"/>
      <c r="C336" s="67"/>
      <c r="D336" s="67"/>
      <c r="E336" s="67"/>
      <c r="F336" s="67"/>
      <c r="G336" s="67" t="s">
        <v>35</v>
      </c>
      <c r="H336" s="67">
        <v>42258</v>
      </c>
      <c r="I336" s="6" t="s">
        <v>912</v>
      </c>
      <c r="J336" s="9">
        <v>2118865256</v>
      </c>
      <c r="K336" s="68">
        <v>42247</v>
      </c>
      <c r="L336" s="68">
        <v>46022</v>
      </c>
      <c r="M336" s="68">
        <v>46203</v>
      </c>
      <c r="N336" s="69">
        <f t="shared" si="13"/>
        <v>-1</v>
      </c>
      <c r="O336" s="69">
        <f t="shared" si="14"/>
        <v>-5</v>
      </c>
      <c r="P336" s="70">
        <v>1</v>
      </c>
      <c r="Q336" s="70">
        <v>5</v>
      </c>
      <c r="R336" s="70">
        <v>0</v>
      </c>
      <c r="S336" s="68" t="str">
        <f t="shared" si="15"/>
        <v/>
      </c>
      <c r="T336" s="68"/>
      <c r="U336" s="68"/>
      <c r="V336" s="68"/>
      <c r="W336" s="9"/>
      <c r="X336" s="10"/>
      <c r="Y336" s="71">
        <f t="shared" si="16"/>
        <v>5</v>
      </c>
      <c r="Z336" s="73">
        <f t="shared" si="17"/>
        <v>0</v>
      </c>
      <c r="AA336" s="11" t="str">
        <f t="shared" si="18"/>
        <v/>
      </c>
      <c r="AB336" s="73">
        <f t="shared" si="19"/>
        <v>-1</v>
      </c>
      <c r="AC336" s="11" t="str">
        <f t="shared" si="20"/>
        <v/>
      </c>
      <c r="AD336" s="73">
        <f t="shared" si="21"/>
        <v>-5</v>
      </c>
      <c r="AE336" s="11" t="str">
        <f t="shared" si="22"/>
        <v/>
      </c>
      <c r="AF336" s="73">
        <f t="shared" si="23"/>
        <v>-0.999664</v>
      </c>
      <c r="AG336" s="11" t="str">
        <f t="shared" si="24"/>
        <v/>
      </c>
      <c r="AH336" s="73">
        <f t="shared" si="25"/>
        <v>-4.9996640000000001</v>
      </c>
    </row>
    <row r="337" spans="1:34" ht="14.25" customHeight="1">
      <c r="A337" s="11">
        <v>322</v>
      </c>
      <c r="B337" s="66"/>
      <c r="C337" s="67"/>
      <c r="D337" s="67"/>
      <c r="E337" s="67"/>
      <c r="F337" s="67"/>
      <c r="G337" s="67" t="s">
        <v>35</v>
      </c>
      <c r="H337" s="67">
        <v>43188</v>
      </c>
      <c r="I337" s="6" t="s">
        <v>913</v>
      </c>
      <c r="J337" s="9">
        <v>2118866013</v>
      </c>
      <c r="K337" s="68">
        <v>43159</v>
      </c>
      <c r="L337" s="68">
        <v>46022</v>
      </c>
      <c r="M337" s="68">
        <v>46203</v>
      </c>
      <c r="N337" s="69">
        <f t="shared" si="13"/>
        <v>39</v>
      </c>
      <c r="O337" s="69">
        <f t="shared" si="14"/>
        <v>-2</v>
      </c>
      <c r="P337" s="70">
        <v>39</v>
      </c>
      <c r="Q337" s="70">
        <v>80</v>
      </c>
      <c r="R337" s="70">
        <v>78</v>
      </c>
      <c r="S337" s="68" t="str">
        <f t="shared" si="15"/>
        <v/>
      </c>
      <c r="T337" s="68"/>
      <c r="U337" s="68"/>
      <c r="V337" s="68"/>
      <c r="W337" s="9"/>
      <c r="X337" s="10"/>
      <c r="Y337" s="71">
        <f t="shared" si="16"/>
        <v>80</v>
      </c>
      <c r="Z337" s="73">
        <f t="shared" si="17"/>
        <v>78</v>
      </c>
      <c r="AA337" s="11" t="str">
        <f t="shared" si="18"/>
        <v/>
      </c>
      <c r="AB337" s="73">
        <f t="shared" si="19"/>
        <v>39</v>
      </c>
      <c r="AC337" s="11" t="str">
        <f t="shared" si="20"/>
        <v/>
      </c>
      <c r="AD337" s="73">
        <f t="shared" si="21"/>
        <v>-2</v>
      </c>
      <c r="AE337" s="11" t="str">
        <f t="shared" si="22"/>
        <v/>
      </c>
      <c r="AF337" s="73">
        <f t="shared" si="23"/>
        <v>39.000337000000002</v>
      </c>
      <c r="AG337" s="11" t="str">
        <f t="shared" si="24"/>
        <v/>
      </c>
      <c r="AH337" s="73">
        <f t="shared" si="25"/>
        <v>-1.999663</v>
      </c>
    </row>
    <row r="338" spans="1:34" ht="14.25" customHeight="1">
      <c r="A338" s="11">
        <v>323</v>
      </c>
      <c r="B338" s="66"/>
      <c r="C338" s="67"/>
      <c r="D338" s="67"/>
      <c r="E338" s="67"/>
      <c r="F338" s="67"/>
      <c r="G338" s="67" t="s">
        <v>35</v>
      </c>
      <c r="H338" s="67">
        <v>43145</v>
      </c>
      <c r="I338" s="6" t="s">
        <v>914</v>
      </c>
      <c r="J338" s="9">
        <v>2118881810</v>
      </c>
      <c r="K338" s="68">
        <v>43131</v>
      </c>
      <c r="L338" s="68">
        <v>46022</v>
      </c>
      <c r="M338" s="68">
        <v>46203</v>
      </c>
      <c r="N338" s="69">
        <f t="shared" si="13"/>
        <v>12</v>
      </c>
      <c r="O338" s="69">
        <f t="shared" si="14"/>
        <v>-7</v>
      </c>
      <c r="P338" s="70">
        <v>36</v>
      </c>
      <c r="Q338" s="70">
        <v>55</v>
      </c>
      <c r="R338" s="70">
        <v>48</v>
      </c>
      <c r="S338" s="68" t="str">
        <f t="shared" si="15"/>
        <v/>
      </c>
      <c r="T338" s="68"/>
      <c r="U338" s="68"/>
      <c r="V338" s="68"/>
      <c r="W338" s="9"/>
      <c r="X338" s="10"/>
      <c r="Y338" s="71">
        <f t="shared" si="16"/>
        <v>55</v>
      </c>
      <c r="Z338" s="73">
        <f t="shared" si="17"/>
        <v>48</v>
      </c>
      <c r="AA338" s="11" t="str">
        <f t="shared" si="18"/>
        <v/>
      </c>
      <c r="AB338" s="73">
        <f t="shared" si="19"/>
        <v>12</v>
      </c>
      <c r="AC338" s="11" t="str">
        <f t="shared" si="20"/>
        <v/>
      </c>
      <c r="AD338" s="73">
        <f t="shared" si="21"/>
        <v>-7</v>
      </c>
      <c r="AE338" s="11" t="str">
        <f t="shared" si="22"/>
        <v/>
      </c>
      <c r="AF338" s="73">
        <f t="shared" si="23"/>
        <v>12.000337999999999</v>
      </c>
      <c r="AG338" s="11" t="str">
        <f t="shared" si="24"/>
        <v/>
      </c>
      <c r="AH338" s="73">
        <f t="shared" si="25"/>
        <v>-6.9996619999999998</v>
      </c>
    </row>
    <row r="339" spans="1:34" ht="14.25" customHeight="1">
      <c r="A339" s="11">
        <v>324</v>
      </c>
      <c r="B339" s="66"/>
      <c r="C339" s="67"/>
      <c r="D339" s="67"/>
      <c r="E339" s="67"/>
      <c r="F339" s="67"/>
      <c r="G339" s="67" t="s">
        <v>35</v>
      </c>
      <c r="H339" s="67">
        <v>42424</v>
      </c>
      <c r="I339" s="6" t="s">
        <v>915</v>
      </c>
      <c r="J339" s="9">
        <v>2118896856</v>
      </c>
      <c r="K339" s="68">
        <v>42400</v>
      </c>
      <c r="L339" s="68">
        <v>46022</v>
      </c>
      <c r="M339" s="68">
        <v>46203</v>
      </c>
      <c r="N339" s="69">
        <f t="shared" si="13"/>
        <v>15</v>
      </c>
      <c r="O339" s="69">
        <f t="shared" si="14"/>
        <v>-1</v>
      </c>
      <c r="P339" s="70">
        <v>8</v>
      </c>
      <c r="Q339" s="70">
        <v>24</v>
      </c>
      <c r="R339" s="70">
        <v>23</v>
      </c>
      <c r="S339" s="68" t="str">
        <f t="shared" si="15"/>
        <v/>
      </c>
      <c r="T339" s="68"/>
      <c r="U339" s="68"/>
      <c r="V339" s="68"/>
      <c r="W339" s="9"/>
      <c r="X339" s="10"/>
      <c r="Y339" s="71">
        <f t="shared" si="16"/>
        <v>24</v>
      </c>
      <c r="Z339" s="73">
        <f t="shared" si="17"/>
        <v>23</v>
      </c>
      <c r="AA339" s="11" t="str">
        <f t="shared" si="18"/>
        <v/>
      </c>
      <c r="AB339" s="73">
        <f t="shared" si="19"/>
        <v>15</v>
      </c>
      <c r="AC339" s="11" t="str">
        <f t="shared" si="20"/>
        <v/>
      </c>
      <c r="AD339" s="73">
        <f t="shared" si="21"/>
        <v>-1</v>
      </c>
      <c r="AE339" s="11" t="str">
        <f t="shared" si="22"/>
        <v/>
      </c>
      <c r="AF339" s="73">
        <f t="shared" si="23"/>
        <v>15.000339</v>
      </c>
      <c r="AG339" s="11" t="str">
        <f t="shared" si="24"/>
        <v/>
      </c>
      <c r="AH339" s="73">
        <f t="shared" si="25"/>
        <v>-0.99966100000000002</v>
      </c>
    </row>
    <row r="340" spans="1:34" ht="14.25" customHeight="1">
      <c r="A340" s="11">
        <v>325</v>
      </c>
      <c r="B340" s="66"/>
      <c r="C340" s="67"/>
      <c r="D340" s="67"/>
      <c r="E340" s="67"/>
      <c r="F340" s="67"/>
      <c r="G340" s="67" t="s">
        <v>35</v>
      </c>
      <c r="H340" s="67">
        <v>44407</v>
      </c>
      <c r="I340" s="6" t="s">
        <v>916</v>
      </c>
      <c r="J340" s="9">
        <v>2128605451</v>
      </c>
      <c r="K340" s="68">
        <v>44377</v>
      </c>
      <c r="L340" s="68">
        <v>46022</v>
      </c>
      <c r="M340" s="68">
        <v>46203</v>
      </c>
      <c r="N340" s="69">
        <f t="shared" si="13"/>
        <v>3</v>
      </c>
      <c r="O340" s="69">
        <f t="shared" si="14"/>
        <v>-4</v>
      </c>
      <c r="P340" s="70">
        <v>52</v>
      </c>
      <c r="Q340" s="70">
        <v>59</v>
      </c>
      <c r="R340" s="70">
        <v>55</v>
      </c>
      <c r="S340" s="68" t="str">
        <f t="shared" si="15"/>
        <v/>
      </c>
      <c r="T340" s="68"/>
      <c r="U340" s="68"/>
      <c r="V340" s="68"/>
      <c r="W340" s="9"/>
      <c r="X340" s="10"/>
      <c r="Y340" s="71">
        <f t="shared" si="16"/>
        <v>59</v>
      </c>
      <c r="Z340" s="73">
        <f t="shared" si="17"/>
        <v>55</v>
      </c>
      <c r="AA340" s="11" t="str">
        <f t="shared" si="18"/>
        <v/>
      </c>
      <c r="AB340" s="73">
        <f t="shared" si="19"/>
        <v>3</v>
      </c>
      <c r="AC340" s="11" t="str">
        <f t="shared" si="20"/>
        <v/>
      </c>
      <c r="AD340" s="73">
        <f t="shared" si="21"/>
        <v>-4</v>
      </c>
      <c r="AE340" s="11" t="str">
        <f t="shared" si="22"/>
        <v/>
      </c>
      <c r="AF340" s="73">
        <f t="shared" si="23"/>
        <v>3.00034</v>
      </c>
      <c r="AG340" s="11" t="str">
        <f t="shared" si="24"/>
        <v/>
      </c>
      <c r="AH340" s="73">
        <f t="shared" si="25"/>
        <v>-3.99966</v>
      </c>
    </row>
    <row r="341" spans="1:34" ht="14.25" customHeight="1">
      <c r="A341" s="11">
        <v>326</v>
      </c>
      <c r="B341" s="66"/>
      <c r="C341" s="67"/>
      <c r="D341" s="67"/>
      <c r="E341" s="67"/>
      <c r="F341" s="67"/>
      <c r="G341" s="67" t="s">
        <v>24</v>
      </c>
      <c r="H341" s="67">
        <v>42874</v>
      </c>
      <c r="I341" s="6" t="s">
        <v>917</v>
      </c>
      <c r="J341" s="9">
        <v>2138641237</v>
      </c>
      <c r="K341" s="68">
        <v>42855</v>
      </c>
      <c r="L341" s="68" t="s">
        <v>230</v>
      </c>
      <c r="M341" s="68">
        <v>44377</v>
      </c>
      <c r="N341" s="69">
        <f t="shared" si="13"/>
        <v>-5</v>
      </c>
      <c r="O341" s="69" t="str">
        <f t="shared" si="14"/>
        <v>N/A</v>
      </c>
      <c r="P341" s="70">
        <v>5</v>
      </c>
      <c r="Q341" s="70"/>
      <c r="R341" s="70">
        <v>0</v>
      </c>
      <c r="S341" s="68">
        <f t="shared" si="15"/>
        <v>44377</v>
      </c>
      <c r="T341" s="68">
        <v>44377</v>
      </c>
      <c r="U341" s="68"/>
      <c r="V341" s="68"/>
      <c r="W341" s="9"/>
      <c r="X341" s="10"/>
      <c r="Y341" s="65" t="str">
        <f t="shared" si="16"/>
        <v/>
      </c>
      <c r="Z341" s="11" t="str">
        <f t="shared" si="17"/>
        <v/>
      </c>
      <c r="AA341" s="11" t="str">
        <f t="shared" si="18"/>
        <v/>
      </c>
      <c r="AB341" s="73">
        <f t="shared" si="19"/>
        <v>-5</v>
      </c>
      <c r="AC341" s="11" t="str">
        <f t="shared" si="20"/>
        <v/>
      </c>
      <c r="AD341" s="11" t="str">
        <f t="shared" si="21"/>
        <v/>
      </c>
      <c r="AE341" s="11" t="str">
        <f t="shared" si="22"/>
        <v/>
      </c>
      <c r="AF341" s="73">
        <f t="shared" si="23"/>
        <v>-4.9996590000000003</v>
      </c>
      <c r="AG341" s="11" t="str">
        <f t="shared" si="24"/>
        <v/>
      </c>
      <c r="AH341" s="11" t="str">
        <f t="shared" si="25"/>
        <v/>
      </c>
    </row>
    <row r="342" spans="1:34" ht="14.25" customHeight="1">
      <c r="A342" s="11">
        <v>327</v>
      </c>
      <c r="B342" s="66"/>
      <c r="C342" s="67"/>
      <c r="D342" s="67"/>
      <c r="E342" s="67"/>
      <c r="F342" s="67"/>
      <c r="G342" s="67" t="s">
        <v>24</v>
      </c>
      <c r="H342" s="67">
        <v>42552</v>
      </c>
      <c r="I342" s="6" t="s">
        <v>918</v>
      </c>
      <c r="J342" s="9">
        <v>2208849134</v>
      </c>
      <c r="K342" s="68">
        <v>42551</v>
      </c>
      <c r="L342" s="68" t="s">
        <v>230</v>
      </c>
      <c r="M342" s="68">
        <v>43434</v>
      </c>
      <c r="N342" s="69">
        <f t="shared" si="13"/>
        <v>-1</v>
      </c>
      <c r="O342" s="69" t="str">
        <f t="shared" si="14"/>
        <v>N/A</v>
      </c>
      <c r="P342" s="70">
        <v>1</v>
      </c>
      <c r="Q342" s="70"/>
      <c r="R342" s="70">
        <v>0</v>
      </c>
      <c r="S342" s="68">
        <f t="shared" si="15"/>
        <v>43434</v>
      </c>
      <c r="T342" s="68">
        <v>43434</v>
      </c>
      <c r="U342" s="68"/>
      <c r="V342" s="68"/>
      <c r="W342" s="9"/>
      <c r="X342" s="10"/>
      <c r="Y342" s="65" t="str">
        <f t="shared" si="16"/>
        <v/>
      </c>
      <c r="Z342" s="11" t="str">
        <f t="shared" si="17"/>
        <v/>
      </c>
      <c r="AA342" s="11" t="str">
        <f t="shared" si="18"/>
        <v/>
      </c>
      <c r="AB342" s="73">
        <f t="shared" si="19"/>
        <v>-1</v>
      </c>
      <c r="AC342" s="11" t="str">
        <f t="shared" si="20"/>
        <v/>
      </c>
      <c r="AD342" s="11" t="str">
        <f t="shared" si="21"/>
        <v/>
      </c>
      <c r="AE342" s="11" t="str">
        <f t="shared" si="22"/>
        <v/>
      </c>
      <c r="AF342" s="73">
        <f t="shared" si="23"/>
        <v>-0.99965800000000005</v>
      </c>
      <c r="AG342" s="11" t="str">
        <f t="shared" si="24"/>
        <v/>
      </c>
      <c r="AH342" s="11" t="str">
        <f t="shared" si="25"/>
        <v/>
      </c>
    </row>
    <row r="343" spans="1:34" ht="14.25" customHeight="1">
      <c r="A343" s="11">
        <v>328</v>
      </c>
      <c r="B343" s="66" t="s">
        <v>35</v>
      </c>
      <c r="C343" s="67"/>
      <c r="D343" s="67">
        <v>46160</v>
      </c>
      <c r="E343" s="67"/>
      <c r="F343" s="67"/>
      <c r="G343" s="67"/>
      <c r="H343" s="67"/>
      <c r="I343" s="6" t="s">
        <v>919</v>
      </c>
      <c r="J343" s="37">
        <v>2148822843</v>
      </c>
      <c r="K343" s="68">
        <v>46142</v>
      </c>
      <c r="L343" s="68" t="s">
        <v>230</v>
      </c>
      <c r="M343" s="68">
        <v>46203</v>
      </c>
      <c r="N343" s="69">
        <f t="shared" si="13"/>
        <v>0</v>
      </c>
      <c r="O343" s="69">
        <f t="shared" si="14"/>
        <v>0</v>
      </c>
      <c r="P343" s="70">
        <v>28</v>
      </c>
      <c r="Q343" s="70"/>
      <c r="R343" s="70">
        <v>28</v>
      </c>
      <c r="S343" s="68" t="str">
        <f t="shared" si="15"/>
        <v/>
      </c>
      <c r="T343" s="68"/>
      <c r="U343" s="95"/>
      <c r="V343" s="68"/>
      <c r="W343" s="6"/>
      <c r="X343" s="10"/>
      <c r="Y343" s="71">
        <f t="shared" si="16"/>
        <v>28</v>
      </c>
      <c r="Z343" s="73">
        <f t="shared" si="17"/>
        <v>28</v>
      </c>
      <c r="AA343" s="73">
        <f t="shared" si="18"/>
        <v>0</v>
      </c>
      <c r="AB343" s="11" t="str">
        <f t="shared" si="19"/>
        <v/>
      </c>
      <c r="AC343" s="73">
        <f t="shared" si="20"/>
        <v>0</v>
      </c>
      <c r="AD343" s="11" t="str">
        <f t="shared" si="21"/>
        <v/>
      </c>
      <c r="AE343" s="73">
        <f t="shared" si="22"/>
        <v>3.4299999999999999E-4</v>
      </c>
      <c r="AF343" s="11" t="str">
        <f t="shared" si="23"/>
        <v/>
      </c>
      <c r="AG343" s="73">
        <f t="shared" si="24"/>
        <v>3.4299999999999999E-4</v>
      </c>
      <c r="AH343" s="11" t="str">
        <f t="shared" si="25"/>
        <v/>
      </c>
    </row>
    <row r="344" spans="1:34" ht="14.25" customHeight="1">
      <c r="A344" s="11">
        <v>329</v>
      </c>
      <c r="B344" s="66"/>
      <c r="C344" s="67"/>
      <c r="D344" s="67"/>
      <c r="E344" s="67"/>
      <c r="F344" s="67"/>
      <c r="G344" s="67" t="s">
        <v>35</v>
      </c>
      <c r="H344" s="67">
        <v>42159</v>
      </c>
      <c r="I344" s="6" t="s">
        <v>920</v>
      </c>
      <c r="J344" s="9">
        <v>2148859748</v>
      </c>
      <c r="K344" s="68">
        <v>42155</v>
      </c>
      <c r="L344" s="68">
        <v>46022</v>
      </c>
      <c r="M344" s="68">
        <v>46203</v>
      </c>
      <c r="N344" s="69">
        <f t="shared" si="13"/>
        <v>-2</v>
      </c>
      <c r="O344" s="69">
        <f t="shared" si="14"/>
        <v>-7</v>
      </c>
      <c r="P344" s="70">
        <v>16</v>
      </c>
      <c r="Q344" s="70">
        <v>21</v>
      </c>
      <c r="R344" s="70">
        <v>14</v>
      </c>
      <c r="S344" s="68" t="str">
        <f t="shared" si="15"/>
        <v/>
      </c>
      <c r="T344" s="68"/>
      <c r="U344" s="68"/>
      <c r="V344" s="68"/>
      <c r="W344" s="9"/>
      <c r="X344" s="10"/>
      <c r="Y344" s="71">
        <f t="shared" si="16"/>
        <v>21</v>
      </c>
      <c r="Z344" s="73">
        <f t="shared" si="17"/>
        <v>14</v>
      </c>
      <c r="AA344" s="11" t="str">
        <f t="shared" si="18"/>
        <v/>
      </c>
      <c r="AB344" s="73">
        <f t="shared" si="19"/>
        <v>-2</v>
      </c>
      <c r="AC344" s="11" t="str">
        <f t="shared" si="20"/>
        <v/>
      </c>
      <c r="AD344" s="73">
        <f t="shared" si="21"/>
        <v>-7</v>
      </c>
      <c r="AE344" s="11" t="str">
        <f t="shared" si="22"/>
        <v/>
      </c>
      <c r="AF344" s="73">
        <f t="shared" si="23"/>
        <v>-1.9996560000000001</v>
      </c>
      <c r="AG344" s="11" t="str">
        <f t="shared" si="24"/>
        <v/>
      </c>
      <c r="AH344" s="73">
        <f t="shared" si="25"/>
        <v>-6.9996559999999999</v>
      </c>
    </row>
    <row r="345" spans="1:34" ht="14.25" customHeight="1">
      <c r="A345" s="11">
        <v>330</v>
      </c>
      <c r="B345" s="66"/>
      <c r="C345" s="67"/>
      <c r="D345" s="67"/>
      <c r="E345" s="67"/>
      <c r="F345" s="67"/>
      <c r="G345" s="67" t="s">
        <v>35</v>
      </c>
      <c r="H345" s="67">
        <v>42160</v>
      </c>
      <c r="I345" s="6" t="s">
        <v>921</v>
      </c>
      <c r="J345" s="9">
        <v>2148859980</v>
      </c>
      <c r="K345" s="68">
        <v>42155</v>
      </c>
      <c r="L345" s="68">
        <v>46022</v>
      </c>
      <c r="M345" s="68">
        <v>46203</v>
      </c>
      <c r="N345" s="69">
        <f t="shared" si="13"/>
        <v>275</v>
      </c>
      <c r="O345" s="69">
        <f t="shared" si="14"/>
        <v>15</v>
      </c>
      <c r="P345" s="70">
        <v>80</v>
      </c>
      <c r="Q345" s="70">
        <v>340</v>
      </c>
      <c r="R345" s="70">
        <v>355</v>
      </c>
      <c r="S345" s="68" t="str">
        <f t="shared" si="15"/>
        <v/>
      </c>
      <c r="T345" s="68"/>
      <c r="U345" s="68"/>
      <c r="V345" s="68"/>
      <c r="W345" s="9"/>
      <c r="X345" s="10"/>
      <c r="Y345" s="71">
        <f t="shared" si="16"/>
        <v>340</v>
      </c>
      <c r="Z345" s="73">
        <f t="shared" si="17"/>
        <v>355</v>
      </c>
      <c r="AA345" s="11" t="str">
        <f t="shared" si="18"/>
        <v/>
      </c>
      <c r="AB345" s="73">
        <f t="shared" si="19"/>
        <v>275</v>
      </c>
      <c r="AC345" s="11" t="str">
        <f t="shared" si="20"/>
        <v/>
      </c>
      <c r="AD345" s="73">
        <f t="shared" si="21"/>
        <v>15</v>
      </c>
      <c r="AE345" s="11" t="str">
        <f t="shared" si="22"/>
        <v/>
      </c>
      <c r="AF345" s="73">
        <f t="shared" si="23"/>
        <v>275.00034499999998</v>
      </c>
      <c r="AG345" s="11" t="str">
        <f t="shared" si="24"/>
        <v/>
      </c>
      <c r="AH345" s="73">
        <f t="shared" si="25"/>
        <v>15.000344999999999</v>
      </c>
    </row>
    <row r="346" spans="1:34" ht="14.25" customHeight="1">
      <c r="A346" s="11">
        <v>331</v>
      </c>
      <c r="B346" s="66"/>
      <c r="C346" s="67"/>
      <c r="D346" s="67"/>
      <c r="E346" s="67"/>
      <c r="F346" s="67"/>
      <c r="G346" s="67" t="s">
        <v>24</v>
      </c>
      <c r="H346" s="67">
        <v>41683</v>
      </c>
      <c r="I346" s="6" t="s">
        <v>922</v>
      </c>
      <c r="J346" s="9">
        <v>2148882841</v>
      </c>
      <c r="K346" s="68">
        <v>41670</v>
      </c>
      <c r="L346" s="68" t="s">
        <v>230</v>
      </c>
      <c r="M346" s="68">
        <v>45138</v>
      </c>
      <c r="N346" s="69">
        <f t="shared" si="13"/>
        <v>-5</v>
      </c>
      <c r="O346" s="69" t="str">
        <f t="shared" si="14"/>
        <v>N/A</v>
      </c>
      <c r="P346" s="70">
        <v>5</v>
      </c>
      <c r="Q346" s="70"/>
      <c r="R346" s="70">
        <v>0</v>
      </c>
      <c r="S346" s="68">
        <f t="shared" si="15"/>
        <v>45111</v>
      </c>
      <c r="T346" s="68">
        <v>45111</v>
      </c>
      <c r="U346" s="68"/>
      <c r="V346" s="68"/>
      <c r="W346" s="9"/>
      <c r="X346" s="10"/>
      <c r="Y346" s="65" t="str">
        <f t="shared" si="16"/>
        <v/>
      </c>
      <c r="Z346" s="11" t="str">
        <f t="shared" si="17"/>
        <v/>
      </c>
      <c r="AA346" s="11" t="str">
        <f t="shared" si="18"/>
        <v/>
      </c>
      <c r="AB346" s="73">
        <f t="shared" si="19"/>
        <v>-5</v>
      </c>
      <c r="AC346" s="11" t="str">
        <f t="shared" si="20"/>
        <v/>
      </c>
      <c r="AD346" s="11" t="str">
        <f t="shared" si="21"/>
        <v/>
      </c>
      <c r="AE346" s="11" t="str">
        <f t="shared" si="22"/>
        <v/>
      </c>
      <c r="AF346" s="73">
        <f t="shared" si="23"/>
        <v>-4.9996539999999996</v>
      </c>
      <c r="AG346" s="11" t="str">
        <f t="shared" si="24"/>
        <v/>
      </c>
      <c r="AH346" s="11" t="str">
        <f t="shared" si="25"/>
        <v/>
      </c>
    </row>
    <row r="347" spans="1:34" ht="14.25" customHeight="1">
      <c r="A347" s="11">
        <v>332</v>
      </c>
      <c r="B347" s="66" t="s">
        <v>35</v>
      </c>
      <c r="C347" s="67">
        <v>44986</v>
      </c>
      <c r="D347" s="67"/>
      <c r="E347" s="67"/>
      <c r="F347" s="67"/>
      <c r="G347" s="67"/>
      <c r="H347" s="67"/>
      <c r="I347" s="6" t="s">
        <v>923</v>
      </c>
      <c r="J347" s="9">
        <v>2148893111</v>
      </c>
      <c r="K347" s="68">
        <v>44985</v>
      </c>
      <c r="L347" s="68">
        <v>46022</v>
      </c>
      <c r="M347" s="68">
        <v>46203</v>
      </c>
      <c r="N347" s="69">
        <f t="shared" si="13"/>
        <v>-5</v>
      </c>
      <c r="O347" s="69">
        <f t="shared" si="14"/>
        <v>1</v>
      </c>
      <c r="P347" s="70">
        <v>17</v>
      </c>
      <c r="Q347" s="70">
        <v>11</v>
      </c>
      <c r="R347" s="70">
        <v>12</v>
      </c>
      <c r="S347" s="68" t="str">
        <f t="shared" si="15"/>
        <v/>
      </c>
      <c r="T347" s="68"/>
      <c r="U347" s="68"/>
      <c r="V347" s="68"/>
      <c r="W347" s="9"/>
      <c r="X347" s="10"/>
      <c r="Y347" s="71">
        <f t="shared" si="16"/>
        <v>11</v>
      </c>
      <c r="Z347" s="73">
        <f t="shared" si="17"/>
        <v>12</v>
      </c>
      <c r="AA347" s="73">
        <f t="shared" si="18"/>
        <v>-5</v>
      </c>
      <c r="AB347" s="11" t="str">
        <f t="shared" si="19"/>
        <v/>
      </c>
      <c r="AC347" s="73">
        <f t="shared" si="20"/>
        <v>1</v>
      </c>
      <c r="AD347" s="11" t="str">
        <f t="shared" si="21"/>
        <v/>
      </c>
      <c r="AE347" s="73">
        <f t="shared" si="22"/>
        <v>-4.9996530000000003</v>
      </c>
      <c r="AF347" s="11" t="str">
        <f t="shared" si="23"/>
        <v/>
      </c>
      <c r="AG347" s="73">
        <f t="shared" si="24"/>
        <v>1.0003470000000001</v>
      </c>
      <c r="AH347" s="11" t="str">
        <f t="shared" si="25"/>
        <v/>
      </c>
    </row>
    <row r="348" spans="1:34" ht="14.25" customHeight="1">
      <c r="A348" s="11">
        <v>333</v>
      </c>
      <c r="B348" s="66"/>
      <c r="C348" s="67"/>
      <c r="D348" s="67"/>
      <c r="E348" s="67"/>
      <c r="F348" s="67"/>
      <c r="G348" s="67" t="s">
        <v>35</v>
      </c>
      <c r="H348" s="67">
        <v>45624</v>
      </c>
      <c r="I348" s="6" t="s">
        <v>924</v>
      </c>
      <c r="J348" s="9">
        <v>2158154636</v>
      </c>
      <c r="K348" s="68">
        <v>45596</v>
      </c>
      <c r="L348" s="68">
        <v>46022</v>
      </c>
      <c r="M348" s="68">
        <v>46203</v>
      </c>
      <c r="N348" s="69">
        <f t="shared" si="13"/>
        <v>6</v>
      </c>
      <c r="O348" s="69">
        <f t="shared" si="14"/>
        <v>16</v>
      </c>
      <c r="P348" s="70">
        <v>327</v>
      </c>
      <c r="Q348" s="70">
        <v>317</v>
      </c>
      <c r="R348" s="70">
        <v>333</v>
      </c>
      <c r="S348" s="68" t="str">
        <f t="shared" si="15"/>
        <v/>
      </c>
      <c r="T348" s="68"/>
      <c r="U348" s="68"/>
      <c r="V348" s="68"/>
      <c r="W348" s="9"/>
      <c r="X348" s="10"/>
      <c r="Y348" s="71">
        <f t="shared" si="16"/>
        <v>317</v>
      </c>
      <c r="Z348" s="73">
        <f t="shared" si="17"/>
        <v>333</v>
      </c>
      <c r="AA348" s="11" t="str">
        <f t="shared" si="18"/>
        <v/>
      </c>
      <c r="AB348" s="73">
        <f t="shared" si="19"/>
        <v>6</v>
      </c>
      <c r="AC348" s="11" t="str">
        <f t="shared" si="20"/>
        <v/>
      </c>
      <c r="AD348" s="73">
        <f t="shared" si="21"/>
        <v>16</v>
      </c>
      <c r="AE348" s="11" t="str">
        <f t="shared" si="22"/>
        <v/>
      </c>
      <c r="AF348" s="73">
        <f t="shared" si="23"/>
        <v>6.0003479999999998</v>
      </c>
      <c r="AG348" s="11" t="str">
        <f t="shared" si="24"/>
        <v/>
      </c>
      <c r="AH348" s="73">
        <f t="shared" si="25"/>
        <v>16.000347999999999</v>
      </c>
    </row>
    <row r="349" spans="1:34" ht="14.25" customHeight="1">
      <c r="A349" s="11">
        <v>334</v>
      </c>
      <c r="B349" s="66"/>
      <c r="C349" s="67"/>
      <c r="D349" s="67"/>
      <c r="E349" s="67"/>
      <c r="F349" s="67"/>
      <c r="G349" s="67" t="s">
        <v>35</v>
      </c>
      <c r="H349" s="67">
        <v>45232</v>
      </c>
      <c r="I349" s="6" t="s">
        <v>925</v>
      </c>
      <c r="J349" s="9">
        <v>2158676862</v>
      </c>
      <c r="K349" s="68">
        <v>45230</v>
      </c>
      <c r="L349" s="68">
        <v>46022</v>
      </c>
      <c r="M349" s="68">
        <v>46203</v>
      </c>
      <c r="N349" s="69">
        <f t="shared" si="13"/>
        <v>1</v>
      </c>
      <c r="O349" s="69">
        <f t="shared" si="14"/>
        <v>0</v>
      </c>
      <c r="P349" s="70">
        <v>25</v>
      </c>
      <c r="Q349" s="70">
        <v>26</v>
      </c>
      <c r="R349" s="70">
        <v>26</v>
      </c>
      <c r="S349" s="68" t="str">
        <f t="shared" si="15"/>
        <v/>
      </c>
      <c r="T349" s="68"/>
      <c r="U349" s="68"/>
      <c r="V349" s="68"/>
      <c r="W349" s="9"/>
      <c r="X349" s="10"/>
      <c r="Y349" s="71">
        <f t="shared" si="16"/>
        <v>26</v>
      </c>
      <c r="Z349" s="73">
        <f t="shared" si="17"/>
        <v>26</v>
      </c>
      <c r="AA349" s="11" t="str">
        <f t="shared" si="18"/>
        <v/>
      </c>
      <c r="AB349" s="73">
        <f t="shared" si="19"/>
        <v>1</v>
      </c>
      <c r="AC349" s="11" t="str">
        <f t="shared" si="20"/>
        <v/>
      </c>
      <c r="AD349" s="73">
        <f t="shared" si="21"/>
        <v>0</v>
      </c>
      <c r="AE349" s="11" t="str">
        <f t="shared" si="22"/>
        <v/>
      </c>
      <c r="AF349" s="73">
        <f t="shared" si="23"/>
        <v>1.0003489999999999</v>
      </c>
      <c r="AG349" s="11" t="str">
        <f t="shared" si="24"/>
        <v/>
      </c>
      <c r="AH349" s="73">
        <f t="shared" si="25"/>
        <v>3.4900000000000003E-4</v>
      </c>
    </row>
    <row r="350" spans="1:34" ht="14.25" customHeight="1">
      <c r="A350" s="11">
        <v>335</v>
      </c>
      <c r="B350" s="66"/>
      <c r="C350" s="67"/>
      <c r="D350" s="67"/>
      <c r="E350" s="67"/>
      <c r="F350" s="67"/>
      <c r="G350" s="67" t="s">
        <v>35</v>
      </c>
      <c r="H350" s="67">
        <v>45499</v>
      </c>
      <c r="I350" s="6" t="s">
        <v>926</v>
      </c>
      <c r="J350" s="9">
        <v>2158753982</v>
      </c>
      <c r="K350" s="68">
        <v>45473</v>
      </c>
      <c r="L350" s="68">
        <v>46022</v>
      </c>
      <c r="M350" s="68">
        <v>46203</v>
      </c>
      <c r="N350" s="69">
        <f t="shared" si="13"/>
        <v>-4</v>
      </c>
      <c r="O350" s="69">
        <f t="shared" si="14"/>
        <v>0</v>
      </c>
      <c r="P350" s="70">
        <v>49</v>
      </c>
      <c r="Q350" s="70">
        <v>45</v>
      </c>
      <c r="R350" s="70">
        <v>45</v>
      </c>
      <c r="S350" s="68" t="str">
        <f t="shared" si="15"/>
        <v/>
      </c>
      <c r="T350" s="68"/>
      <c r="U350" s="68"/>
      <c r="V350" s="68"/>
      <c r="W350" s="9"/>
      <c r="X350" s="10"/>
      <c r="Y350" s="71">
        <f t="shared" si="16"/>
        <v>45</v>
      </c>
      <c r="Z350" s="73">
        <f t="shared" si="17"/>
        <v>45</v>
      </c>
      <c r="AA350" s="11" t="str">
        <f t="shared" si="18"/>
        <v/>
      </c>
      <c r="AB350" s="73">
        <f t="shared" si="19"/>
        <v>-4</v>
      </c>
      <c r="AC350" s="11" t="str">
        <f t="shared" si="20"/>
        <v/>
      </c>
      <c r="AD350" s="73">
        <f t="shared" si="21"/>
        <v>0</v>
      </c>
      <c r="AE350" s="11" t="str">
        <f t="shared" si="22"/>
        <v/>
      </c>
      <c r="AF350" s="73">
        <f t="shared" si="23"/>
        <v>-3.9996499999999999</v>
      </c>
      <c r="AG350" s="11" t="str">
        <f t="shared" si="24"/>
        <v/>
      </c>
      <c r="AH350" s="73">
        <f t="shared" si="25"/>
        <v>3.5E-4</v>
      </c>
    </row>
    <row r="351" spans="1:34" ht="14.25" customHeight="1">
      <c r="A351" s="11">
        <v>336</v>
      </c>
      <c r="B351" s="66"/>
      <c r="C351" s="67"/>
      <c r="D351" s="67"/>
      <c r="E351" s="67"/>
      <c r="F351" s="67"/>
      <c r="G351" s="67" t="s">
        <v>35</v>
      </c>
      <c r="H351" s="67">
        <v>43168</v>
      </c>
      <c r="I351" s="6" t="s">
        <v>927</v>
      </c>
      <c r="J351" s="9">
        <v>2158757315</v>
      </c>
      <c r="K351" s="68">
        <v>43159</v>
      </c>
      <c r="L351" s="68">
        <v>46022</v>
      </c>
      <c r="M351" s="68">
        <v>46203</v>
      </c>
      <c r="N351" s="69">
        <f t="shared" si="13"/>
        <v>27</v>
      </c>
      <c r="O351" s="69">
        <f t="shared" si="14"/>
        <v>1</v>
      </c>
      <c r="P351" s="70">
        <v>22</v>
      </c>
      <c r="Q351" s="70">
        <v>48</v>
      </c>
      <c r="R351" s="70">
        <v>49</v>
      </c>
      <c r="S351" s="68" t="str">
        <f t="shared" si="15"/>
        <v/>
      </c>
      <c r="T351" s="68"/>
      <c r="U351" s="68"/>
      <c r="V351" s="68"/>
      <c r="W351" s="9"/>
      <c r="X351" s="10"/>
      <c r="Y351" s="71">
        <f t="shared" si="16"/>
        <v>48</v>
      </c>
      <c r="Z351" s="73">
        <f t="shared" si="17"/>
        <v>49</v>
      </c>
      <c r="AA351" s="11" t="str">
        <f t="shared" si="18"/>
        <v/>
      </c>
      <c r="AB351" s="73">
        <f t="shared" si="19"/>
        <v>27</v>
      </c>
      <c r="AC351" s="11" t="str">
        <f t="shared" si="20"/>
        <v/>
      </c>
      <c r="AD351" s="73">
        <f t="shared" si="21"/>
        <v>1</v>
      </c>
      <c r="AE351" s="11" t="str">
        <f t="shared" si="22"/>
        <v/>
      </c>
      <c r="AF351" s="73">
        <f t="shared" si="23"/>
        <v>27.000350999999998</v>
      </c>
      <c r="AG351" s="11" t="str">
        <f t="shared" si="24"/>
        <v/>
      </c>
      <c r="AH351" s="73">
        <f t="shared" si="25"/>
        <v>1.000351</v>
      </c>
    </row>
    <row r="352" spans="1:34" ht="14.25" customHeight="1">
      <c r="A352" s="11">
        <v>337</v>
      </c>
      <c r="B352" s="66"/>
      <c r="C352" s="67"/>
      <c r="D352" s="67"/>
      <c r="E352" s="67"/>
      <c r="F352" s="67"/>
      <c r="G352" s="67" t="s">
        <v>24</v>
      </c>
      <c r="H352" s="67">
        <v>41617</v>
      </c>
      <c r="I352" s="6" t="s">
        <v>928</v>
      </c>
      <c r="J352" s="9">
        <v>2158761371</v>
      </c>
      <c r="K352" s="68">
        <v>41608</v>
      </c>
      <c r="L352" s="68" t="s">
        <v>230</v>
      </c>
      <c r="M352" s="68">
        <v>44316</v>
      </c>
      <c r="N352" s="69">
        <f t="shared" si="13"/>
        <v>-10</v>
      </c>
      <c r="O352" s="69" t="str">
        <f t="shared" si="14"/>
        <v>N/A</v>
      </c>
      <c r="P352" s="70">
        <v>10</v>
      </c>
      <c r="Q352" s="70"/>
      <c r="R352" s="70">
        <v>0</v>
      </c>
      <c r="S352" s="68">
        <f t="shared" si="15"/>
        <v>44307</v>
      </c>
      <c r="T352" s="68">
        <v>44307</v>
      </c>
      <c r="U352" s="68"/>
      <c r="V352" s="68"/>
      <c r="W352" s="9"/>
      <c r="X352" s="10"/>
      <c r="Y352" s="65" t="str">
        <f t="shared" si="16"/>
        <v/>
      </c>
      <c r="Z352" s="11" t="str">
        <f t="shared" si="17"/>
        <v/>
      </c>
      <c r="AA352" s="11" t="str">
        <f t="shared" si="18"/>
        <v/>
      </c>
      <c r="AB352" s="73">
        <f t="shared" si="19"/>
        <v>-10</v>
      </c>
      <c r="AC352" s="11" t="str">
        <f t="shared" si="20"/>
        <v/>
      </c>
      <c r="AD352" s="11" t="str">
        <f t="shared" si="21"/>
        <v/>
      </c>
      <c r="AE352" s="11" t="str">
        <f t="shared" si="22"/>
        <v/>
      </c>
      <c r="AF352" s="73">
        <f t="shared" si="23"/>
        <v>-9.9996480000000005</v>
      </c>
      <c r="AG352" s="11" t="str">
        <f t="shared" si="24"/>
        <v/>
      </c>
      <c r="AH352" s="11" t="str">
        <f t="shared" si="25"/>
        <v/>
      </c>
    </row>
    <row r="353" spans="1:34" ht="14.25" customHeight="1">
      <c r="A353" s="11">
        <v>338</v>
      </c>
      <c r="B353" s="66"/>
      <c r="C353" s="67"/>
      <c r="D353" s="67"/>
      <c r="E353" s="67"/>
      <c r="F353" s="67"/>
      <c r="G353" s="67" t="s">
        <v>35</v>
      </c>
      <c r="H353" s="67">
        <v>44029</v>
      </c>
      <c r="I353" s="6" t="s">
        <v>929</v>
      </c>
      <c r="J353" s="9">
        <v>2158784485</v>
      </c>
      <c r="K353" s="68">
        <v>44012</v>
      </c>
      <c r="L353" s="68">
        <v>46022</v>
      </c>
      <c r="M353" s="68">
        <v>46203</v>
      </c>
      <c r="N353" s="69">
        <f t="shared" si="13"/>
        <v>-11</v>
      </c>
      <c r="O353" s="69">
        <f t="shared" si="14"/>
        <v>-2</v>
      </c>
      <c r="P353" s="70">
        <v>11</v>
      </c>
      <c r="Q353" s="70">
        <v>2</v>
      </c>
      <c r="R353" s="70">
        <v>0</v>
      </c>
      <c r="S353" s="68" t="str">
        <f t="shared" si="15"/>
        <v/>
      </c>
      <c r="T353" s="68"/>
      <c r="U353" s="68"/>
      <c r="V353" s="68"/>
      <c r="W353" s="9"/>
      <c r="X353" s="10"/>
      <c r="Y353" s="71">
        <f t="shared" si="16"/>
        <v>2</v>
      </c>
      <c r="Z353" s="73">
        <f t="shared" si="17"/>
        <v>0</v>
      </c>
      <c r="AA353" s="11" t="str">
        <f t="shared" si="18"/>
        <v/>
      </c>
      <c r="AB353" s="73">
        <f t="shared" si="19"/>
        <v>-11</v>
      </c>
      <c r="AC353" s="11" t="str">
        <f t="shared" si="20"/>
        <v/>
      </c>
      <c r="AD353" s="73">
        <f t="shared" si="21"/>
        <v>-2</v>
      </c>
      <c r="AE353" s="11" t="str">
        <f t="shared" si="22"/>
        <v/>
      </c>
      <c r="AF353" s="73">
        <f t="shared" si="23"/>
        <v>-10.999647</v>
      </c>
      <c r="AG353" s="11" t="str">
        <f t="shared" si="24"/>
        <v/>
      </c>
      <c r="AH353" s="73">
        <f t="shared" si="25"/>
        <v>-1.999647</v>
      </c>
    </row>
    <row r="354" spans="1:34" ht="14.25" customHeight="1">
      <c r="A354" s="11">
        <v>339</v>
      </c>
      <c r="B354" s="66" t="s">
        <v>24</v>
      </c>
      <c r="C354" s="67">
        <v>42887</v>
      </c>
      <c r="D354" s="67"/>
      <c r="E354" s="67"/>
      <c r="F354" s="67"/>
      <c r="G354" s="67"/>
      <c r="H354" s="67"/>
      <c r="I354" s="6" t="s">
        <v>930</v>
      </c>
      <c r="J354" s="9">
        <v>2158794756</v>
      </c>
      <c r="K354" s="68">
        <v>42886</v>
      </c>
      <c r="L354" s="68" t="s">
        <v>230</v>
      </c>
      <c r="M354" s="68">
        <v>43677</v>
      </c>
      <c r="N354" s="69">
        <f t="shared" si="13"/>
        <v>-1</v>
      </c>
      <c r="O354" s="69" t="str">
        <f t="shared" si="14"/>
        <v>N/A</v>
      </c>
      <c r="P354" s="70">
        <v>1</v>
      </c>
      <c r="Q354" s="70"/>
      <c r="R354" s="70">
        <v>0</v>
      </c>
      <c r="S354" s="68">
        <f t="shared" si="15"/>
        <v>43665</v>
      </c>
      <c r="T354" s="68">
        <v>43665</v>
      </c>
      <c r="U354" s="68"/>
      <c r="V354" s="68"/>
      <c r="W354" s="9"/>
      <c r="X354" s="10"/>
      <c r="Y354" s="65" t="str">
        <f t="shared" si="16"/>
        <v/>
      </c>
      <c r="Z354" s="11" t="str">
        <f t="shared" si="17"/>
        <v/>
      </c>
      <c r="AA354" s="73">
        <f t="shared" si="18"/>
        <v>-1</v>
      </c>
      <c r="AB354" s="11" t="str">
        <f t="shared" si="19"/>
        <v/>
      </c>
      <c r="AC354" s="11" t="str">
        <f t="shared" si="20"/>
        <v/>
      </c>
      <c r="AD354" s="11" t="str">
        <f t="shared" si="21"/>
        <v/>
      </c>
      <c r="AE354" s="73">
        <f t="shared" si="22"/>
        <v>-0.99964600000000003</v>
      </c>
      <c r="AF354" s="11" t="str">
        <f t="shared" si="23"/>
        <v/>
      </c>
      <c r="AG354" s="11" t="str">
        <f t="shared" si="24"/>
        <v/>
      </c>
      <c r="AH354" s="11" t="str">
        <f t="shared" si="25"/>
        <v/>
      </c>
    </row>
    <row r="355" spans="1:34" ht="14.25" customHeight="1">
      <c r="A355" s="11">
        <v>340</v>
      </c>
      <c r="B355" s="66" t="s">
        <v>24</v>
      </c>
      <c r="C355" s="67">
        <v>42501</v>
      </c>
      <c r="D355" s="67">
        <v>42683</v>
      </c>
      <c r="E355" s="67"/>
      <c r="F355" s="67"/>
      <c r="G355" s="67"/>
      <c r="H355" s="67"/>
      <c r="I355" s="6" t="s">
        <v>931</v>
      </c>
      <c r="J355" s="9">
        <v>2158795599</v>
      </c>
      <c r="K355" s="68">
        <v>42490</v>
      </c>
      <c r="L355" s="68" t="s">
        <v>230</v>
      </c>
      <c r="M355" s="68">
        <v>44926</v>
      </c>
      <c r="N355" s="69">
        <f t="shared" si="13"/>
        <v>-7</v>
      </c>
      <c r="O355" s="69" t="str">
        <f t="shared" si="14"/>
        <v>N/A</v>
      </c>
      <c r="P355" s="70">
        <v>7</v>
      </c>
      <c r="Q355" s="70"/>
      <c r="R355" s="70">
        <v>0</v>
      </c>
      <c r="S355" s="68">
        <f t="shared" si="15"/>
        <v>44918</v>
      </c>
      <c r="T355" s="68">
        <v>44918</v>
      </c>
      <c r="U355" s="68">
        <v>44926</v>
      </c>
      <c r="V355" s="92">
        <v>45560</v>
      </c>
      <c r="W355" s="9"/>
      <c r="X355" s="10"/>
      <c r="Y355" s="65" t="str">
        <f t="shared" si="16"/>
        <v/>
      </c>
      <c r="Z355" s="11" t="str">
        <f t="shared" si="17"/>
        <v/>
      </c>
      <c r="AA355" s="73">
        <f t="shared" si="18"/>
        <v>-7</v>
      </c>
      <c r="AB355" s="11" t="str">
        <f t="shared" si="19"/>
        <v/>
      </c>
      <c r="AC355" s="11" t="str">
        <f t="shared" si="20"/>
        <v/>
      </c>
      <c r="AD355" s="11" t="str">
        <f t="shared" si="21"/>
        <v/>
      </c>
      <c r="AE355" s="73">
        <f t="shared" si="22"/>
        <v>-6.9996450000000001</v>
      </c>
      <c r="AF355" s="11" t="str">
        <f t="shared" si="23"/>
        <v/>
      </c>
      <c r="AG355" s="11" t="str">
        <f t="shared" si="24"/>
        <v/>
      </c>
      <c r="AH355" s="11" t="str">
        <f t="shared" si="25"/>
        <v/>
      </c>
    </row>
    <row r="356" spans="1:34" ht="14.25" customHeight="1">
      <c r="A356" s="11">
        <v>341</v>
      </c>
      <c r="B356" s="66" t="s">
        <v>35</v>
      </c>
      <c r="C356" s="67"/>
      <c r="D356" s="67">
        <v>45121</v>
      </c>
      <c r="E356" s="67"/>
      <c r="F356" s="67"/>
      <c r="G356" s="67"/>
      <c r="H356" s="67"/>
      <c r="I356" s="6" t="s">
        <v>932</v>
      </c>
      <c r="J356" s="9">
        <v>2158802404</v>
      </c>
      <c r="K356" s="68">
        <v>45107</v>
      </c>
      <c r="L356" s="68">
        <v>46022</v>
      </c>
      <c r="M356" s="68">
        <v>46203</v>
      </c>
      <c r="N356" s="69">
        <f t="shared" si="13"/>
        <v>32</v>
      </c>
      <c r="O356" s="69">
        <f t="shared" si="14"/>
        <v>-4</v>
      </c>
      <c r="P356" s="70">
        <v>13</v>
      </c>
      <c r="Q356" s="70">
        <v>49</v>
      </c>
      <c r="R356" s="70">
        <v>45</v>
      </c>
      <c r="S356" s="68" t="str">
        <f t="shared" si="15"/>
        <v/>
      </c>
      <c r="T356" s="68"/>
      <c r="U356" s="68"/>
      <c r="V356" s="68"/>
      <c r="W356" s="9"/>
      <c r="X356" s="10"/>
      <c r="Y356" s="71">
        <f t="shared" si="16"/>
        <v>49</v>
      </c>
      <c r="Z356" s="73">
        <f t="shared" si="17"/>
        <v>45</v>
      </c>
      <c r="AA356" s="73">
        <f t="shared" si="18"/>
        <v>32</v>
      </c>
      <c r="AB356" s="11" t="str">
        <f t="shared" si="19"/>
        <v/>
      </c>
      <c r="AC356" s="73">
        <f t="shared" si="20"/>
        <v>-4</v>
      </c>
      <c r="AD356" s="11" t="str">
        <f t="shared" si="21"/>
        <v/>
      </c>
      <c r="AE356" s="73">
        <f t="shared" si="22"/>
        <v>32.000355999999996</v>
      </c>
      <c r="AF356" s="11" t="str">
        <f t="shared" si="23"/>
        <v/>
      </c>
      <c r="AG356" s="73">
        <f t="shared" si="24"/>
        <v>-3.999644</v>
      </c>
      <c r="AH356" s="11" t="str">
        <f t="shared" si="25"/>
        <v/>
      </c>
    </row>
    <row r="357" spans="1:34" ht="14.25" customHeight="1">
      <c r="A357" s="11">
        <v>342</v>
      </c>
      <c r="B357" s="66"/>
      <c r="C357" s="67"/>
      <c r="D357" s="67"/>
      <c r="E357" s="67"/>
      <c r="F357" s="67"/>
      <c r="G357" s="67" t="s">
        <v>35</v>
      </c>
      <c r="H357" s="67">
        <v>45404</v>
      </c>
      <c r="I357" s="6" t="s">
        <v>933</v>
      </c>
      <c r="J357" s="9">
        <v>2168601011</v>
      </c>
      <c r="K357" s="68">
        <v>45382</v>
      </c>
      <c r="L357" s="68">
        <v>46022</v>
      </c>
      <c r="M357" s="68">
        <v>46203</v>
      </c>
      <c r="N357" s="69">
        <f t="shared" si="13"/>
        <v>-2</v>
      </c>
      <c r="O357" s="69">
        <f t="shared" si="14"/>
        <v>-1</v>
      </c>
      <c r="P357" s="70">
        <v>28</v>
      </c>
      <c r="Q357" s="70">
        <v>27</v>
      </c>
      <c r="R357" s="70">
        <v>26</v>
      </c>
      <c r="S357" s="68" t="str">
        <f t="shared" si="15"/>
        <v/>
      </c>
      <c r="T357" s="68"/>
      <c r="U357" s="68"/>
      <c r="V357" s="68"/>
      <c r="W357" s="9"/>
      <c r="X357" s="10"/>
      <c r="Y357" s="71">
        <f t="shared" si="16"/>
        <v>27</v>
      </c>
      <c r="Z357" s="73">
        <f t="shared" si="17"/>
        <v>26</v>
      </c>
      <c r="AA357" s="11" t="str">
        <f t="shared" si="18"/>
        <v/>
      </c>
      <c r="AB357" s="73">
        <f t="shared" si="19"/>
        <v>-2</v>
      </c>
      <c r="AC357" s="11" t="str">
        <f t="shared" si="20"/>
        <v/>
      </c>
      <c r="AD357" s="73">
        <f t="shared" si="21"/>
        <v>-1</v>
      </c>
      <c r="AE357" s="11" t="str">
        <f t="shared" si="22"/>
        <v/>
      </c>
      <c r="AF357" s="73">
        <f t="shared" si="23"/>
        <v>-1.9996430000000001</v>
      </c>
      <c r="AG357" s="11" t="str">
        <f t="shared" si="24"/>
        <v/>
      </c>
      <c r="AH357" s="73">
        <f t="shared" si="25"/>
        <v>-0.99964299999999995</v>
      </c>
    </row>
    <row r="358" spans="1:34" ht="14.25" customHeight="1">
      <c r="A358" s="11">
        <v>343</v>
      </c>
      <c r="B358" s="66"/>
      <c r="C358" s="67"/>
      <c r="D358" s="67"/>
      <c r="E358" s="67"/>
      <c r="F358" s="67"/>
      <c r="G358" s="67" t="s">
        <v>35</v>
      </c>
      <c r="H358" s="67">
        <v>45072</v>
      </c>
      <c r="I358" s="6" t="s">
        <v>934</v>
      </c>
      <c r="J358" s="9">
        <v>2168802237</v>
      </c>
      <c r="K358" s="68">
        <v>45046</v>
      </c>
      <c r="L358" s="68">
        <v>46022</v>
      </c>
      <c r="M358" s="68">
        <v>46203</v>
      </c>
      <c r="N358" s="69">
        <f t="shared" si="13"/>
        <v>1</v>
      </c>
      <c r="O358" s="69">
        <f t="shared" si="14"/>
        <v>0</v>
      </c>
      <c r="P358" s="70">
        <v>3</v>
      </c>
      <c r="Q358" s="70">
        <v>4</v>
      </c>
      <c r="R358" s="70">
        <v>4</v>
      </c>
      <c r="S358" s="68" t="str">
        <f t="shared" si="15"/>
        <v/>
      </c>
      <c r="T358" s="68"/>
      <c r="U358" s="68"/>
      <c r="V358" s="68"/>
      <c r="W358" s="9"/>
      <c r="X358" s="10"/>
      <c r="Y358" s="71">
        <f t="shared" si="16"/>
        <v>4</v>
      </c>
      <c r="Z358" s="73">
        <f t="shared" si="17"/>
        <v>4</v>
      </c>
      <c r="AA358" s="11" t="str">
        <f t="shared" si="18"/>
        <v/>
      </c>
      <c r="AB358" s="73">
        <f t="shared" si="19"/>
        <v>1</v>
      </c>
      <c r="AC358" s="11" t="str">
        <f t="shared" si="20"/>
        <v/>
      </c>
      <c r="AD358" s="73">
        <f t="shared" si="21"/>
        <v>0</v>
      </c>
      <c r="AE358" s="11" t="str">
        <f t="shared" si="22"/>
        <v/>
      </c>
      <c r="AF358" s="73">
        <f t="shared" si="23"/>
        <v>1.0003580000000001</v>
      </c>
      <c r="AG358" s="11" t="str">
        <f t="shared" si="24"/>
        <v/>
      </c>
      <c r="AH358" s="73">
        <f t="shared" si="25"/>
        <v>3.5799999999999997E-4</v>
      </c>
    </row>
    <row r="359" spans="1:34" ht="14.25" customHeight="1">
      <c r="A359" s="11">
        <v>344</v>
      </c>
      <c r="B359" s="66"/>
      <c r="C359" s="67"/>
      <c r="D359" s="67"/>
      <c r="E359" s="67"/>
      <c r="F359" s="67"/>
      <c r="G359" s="67" t="s">
        <v>35</v>
      </c>
      <c r="H359" s="67">
        <v>45910</v>
      </c>
      <c r="I359" s="6" t="s">
        <v>935</v>
      </c>
      <c r="J359" s="94">
        <v>2168802784</v>
      </c>
      <c r="K359" s="68">
        <v>45900</v>
      </c>
      <c r="L359" s="68">
        <v>46022</v>
      </c>
      <c r="M359" s="68">
        <v>46203</v>
      </c>
      <c r="N359" s="69">
        <f t="shared" si="13"/>
        <v>4</v>
      </c>
      <c r="O359" s="69">
        <f t="shared" si="14"/>
        <v>0</v>
      </c>
      <c r="P359" s="70">
        <v>5</v>
      </c>
      <c r="Q359" s="70">
        <v>9</v>
      </c>
      <c r="R359" s="70">
        <v>9</v>
      </c>
      <c r="S359" s="68" t="str">
        <f t="shared" si="15"/>
        <v/>
      </c>
      <c r="T359" s="68"/>
      <c r="U359" s="95"/>
      <c r="V359" s="68"/>
      <c r="W359" s="6"/>
      <c r="X359" s="10"/>
      <c r="Y359" s="71">
        <f t="shared" si="16"/>
        <v>9</v>
      </c>
      <c r="Z359" s="73">
        <f t="shared" si="17"/>
        <v>9</v>
      </c>
      <c r="AA359" s="11" t="str">
        <f t="shared" si="18"/>
        <v/>
      </c>
      <c r="AB359" s="73">
        <f t="shared" si="19"/>
        <v>4</v>
      </c>
      <c r="AC359" s="11" t="str">
        <f t="shared" si="20"/>
        <v/>
      </c>
      <c r="AD359" s="73">
        <f t="shared" si="21"/>
        <v>0</v>
      </c>
      <c r="AE359" s="11" t="str">
        <f t="shared" si="22"/>
        <v/>
      </c>
      <c r="AF359" s="73">
        <f t="shared" si="23"/>
        <v>4.0003590000000004</v>
      </c>
      <c r="AG359" s="11" t="str">
        <f t="shared" si="24"/>
        <v/>
      </c>
      <c r="AH359" s="73">
        <f t="shared" si="25"/>
        <v>3.59E-4</v>
      </c>
    </row>
    <row r="360" spans="1:34" ht="14.25" customHeight="1">
      <c r="A360" s="11">
        <v>345</v>
      </c>
      <c r="B360" s="66"/>
      <c r="C360" s="67"/>
      <c r="D360" s="67"/>
      <c r="E360" s="67"/>
      <c r="F360" s="67"/>
      <c r="G360" s="67" t="s">
        <v>35</v>
      </c>
      <c r="H360" s="67">
        <v>41949</v>
      </c>
      <c r="I360" s="6" t="s">
        <v>936</v>
      </c>
      <c r="J360" s="9">
        <v>2178138044</v>
      </c>
      <c r="K360" s="68">
        <v>41943</v>
      </c>
      <c r="L360" s="68">
        <v>46022</v>
      </c>
      <c r="M360" s="68">
        <v>46203</v>
      </c>
      <c r="N360" s="69">
        <f t="shared" si="13"/>
        <v>-2</v>
      </c>
      <c r="O360" s="69">
        <f t="shared" si="14"/>
        <v>0</v>
      </c>
      <c r="P360" s="70">
        <v>2</v>
      </c>
      <c r="Q360" s="70">
        <v>0</v>
      </c>
      <c r="R360" s="70">
        <v>0</v>
      </c>
      <c r="S360" s="68" t="str">
        <f t="shared" si="15"/>
        <v/>
      </c>
      <c r="T360" s="68"/>
      <c r="U360" s="68"/>
      <c r="V360" s="68"/>
      <c r="W360" s="9"/>
      <c r="X360" s="10"/>
      <c r="Y360" s="71">
        <f t="shared" si="16"/>
        <v>0</v>
      </c>
      <c r="Z360" s="73">
        <f t="shared" si="17"/>
        <v>0</v>
      </c>
      <c r="AA360" s="11" t="str">
        <f t="shared" si="18"/>
        <v/>
      </c>
      <c r="AB360" s="73">
        <f t="shared" si="19"/>
        <v>-2</v>
      </c>
      <c r="AC360" s="11" t="str">
        <f t="shared" si="20"/>
        <v/>
      </c>
      <c r="AD360" s="73">
        <f t="shared" si="21"/>
        <v>0</v>
      </c>
      <c r="AE360" s="11" t="str">
        <f t="shared" si="22"/>
        <v/>
      </c>
      <c r="AF360" s="73">
        <f t="shared" si="23"/>
        <v>-1.9996400000000001</v>
      </c>
      <c r="AG360" s="11" t="str">
        <f t="shared" si="24"/>
        <v/>
      </c>
      <c r="AH360" s="73">
        <f t="shared" si="25"/>
        <v>3.6000000000000002E-4</v>
      </c>
    </row>
    <row r="361" spans="1:34" ht="14.25" customHeight="1">
      <c r="A361" s="11">
        <v>346</v>
      </c>
      <c r="B361" s="66"/>
      <c r="C361" s="67"/>
      <c r="D361" s="67"/>
      <c r="E361" s="67"/>
      <c r="F361" s="67"/>
      <c r="G361" s="67" t="s">
        <v>35</v>
      </c>
      <c r="H361" s="67">
        <v>43034</v>
      </c>
      <c r="I361" s="6" t="s">
        <v>937</v>
      </c>
      <c r="J361" s="9">
        <v>2178142999</v>
      </c>
      <c r="K361" s="68">
        <v>43008</v>
      </c>
      <c r="L361" s="68">
        <v>46022</v>
      </c>
      <c r="M361" s="68">
        <v>46203</v>
      </c>
      <c r="N361" s="69">
        <f t="shared" si="13"/>
        <v>14</v>
      </c>
      <c r="O361" s="69">
        <f t="shared" si="14"/>
        <v>1</v>
      </c>
      <c r="P361" s="70">
        <v>0</v>
      </c>
      <c r="Q361" s="70">
        <v>13</v>
      </c>
      <c r="R361" s="70">
        <v>14</v>
      </c>
      <c r="S361" s="68" t="str">
        <f t="shared" si="15"/>
        <v/>
      </c>
      <c r="T361" s="68"/>
      <c r="U361" s="68"/>
      <c r="V361" s="68"/>
      <c r="W361" s="9"/>
      <c r="X361" s="10"/>
      <c r="Y361" s="71">
        <f t="shared" si="16"/>
        <v>13</v>
      </c>
      <c r="Z361" s="73">
        <f t="shared" si="17"/>
        <v>14</v>
      </c>
      <c r="AA361" s="11" t="str">
        <f t="shared" si="18"/>
        <v/>
      </c>
      <c r="AB361" s="73">
        <f t="shared" si="19"/>
        <v>14</v>
      </c>
      <c r="AC361" s="11" t="str">
        <f t="shared" si="20"/>
        <v/>
      </c>
      <c r="AD361" s="73">
        <f t="shared" si="21"/>
        <v>1</v>
      </c>
      <c r="AE361" s="11" t="str">
        <f t="shared" si="22"/>
        <v/>
      </c>
      <c r="AF361" s="73">
        <f t="shared" si="23"/>
        <v>14.000361</v>
      </c>
      <c r="AG361" s="11" t="str">
        <f t="shared" si="24"/>
        <v/>
      </c>
      <c r="AH361" s="73">
        <f t="shared" si="25"/>
        <v>1.0003610000000001</v>
      </c>
    </row>
    <row r="362" spans="1:34" ht="14.25" customHeight="1">
      <c r="A362" s="11">
        <v>347</v>
      </c>
      <c r="B362" s="66" t="s">
        <v>35</v>
      </c>
      <c r="C362" s="67"/>
      <c r="D362" s="67"/>
      <c r="E362" s="67"/>
      <c r="F362" s="67">
        <v>46184</v>
      </c>
      <c r="G362" s="67"/>
      <c r="H362" s="67"/>
      <c r="I362" s="6" t="s">
        <v>938</v>
      </c>
      <c r="J362" s="37">
        <v>2178144089</v>
      </c>
      <c r="K362" s="68">
        <v>46173</v>
      </c>
      <c r="L362" s="68" t="s">
        <v>230</v>
      </c>
      <c r="M362" s="68">
        <v>46203</v>
      </c>
      <c r="N362" s="69">
        <f t="shared" si="13"/>
        <v>1</v>
      </c>
      <c r="O362" s="69">
        <f t="shared" si="14"/>
        <v>1</v>
      </c>
      <c r="P362" s="70">
        <v>15</v>
      </c>
      <c r="Q362" s="70"/>
      <c r="R362" s="70">
        <v>16</v>
      </c>
      <c r="S362" s="68" t="str">
        <f t="shared" si="15"/>
        <v/>
      </c>
      <c r="T362" s="68"/>
      <c r="U362" s="95"/>
      <c r="V362" s="68"/>
      <c r="W362" s="6"/>
      <c r="X362" s="93"/>
      <c r="Y362" s="71">
        <f t="shared" si="16"/>
        <v>15</v>
      </c>
      <c r="Z362" s="73">
        <f t="shared" si="17"/>
        <v>16</v>
      </c>
      <c r="AA362" s="73">
        <f t="shared" si="18"/>
        <v>1</v>
      </c>
      <c r="AB362" s="11" t="str">
        <f t="shared" si="19"/>
        <v/>
      </c>
      <c r="AC362" s="73">
        <f t="shared" si="20"/>
        <v>1</v>
      </c>
      <c r="AD362" s="11" t="str">
        <f t="shared" si="21"/>
        <v/>
      </c>
      <c r="AE362" s="73">
        <f t="shared" si="22"/>
        <v>1.000362</v>
      </c>
      <c r="AF362" s="11" t="str">
        <f t="shared" si="23"/>
        <v/>
      </c>
      <c r="AG362" s="73">
        <f t="shared" si="24"/>
        <v>1.000362</v>
      </c>
      <c r="AH362" s="11" t="str">
        <f t="shared" si="25"/>
        <v/>
      </c>
    </row>
    <row r="363" spans="1:34" ht="14.25" customHeight="1">
      <c r="A363" s="11">
        <v>348</v>
      </c>
      <c r="B363" s="66" t="s">
        <v>35</v>
      </c>
      <c r="C363" s="67">
        <v>42705</v>
      </c>
      <c r="D363" s="67"/>
      <c r="E363" s="67"/>
      <c r="F363" s="67"/>
      <c r="G363" s="67"/>
      <c r="H363" s="67"/>
      <c r="I363" s="6" t="s">
        <v>939</v>
      </c>
      <c r="J363" s="9">
        <v>2178600674</v>
      </c>
      <c r="K363" s="68">
        <v>42704</v>
      </c>
      <c r="L363" s="68">
        <v>46022</v>
      </c>
      <c r="M363" s="68">
        <v>46203</v>
      </c>
      <c r="N363" s="69">
        <f t="shared" si="13"/>
        <v>23</v>
      </c>
      <c r="O363" s="69">
        <f t="shared" si="14"/>
        <v>1</v>
      </c>
      <c r="P363" s="70">
        <v>0</v>
      </c>
      <c r="Q363" s="70">
        <v>22</v>
      </c>
      <c r="R363" s="70">
        <v>23</v>
      </c>
      <c r="S363" s="68" t="str">
        <f t="shared" si="15"/>
        <v/>
      </c>
      <c r="T363" s="68"/>
      <c r="U363" s="68"/>
      <c r="V363" s="68"/>
      <c r="W363" s="9"/>
      <c r="X363" s="10"/>
      <c r="Y363" s="71">
        <f t="shared" si="16"/>
        <v>22</v>
      </c>
      <c r="Z363" s="73">
        <f t="shared" si="17"/>
        <v>23</v>
      </c>
      <c r="AA363" s="73">
        <f t="shared" si="18"/>
        <v>23</v>
      </c>
      <c r="AB363" s="11" t="str">
        <f t="shared" si="19"/>
        <v/>
      </c>
      <c r="AC363" s="73">
        <f t="shared" si="20"/>
        <v>1</v>
      </c>
      <c r="AD363" s="11" t="str">
        <f t="shared" si="21"/>
        <v/>
      </c>
      <c r="AE363" s="73">
        <f t="shared" si="22"/>
        <v>23.000363</v>
      </c>
      <c r="AF363" s="11" t="str">
        <f t="shared" si="23"/>
        <v/>
      </c>
      <c r="AG363" s="73">
        <f t="shared" si="24"/>
        <v>1.0003629999999999</v>
      </c>
      <c r="AH363" s="11" t="str">
        <f t="shared" si="25"/>
        <v/>
      </c>
    </row>
    <row r="364" spans="1:34" ht="14.25" customHeight="1">
      <c r="A364" s="11">
        <v>349</v>
      </c>
      <c r="B364" s="66"/>
      <c r="C364" s="67"/>
      <c r="D364" s="67"/>
      <c r="E364" s="67"/>
      <c r="F364" s="67"/>
      <c r="G364" s="67" t="s">
        <v>35</v>
      </c>
      <c r="H364" s="67">
        <v>44138</v>
      </c>
      <c r="I364" s="6" t="s">
        <v>940</v>
      </c>
      <c r="J364" s="9">
        <v>2188601604</v>
      </c>
      <c r="K364" s="68">
        <v>44135</v>
      </c>
      <c r="L364" s="68">
        <v>46022</v>
      </c>
      <c r="M364" s="68">
        <v>46203</v>
      </c>
      <c r="N364" s="69">
        <f t="shared" si="13"/>
        <v>16</v>
      </c>
      <c r="O364" s="69">
        <f t="shared" si="14"/>
        <v>-1</v>
      </c>
      <c r="P364" s="70">
        <v>1</v>
      </c>
      <c r="Q364" s="70">
        <v>18</v>
      </c>
      <c r="R364" s="70">
        <v>17</v>
      </c>
      <c r="S364" s="68" t="str">
        <f t="shared" si="15"/>
        <v/>
      </c>
      <c r="T364" s="68"/>
      <c r="U364" s="68"/>
      <c r="V364" s="68"/>
      <c r="W364" s="9"/>
      <c r="X364" s="10"/>
      <c r="Y364" s="71">
        <f t="shared" si="16"/>
        <v>18</v>
      </c>
      <c r="Z364" s="73">
        <f t="shared" si="17"/>
        <v>17</v>
      </c>
      <c r="AA364" s="11" t="str">
        <f t="shared" si="18"/>
        <v/>
      </c>
      <c r="AB364" s="73">
        <f t="shared" si="19"/>
        <v>16</v>
      </c>
      <c r="AC364" s="11" t="str">
        <f t="shared" si="20"/>
        <v/>
      </c>
      <c r="AD364" s="73">
        <f t="shared" si="21"/>
        <v>-1</v>
      </c>
      <c r="AE364" s="11" t="str">
        <f t="shared" si="22"/>
        <v/>
      </c>
      <c r="AF364" s="73">
        <f t="shared" si="23"/>
        <v>16.000364000000001</v>
      </c>
      <c r="AG364" s="11" t="str">
        <f t="shared" si="24"/>
        <v/>
      </c>
      <c r="AH364" s="73">
        <f t="shared" si="25"/>
        <v>-0.99963599999999997</v>
      </c>
    </row>
    <row r="365" spans="1:34" ht="14.25" customHeight="1">
      <c r="A365" s="11">
        <v>350</v>
      </c>
      <c r="B365" s="66"/>
      <c r="C365" s="67"/>
      <c r="D365" s="67"/>
      <c r="E365" s="67"/>
      <c r="F365" s="67"/>
      <c r="G365" s="67" t="s">
        <v>35</v>
      </c>
      <c r="H365" s="67">
        <v>43811</v>
      </c>
      <c r="I365" s="6" t="s">
        <v>941</v>
      </c>
      <c r="J365" s="9">
        <v>2198131353</v>
      </c>
      <c r="K365" s="68">
        <v>43799</v>
      </c>
      <c r="L365" s="68">
        <v>46022</v>
      </c>
      <c r="M365" s="68">
        <v>46203</v>
      </c>
      <c r="N365" s="69">
        <f t="shared" si="13"/>
        <v>24</v>
      </c>
      <c r="O365" s="69">
        <f t="shared" si="14"/>
        <v>8</v>
      </c>
      <c r="P365" s="70">
        <v>26</v>
      </c>
      <c r="Q365" s="70">
        <v>42</v>
      </c>
      <c r="R365" s="70">
        <v>50</v>
      </c>
      <c r="S365" s="68" t="str">
        <f t="shared" si="15"/>
        <v/>
      </c>
      <c r="T365" s="68"/>
      <c r="U365" s="68"/>
      <c r="V365" s="68"/>
      <c r="W365" s="9"/>
      <c r="X365" s="10"/>
      <c r="Y365" s="71">
        <f t="shared" si="16"/>
        <v>42</v>
      </c>
      <c r="Z365" s="73">
        <f t="shared" si="17"/>
        <v>50</v>
      </c>
      <c r="AA365" s="11" t="str">
        <f t="shared" si="18"/>
        <v/>
      </c>
      <c r="AB365" s="73">
        <f t="shared" si="19"/>
        <v>24</v>
      </c>
      <c r="AC365" s="11" t="str">
        <f t="shared" si="20"/>
        <v/>
      </c>
      <c r="AD365" s="73">
        <f t="shared" si="21"/>
        <v>8</v>
      </c>
      <c r="AE365" s="11" t="str">
        <f t="shared" si="22"/>
        <v/>
      </c>
      <c r="AF365" s="73">
        <f t="shared" si="23"/>
        <v>24.000364999999999</v>
      </c>
      <c r="AG365" s="11" t="str">
        <f t="shared" si="24"/>
        <v/>
      </c>
      <c r="AH365" s="73">
        <f t="shared" si="25"/>
        <v>8.0003650000000004</v>
      </c>
    </row>
    <row r="366" spans="1:34" ht="14.25" customHeight="1">
      <c r="A366" s="11">
        <v>351</v>
      </c>
      <c r="B366" s="66" t="s">
        <v>35</v>
      </c>
      <c r="C366" s="67"/>
      <c r="D366" s="67">
        <v>44340</v>
      </c>
      <c r="E366" s="67"/>
      <c r="F366" s="67"/>
      <c r="G366" s="67"/>
      <c r="H366" s="67"/>
      <c r="I366" s="6" t="s">
        <v>942</v>
      </c>
      <c r="J366" s="9">
        <v>2198131561</v>
      </c>
      <c r="K366" s="68">
        <v>44316</v>
      </c>
      <c r="L366" s="68">
        <v>46022</v>
      </c>
      <c r="M366" s="68">
        <v>46203</v>
      </c>
      <c r="N366" s="69">
        <f t="shared" si="13"/>
        <v>-9</v>
      </c>
      <c r="O366" s="69">
        <f t="shared" si="14"/>
        <v>-4</v>
      </c>
      <c r="P366" s="70">
        <v>22</v>
      </c>
      <c r="Q366" s="70">
        <v>17</v>
      </c>
      <c r="R366" s="70">
        <v>13</v>
      </c>
      <c r="S366" s="68" t="str">
        <f t="shared" si="15"/>
        <v/>
      </c>
      <c r="T366" s="68"/>
      <c r="U366" s="68"/>
      <c r="V366" s="68"/>
      <c r="W366" s="9"/>
      <c r="X366" s="10"/>
      <c r="Y366" s="71">
        <f t="shared" si="16"/>
        <v>17</v>
      </c>
      <c r="Z366" s="73">
        <f t="shared" si="17"/>
        <v>13</v>
      </c>
      <c r="AA366" s="73">
        <f t="shared" si="18"/>
        <v>-9</v>
      </c>
      <c r="AB366" s="11" t="str">
        <f t="shared" si="19"/>
        <v/>
      </c>
      <c r="AC366" s="73">
        <f t="shared" si="20"/>
        <v>-4</v>
      </c>
      <c r="AD366" s="11" t="str">
        <f t="shared" si="21"/>
        <v/>
      </c>
      <c r="AE366" s="73">
        <f t="shared" si="22"/>
        <v>-8.9996340000000004</v>
      </c>
      <c r="AF366" s="11" t="str">
        <f t="shared" si="23"/>
        <v/>
      </c>
      <c r="AG366" s="73">
        <f t="shared" si="24"/>
        <v>-3.9996339999999999</v>
      </c>
      <c r="AH366" s="11" t="str">
        <f t="shared" si="25"/>
        <v/>
      </c>
    </row>
    <row r="367" spans="1:34" ht="14.25" customHeight="1">
      <c r="A367" s="11">
        <v>352</v>
      </c>
      <c r="B367" s="66" t="s">
        <v>35</v>
      </c>
      <c r="C367" s="67"/>
      <c r="D367" s="67">
        <v>44642</v>
      </c>
      <c r="E367" s="67"/>
      <c r="F367" s="67"/>
      <c r="G367" s="67"/>
      <c r="H367" s="67"/>
      <c r="I367" s="6" t="s">
        <v>943</v>
      </c>
      <c r="J367" s="9">
        <v>2198701322</v>
      </c>
      <c r="K367" s="68">
        <v>44620</v>
      </c>
      <c r="L367" s="68">
        <v>46022</v>
      </c>
      <c r="M367" s="68">
        <v>46203</v>
      </c>
      <c r="N367" s="69">
        <f t="shared" si="13"/>
        <v>3</v>
      </c>
      <c r="O367" s="69">
        <f t="shared" si="14"/>
        <v>1</v>
      </c>
      <c r="P367" s="70">
        <v>4</v>
      </c>
      <c r="Q367" s="70">
        <v>6</v>
      </c>
      <c r="R367" s="70">
        <v>7</v>
      </c>
      <c r="S367" s="68" t="str">
        <f t="shared" si="15"/>
        <v/>
      </c>
      <c r="T367" s="68"/>
      <c r="U367" s="68"/>
      <c r="V367" s="68"/>
      <c r="W367" s="9"/>
      <c r="X367" s="10"/>
      <c r="Y367" s="71">
        <f t="shared" si="16"/>
        <v>6</v>
      </c>
      <c r="Z367" s="73">
        <f t="shared" si="17"/>
        <v>7</v>
      </c>
      <c r="AA367" s="73">
        <f t="shared" si="18"/>
        <v>3</v>
      </c>
      <c r="AB367" s="11" t="str">
        <f t="shared" si="19"/>
        <v/>
      </c>
      <c r="AC367" s="73">
        <f t="shared" si="20"/>
        <v>1</v>
      </c>
      <c r="AD367" s="11" t="str">
        <f t="shared" si="21"/>
        <v/>
      </c>
      <c r="AE367" s="73">
        <f t="shared" si="22"/>
        <v>3.0003669999999998</v>
      </c>
      <c r="AF367" s="11" t="str">
        <f t="shared" si="23"/>
        <v/>
      </c>
      <c r="AG367" s="73">
        <f t="shared" si="24"/>
        <v>1.000367</v>
      </c>
      <c r="AH367" s="11" t="str">
        <f t="shared" si="25"/>
        <v/>
      </c>
    </row>
    <row r="368" spans="1:34" ht="14.25" customHeight="1">
      <c r="A368" s="11">
        <v>353</v>
      </c>
      <c r="B368" s="66"/>
      <c r="C368" s="67"/>
      <c r="D368" s="67"/>
      <c r="E368" s="67"/>
      <c r="F368" s="67"/>
      <c r="G368" s="67" t="s">
        <v>35</v>
      </c>
      <c r="H368" s="67">
        <v>45429</v>
      </c>
      <c r="I368" s="6" t="s">
        <v>944</v>
      </c>
      <c r="J368" s="9">
        <v>2208718861</v>
      </c>
      <c r="K368" s="68">
        <v>45412</v>
      </c>
      <c r="L368" s="68">
        <v>46022</v>
      </c>
      <c r="M368" s="68">
        <v>46203</v>
      </c>
      <c r="N368" s="69">
        <f t="shared" si="13"/>
        <v>20</v>
      </c>
      <c r="O368" s="69">
        <f t="shared" si="14"/>
        <v>33</v>
      </c>
      <c r="P368" s="70">
        <v>134</v>
      </c>
      <c r="Q368" s="70">
        <v>121</v>
      </c>
      <c r="R368" s="70">
        <v>154</v>
      </c>
      <c r="S368" s="68" t="str">
        <f t="shared" si="15"/>
        <v/>
      </c>
      <c r="T368" s="68"/>
      <c r="U368" s="68"/>
      <c r="V368" s="68"/>
      <c r="W368" s="9"/>
      <c r="X368" s="10"/>
      <c r="Y368" s="71">
        <f t="shared" si="16"/>
        <v>121</v>
      </c>
      <c r="Z368" s="73">
        <f t="shared" si="17"/>
        <v>154</v>
      </c>
      <c r="AA368" s="11" t="str">
        <f t="shared" si="18"/>
        <v/>
      </c>
      <c r="AB368" s="73">
        <f t="shared" si="19"/>
        <v>20</v>
      </c>
      <c r="AC368" s="11" t="str">
        <f t="shared" si="20"/>
        <v/>
      </c>
      <c r="AD368" s="73">
        <f t="shared" si="21"/>
        <v>33</v>
      </c>
      <c r="AE368" s="11" t="str">
        <f t="shared" si="22"/>
        <v/>
      </c>
      <c r="AF368" s="73">
        <f t="shared" si="23"/>
        <v>20.000368000000002</v>
      </c>
      <c r="AG368" s="11" t="str">
        <f t="shared" si="24"/>
        <v/>
      </c>
      <c r="AH368" s="73">
        <f t="shared" si="25"/>
        <v>33.000368000000002</v>
      </c>
    </row>
    <row r="369" spans="1:34" ht="14.25" customHeight="1">
      <c r="A369" s="11">
        <v>354</v>
      </c>
      <c r="B369" s="66"/>
      <c r="C369" s="67"/>
      <c r="D369" s="67"/>
      <c r="E369" s="67"/>
      <c r="F369" s="67"/>
      <c r="G369" s="67" t="s">
        <v>35</v>
      </c>
      <c r="H369" s="67">
        <v>43375</v>
      </c>
      <c r="I369" s="6" t="s">
        <v>945</v>
      </c>
      <c r="J369" s="9">
        <v>2208742885</v>
      </c>
      <c r="K369" s="68">
        <v>43373</v>
      </c>
      <c r="L369" s="68">
        <v>46022</v>
      </c>
      <c r="M369" s="68">
        <v>46203</v>
      </c>
      <c r="N369" s="69">
        <f t="shared" si="13"/>
        <v>-74</v>
      </c>
      <c r="O369" s="69">
        <f t="shared" si="14"/>
        <v>80</v>
      </c>
      <c r="P369" s="70">
        <v>354</v>
      </c>
      <c r="Q369" s="70">
        <v>200</v>
      </c>
      <c r="R369" s="70">
        <v>280</v>
      </c>
      <c r="S369" s="68" t="str">
        <f t="shared" si="15"/>
        <v/>
      </c>
      <c r="T369" s="68"/>
      <c r="U369" s="68"/>
      <c r="V369" s="68"/>
      <c r="W369" s="9"/>
      <c r="X369" s="10"/>
      <c r="Y369" s="71">
        <f t="shared" si="16"/>
        <v>200</v>
      </c>
      <c r="Z369" s="73">
        <f t="shared" si="17"/>
        <v>280</v>
      </c>
      <c r="AA369" s="11" t="str">
        <f t="shared" si="18"/>
        <v/>
      </c>
      <c r="AB369" s="73">
        <f t="shared" si="19"/>
        <v>-74</v>
      </c>
      <c r="AC369" s="11" t="str">
        <f t="shared" si="20"/>
        <v/>
      </c>
      <c r="AD369" s="73">
        <f t="shared" si="21"/>
        <v>80</v>
      </c>
      <c r="AE369" s="11" t="str">
        <f t="shared" si="22"/>
        <v/>
      </c>
      <c r="AF369" s="73">
        <f t="shared" si="23"/>
        <v>-73.999630999999994</v>
      </c>
      <c r="AG369" s="11" t="str">
        <f t="shared" si="24"/>
        <v/>
      </c>
      <c r="AH369" s="73">
        <f t="shared" si="25"/>
        <v>80.000369000000006</v>
      </c>
    </row>
    <row r="370" spans="1:34" ht="14.25" customHeight="1">
      <c r="A370" s="11">
        <v>355</v>
      </c>
      <c r="B370" s="66"/>
      <c r="C370" s="67"/>
      <c r="D370" s="67"/>
      <c r="E370" s="67"/>
      <c r="F370" s="67"/>
      <c r="G370" s="67" t="s">
        <v>24</v>
      </c>
      <c r="H370" s="67">
        <v>42004</v>
      </c>
      <c r="I370" s="6" t="s">
        <v>946</v>
      </c>
      <c r="J370" s="9">
        <v>2208775784</v>
      </c>
      <c r="K370" s="68">
        <v>41973</v>
      </c>
      <c r="L370" s="68" t="s">
        <v>230</v>
      </c>
      <c r="M370" s="68">
        <v>45473</v>
      </c>
      <c r="N370" s="69">
        <f t="shared" si="13"/>
        <v>-45</v>
      </c>
      <c r="O370" s="69" t="str">
        <f t="shared" si="14"/>
        <v>N/A</v>
      </c>
      <c r="P370" s="70">
        <v>45</v>
      </c>
      <c r="Q370" s="70"/>
      <c r="R370" s="70">
        <v>0</v>
      </c>
      <c r="S370" s="68">
        <f t="shared" si="15"/>
        <v>45446</v>
      </c>
      <c r="T370" s="68">
        <v>45446</v>
      </c>
      <c r="U370" s="68"/>
      <c r="V370" s="68"/>
      <c r="W370" s="9"/>
      <c r="X370" s="10"/>
      <c r="Y370" s="65" t="str">
        <f t="shared" si="16"/>
        <v/>
      </c>
      <c r="Z370" s="11" t="str">
        <f t="shared" si="17"/>
        <v/>
      </c>
      <c r="AA370" s="11" t="str">
        <f t="shared" si="18"/>
        <v/>
      </c>
      <c r="AB370" s="73">
        <f t="shared" si="19"/>
        <v>-45</v>
      </c>
      <c r="AC370" s="11" t="str">
        <f t="shared" si="20"/>
        <v/>
      </c>
      <c r="AD370" s="11" t="str">
        <f t="shared" si="21"/>
        <v/>
      </c>
      <c r="AE370" s="11" t="str">
        <f t="shared" si="22"/>
        <v/>
      </c>
      <c r="AF370" s="73">
        <f t="shared" si="23"/>
        <v>-44.999630000000003</v>
      </c>
      <c r="AG370" s="11" t="str">
        <f t="shared" si="24"/>
        <v/>
      </c>
      <c r="AH370" s="11" t="str">
        <f t="shared" si="25"/>
        <v/>
      </c>
    </row>
    <row r="371" spans="1:34" ht="14.25" customHeight="1">
      <c r="A371" s="11">
        <v>356</v>
      </c>
      <c r="B371" s="66" t="s">
        <v>35</v>
      </c>
      <c r="C371" s="67">
        <v>41275</v>
      </c>
      <c r="D371" s="67"/>
      <c r="E371" s="67"/>
      <c r="F371" s="67"/>
      <c r="G371" s="67"/>
      <c r="H371" s="67"/>
      <c r="I371" s="6" t="s">
        <v>947</v>
      </c>
      <c r="J371" s="9">
        <v>2208829856</v>
      </c>
      <c r="K371" s="68">
        <v>41274</v>
      </c>
      <c r="L371" s="68">
        <v>46022</v>
      </c>
      <c r="M371" s="68">
        <v>46203</v>
      </c>
      <c r="N371" s="69">
        <f t="shared" si="13"/>
        <v>3</v>
      </c>
      <c r="O371" s="69">
        <f t="shared" si="14"/>
        <v>-13</v>
      </c>
      <c r="P371" s="70">
        <v>6</v>
      </c>
      <c r="Q371" s="70">
        <v>22</v>
      </c>
      <c r="R371" s="70">
        <v>9</v>
      </c>
      <c r="S371" s="68" t="str">
        <f t="shared" si="15"/>
        <v/>
      </c>
      <c r="T371" s="68"/>
      <c r="U371" s="68"/>
      <c r="V371" s="68"/>
      <c r="W371" s="9"/>
      <c r="X371" s="10"/>
      <c r="Y371" s="71">
        <f t="shared" si="16"/>
        <v>22</v>
      </c>
      <c r="Z371" s="73">
        <f t="shared" si="17"/>
        <v>9</v>
      </c>
      <c r="AA371" s="73">
        <f t="shared" si="18"/>
        <v>3</v>
      </c>
      <c r="AB371" s="11" t="str">
        <f t="shared" si="19"/>
        <v/>
      </c>
      <c r="AC371" s="73">
        <f t="shared" si="20"/>
        <v>-13</v>
      </c>
      <c r="AD371" s="11" t="str">
        <f t="shared" si="21"/>
        <v/>
      </c>
      <c r="AE371" s="73">
        <f t="shared" si="22"/>
        <v>3.0003709999999999</v>
      </c>
      <c r="AF371" s="11" t="str">
        <f t="shared" si="23"/>
        <v/>
      </c>
      <c r="AG371" s="73">
        <f t="shared" si="24"/>
        <v>-12.999629000000001</v>
      </c>
      <c r="AH371" s="11" t="str">
        <f t="shared" si="25"/>
        <v/>
      </c>
    </row>
    <row r="372" spans="1:34" ht="14.25" customHeight="1">
      <c r="A372" s="11">
        <v>357</v>
      </c>
      <c r="B372" s="66"/>
      <c r="C372" s="67"/>
      <c r="D372" s="67"/>
      <c r="E372" s="67"/>
      <c r="F372" s="67"/>
      <c r="G372" s="67" t="s">
        <v>24</v>
      </c>
      <c r="H372" s="67">
        <v>41935</v>
      </c>
      <c r="I372" s="6" t="s">
        <v>948</v>
      </c>
      <c r="J372" s="9">
        <v>2208835095</v>
      </c>
      <c r="K372" s="68">
        <v>41912</v>
      </c>
      <c r="L372" s="68" t="s">
        <v>230</v>
      </c>
      <c r="M372" s="68">
        <v>43496</v>
      </c>
      <c r="N372" s="69">
        <f t="shared" si="13"/>
        <v>-5</v>
      </c>
      <c r="O372" s="69" t="str">
        <f t="shared" si="14"/>
        <v>N/A</v>
      </c>
      <c r="P372" s="70">
        <v>5</v>
      </c>
      <c r="Q372" s="70"/>
      <c r="R372" s="70">
        <v>0</v>
      </c>
      <c r="S372" s="68">
        <f t="shared" si="15"/>
        <v>43496</v>
      </c>
      <c r="T372" s="68">
        <v>43496</v>
      </c>
      <c r="U372" s="68"/>
      <c r="V372" s="68"/>
      <c r="W372" s="9"/>
      <c r="X372" s="10"/>
      <c r="Y372" s="65" t="str">
        <f t="shared" si="16"/>
        <v/>
      </c>
      <c r="Z372" s="11" t="str">
        <f t="shared" si="17"/>
        <v/>
      </c>
      <c r="AA372" s="11" t="str">
        <f t="shared" si="18"/>
        <v/>
      </c>
      <c r="AB372" s="73">
        <f t="shared" si="19"/>
        <v>-5</v>
      </c>
      <c r="AC372" s="11" t="str">
        <f t="shared" si="20"/>
        <v/>
      </c>
      <c r="AD372" s="11" t="str">
        <f t="shared" si="21"/>
        <v/>
      </c>
      <c r="AE372" s="11" t="str">
        <f t="shared" si="22"/>
        <v/>
      </c>
      <c r="AF372" s="73">
        <f t="shared" si="23"/>
        <v>-4.9996280000000004</v>
      </c>
      <c r="AG372" s="11" t="str">
        <f t="shared" si="24"/>
        <v/>
      </c>
      <c r="AH372" s="11" t="str">
        <f t="shared" si="25"/>
        <v/>
      </c>
    </row>
    <row r="373" spans="1:34" ht="14.25" customHeight="1">
      <c r="A373" s="11">
        <v>358</v>
      </c>
      <c r="B373" s="66" t="s">
        <v>35</v>
      </c>
      <c r="C373" s="67">
        <v>41548</v>
      </c>
      <c r="D373" s="67"/>
      <c r="E373" s="67"/>
      <c r="F373" s="67"/>
      <c r="G373" s="67"/>
      <c r="H373" s="67"/>
      <c r="I373" s="6" t="s">
        <v>949</v>
      </c>
      <c r="J373" s="9">
        <v>2208845405</v>
      </c>
      <c r="K373" s="68">
        <v>41547</v>
      </c>
      <c r="L373" s="68">
        <v>46022</v>
      </c>
      <c r="M373" s="68">
        <v>46203</v>
      </c>
      <c r="N373" s="69">
        <f t="shared" si="13"/>
        <v>0</v>
      </c>
      <c r="O373" s="69">
        <f t="shared" si="14"/>
        <v>0</v>
      </c>
      <c r="P373" s="70">
        <v>0</v>
      </c>
      <c r="Q373" s="70">
        <v>0</v>
      </c>
      <c r="R373" s="70">
        <v>0</v>
      </c>
      <c r="S373" s="68" t="str">
        <f t="shared" si="15"/>
        <v/>
      </c>
      <c r="T373" s="68"/>
      <c r="U373" s="68"/>
      <c r="V373" s="68"/>
      <c r="W373" s="9"/>
      <c r="X373" s="10" t="s">
        <v>950</v>
      </c>
      <c r="Y373" s="71">
        <f t="shared" si="16"/>
        <v>0</v>
      </c>
      <c r="Z373" s="73">
        <f t="shared" si="17"/>
        <v>0</v>
      </c>
      <c r="AA373" s="73">
        <f t="shared" si="18"/>
        <v>0</v>
      </c>
      <c r="AB373" s="11" t="str">
        <f t="shared" si="19"/>
        <v/>
      </c>
      <c r="AC373" s="73">
        <f t="shared" si="20"/>
        <v>0</v>
      </c>
      <c r="AD373" s="11" t="str">
        <f t="shared" si="21"/>
        <v/>
      </c>
      <c r="AE373" s="73">
        <f t="shared" si="22"/>
        <v>3.7300000000000001E-4</v>
      </c>
      <c r="AF373" s="11" t="str">
        <f t="shared" si="23"/>
        <v/>
      </c>
      <c r="AG373" s="73">
        <f t="shared" si="24"/>
        <v>3.7300000000000001E-4</v>
      </c>
      <c r="AH373" s="11" t="str">
        <f t="shared" si="25"/>
        <v/>
      </c>
    </row>
    <row r="374" spans="1:34" ht="14.25" customHeight="1">
      <c r="A374" s="11">
        <v>359</v>
      </c>
      <c r="B374" s="66"/>
      <c r="C374" s="67"/>
      <c r="D374" s="67"/>
      <c r="E374" s="67"/>
      <c r="F374" s="67"/>
      <c r="G374" s="67" t="s">
        <v>35</v>
      </c>
      <c r="H374" s="67">
        <v>42601</v>
      </c>
      <c r="I374" s="6" t="s">
        <v>951</v>
      </c>
      <c r="J374" s="9">
        <v>2208848571</v>
      </c>
      <c r="K374" s="68">
        <v>42582</v>
      </c>
      <c r="L374" s="68">
        <v>46022</v>
      </c>
      <c r="M374" s="68">
        <v>46203</v>
      </c>
      <c r="N374" s="69">
        <f t="shared" si="13"/>
        <v>3</v>
      </c>
      <c r="O374" s="69">
        <f t="shared" si="14"/>
        <v>-1</v>
      </c>
      <c r="P374" s="70">
        <v>4</v>
      </c>
      <c r="Q374" s="70">
        <v>8</v>
      </c>
      <c r="R374" s="70">
        <v>7</v>
      </c>
      <c r="S374" s="68" t="str">
        <f t="shared" si="15"/>
        <v/>
      </c>
      <c r="T374" s="68"/>
      <c r="U374" s="68"/>
      <c r="V374" s="68"/>
      <c r="W374" s="9"/>
      <c r="X374" s="10"/>
      <c r="Y374" s="71">
        <f t="shared" si="16"/>
        <v>8</v>
      </c>
      <c r="Z374" s="73">
        <f t="shared" si="17"/>
        <v>7</v>
      </c>
      <c r="AA374" s="11" t="str">
        <f t="shared" si="18"/>
        <v/>
      </c>
      <c r="AB374" s="73">
        <f t="shared" si="19"/>
        <v>3</v>
      </c>
      <c r="AC374" s="11" t="str">
        <f t="shared" si="20"/>
        <v/>
      </c>
      <c r="AD374" s="73">
        <f t="shared" si="21"/>
        <v>-1</v>
      </c>
      <c r="AE374" s="11" t="str">
        <f t="shared" si="22"/>
        <v/>
      </c>
      <c r="AF374" s="73">
        <f t="shared" si="23"/>
        <v>3.0003739999999999</v>
      </c>
      <c r="AG374" s="11" t="str">
        <f t="shared" si="24"/>
        <v/>
      </c>
      <c r="AH374" s="73">
        <f t="shared" si="25"/>
        <v>-0.99962600000000001</v>
      </c>
    </row>
    <row r="375" spans="1:34" ht="14.25" customHeight="1">
      <c r="A375" s="11">
        <v>360</v>
      </c>
      <c r="B375" s="66"/>
      <c r="C375" s="67"/>
      <c r="D375" s="67"/>
      <c r="E375" s="67"/>
      <c r="F375" s="67"/>
      <c r="G375" s="67" t="s">
        <v>35</v>
      </c>
      <c r="H375" s="67">
        <v>42814</v>
      </c>
      <c r="I375" s="6" t="s">
        <v>952</v>
      </c>
      <c r="J375" s="9">
        <v>2208854210</v>
      </c>
      <c r="K375" s="68">
        <v>42794</v>
      </c>
      <c r="L375" s="68">
        <v>46022</v>
      </c>
      <c r="M375" s="68">
        <v>46203</v>
      </c>
      <c r="N375" s="69">
        <f t="shared" si="13"/>
        <v>4</v>
      </c>
      <c r="O375" s="69">
        <f t="shared" si="14"/>
        <v>-2</v>
      </c>
      <c r="P375" s="70">
        <v>3</v>
      </c>
      <c r="Q375" s="70">
        <v>9</v>
      </c>
      <c r="R375" s="70">
        <v>7</v>
      </c>
      <c r="S375" s="68" t="str">
        <f t="shared" si="15"/>
        <v/>
      </c>
      <c r="T375" s="68"/>
      <c r="U375" s="68"/>
      <c r="V375" s="68"/>
      <c r="W375" s="9"/>
      <c r="X375" s="10"/>
      <c r="Y375" s="71">
        <f t="shared" si="16"/>
        <v>9</v>
      </c>
      <c r="Z375" s="73">
        <f t="shared" si="17"/>
        <v>7</v>
      </c>
      <c r="AA375" s="11" t="str">
        <f t="shared" si="18"/>
        <v/>
      </c>
      <c r="AB375" s="73">
        <f t="shared" si="19"/>
        <v>4</v>
      </c>
      <c r="AC375" s="11" t="str">
        <f t="shared" si="20"/>
        <v/>
      </c>
      <c r="AD375" s="73">
        <f t="shared" si="21"/>
        <v>-2</v>
      </c>
      <c r="AE375" s="11" t="str">
        <f t="shared" si="22"/>
        <v/>
      </c>
      <c r="AF375" s="73">
        <f t="shared" si="23"/>
        <v>4.000375</v>
      </c>
      <c r="AG375" s="11" t="str">
        <f t="shared" si="24"/>
        <v/>
      </c>
      <c r="AH375" s="73">
        <f t="shared" si="25"/>
        <v>-1.999625</v>
      </c>
    </row>
    <row r="376" spans="1:34" ht="14.25" customHeight="1">
      <c r="A376" s="11">
        <v>361</v>
      </c>
      <c r="B376" s="66"/>
      <c r="C376" s="67"/>
      <c r="D376" s="67"/>
      <c r="E376" s="67"/>
      <c r="F376" s="67"/>
      <c r="G376" s="67" t="s">
        <v>35</v>
      </c>
      <c r="H376" s="67">
        <v>42548</v>
      </c>
      <c r="I376" s="6" t="s">
        <v>953</v>
      </c>
      <c r="J376" s="9">
        <v>2208861254</v>
      </c>
      <c r="K376" s="68">
        <v>42521</v>
      </c>
      <c r="L376" s="68">
        <v>46022</v>
      </c>
      <c r="M376" s="68">
        <v>46203</v>
      </c>
      <c r="N376" s="69">
        <f t="shared" si="13"/>
        <v>-26</v>
      </c>
      <c r="O376" s="69">
        <f t="shared" si="14"/>
        <v>0</v>
      </c>
      <c r="P376" s="70">
        <v>27</v>
      </c>
      <c r="Q376" s="70">
        <v>1</v>
      </c>
      <c r="R376" s="70">
        <v>1</v>
      </c>
      <c r="S376" s="68" t="str">
        <f t="shared" si="15"/>
        <v/>
      </c>
      <c r="T376" s="68"/>
      <c r="U376" s="68"/>
      <c r="V376" s="68"/>
      <c r="W376" s="9"/>
      <c r="X376" s="10"/>
      <c r="Y376" s="71">
        <f t="shared" si="16"/>
        <v>1</v>
      </c>
      <c r="Z376" s="73">
        <f t="shared" si="17"/>
        <v>1</v>
      </c>
      <c r="AA376" s="11" t="str">
        <f t="shared" si="18"/>
        <v/>
      </c>
      <c r="AB376" s="73">
        <f t="shared" si="19"/>
        <v>-26</v>
      </c>
      <c r="AC376" s="11" t="str">
        <f t="shared" si="20"/>
        <v/>
      </c>
      <c r="AD376" s="73">
        <f t="shared" si="21"/>
        <v>0</v>
      </c>
      <c r="AE376" s="11" t="str">
        <f t="shared" si="22"/>
        <v/>
      </c>
      <c r="AF376" s="73">
        <f t="shared" si="23"/>
        <v>-25.999624000000001</v>
      </c>
      <c r="AG376" s="11" t="str">
        <f t="shared" si="24"/>
        <v/>
      </c>
      <c r="AH376" s="73">
        <f t="shared" si="25"/>
        <v>3.7599999999999998E-4</v>
      </c>
    </row>
    <row r="377" spans="1:34" ht="14.25" customHeight="1">
      <c r="A377" s="11">
        <v>362</v>
      </c>
      <c r="B377" s="66"/>
      <c r="C377" s="67"/>
      <c r="D377" s="67"/>
      <c r="E377" s="67"/>
      <c r="F377" s="67"/>
      <c r="G377" s="67" t="s">
        <v>35</v>
      </c>
      <c r="H377" s="67">
        <v>42772</v>
      </c>
      <c r="I377" s="6" t="s">
        <v>954</v>
      </c>
      <c r="J377" s="9">
        <v>2208861399</v>
      </c>
      <c r="K377" s="68">
        <v>42766</v>
      </c>
      <c r="L377" s="68">
        <v>46022</v>
      </c>
      <c r="M377" s="68">
        <v>46203</v>
      </c>
      <c r="N377" s="69">
        <f t="shared" si="13"/>
        <v>91</v>
      </c>
      <c r="O377" s="69">
        <f t="shared" si="14"/>
        <v>5</v>
      </c>
      <c r="P377" s="70">
        <v>20</v>
      </c>
      <c r="Q377" s="70">
        <v>106</v>
      </c>
      <c r="R377" s="70">
        <v>111</v>
      </c>
      <c r="S377" s="68" t="str">
        <f t="shared" si="15"/>
        <v/>
      </c>
      <c r="T377" s="68"/>
      <c r="U377" s="68"/>
      <c r="V377" s="68"/>
      <c r="W377" s="9"/>
      <c r="X377" s="10"/>
      <c r="Y377" s="71">
        <f t="shared" si="16"/>
        <v>106</v>
      </c>
      <c r="Z377" s="73">
        <f t="shared" si="17"/>
        <v>111</v>
      </c>
      <c r="AA377" s="11" t="str">
        <f t="shared" si="18"/>
        <v/>
      </c>
      <c r="AB377" s="73">
        <f t="shared" si="19"/>
        <v>91</v>
      </c>
      <c r="AC377" s="11" t="str">
        <f t="shared" si="20"/>
        <v/>
      </c>
      <c r="AD377" s="73">
        <f t="shared" si="21"/>
        <v>5</v>
      </c>
      <c r="AE377" s="11" t="str">
        <f t="shared" si="22"/>
        <v/>
      </c>
      <c r="AF377" s="73">
        <f t="shared" si="23"/>
        <v>91.000377</v>
      </c>
      <c r="AG377" s="11" t="str">
        <f t="shared" si="24"/>
        <v/>
      </c>
      <c r="AH377" s="73">
        <f t="shared" si="25"/>
        <v>5.0003770000000003</v>
      </c>
    </row>
    <row r="378" spans="1:34" ht="14.25" customHeight="1">
      <c r="A378" s="11">
        <v>363</v>
      </c>
      <c r="B378" s="66" t="s">
        <v>955</v>
      </c>
      <c r="C378" s="67">
        <v>45352</v>
      </c>
      <c r="D378" s="67">
        <v>43328</v>
      </c>
      <c r="E378" s="67"/>
      <c r="F378" s="67"/>
      <c r="G378" s="67" t="s">
        <v>35</v>
      </c>
      <c r="H378" s="67">
        <v>42524</v>
      </c>
      <c r="I378" s="6" t="s">
        <v>956</v>
      </c>
      <c r="J378" s="9">
        <v>2208865167</v>
      </c>
      <c r="K378" s="68">
        <v>42521</v>
      </c>
      <c r="L378" s="68">
        <v>46022</v>
      </c>
      <c r="M378" s="68">
        <v>46203</v>
      </c>
      <c r="N378" s="69">
        <f t="shared" si="13"/>
        <v>0</v>
      </c>
      <c r="O378" s="69">
        <f t="shared" si="14"/>
        <v>1</v>
      </c>
      <c r="P378" s="70">
        <v>5</v>
      </c>
      <c r="Q378" s="70">
        <v>4</v>
      </c>
      <c r="R378" s="70">
        <v>5</v>
      </c>
      <c r="S378" s="68" t="str">
        <f t="shared" si="15"/>
        <v/>
      </c>
      <c r="T378" s="68"/>
      <c r="U378" s="68">
        <v>44926</v>
      </c>
      <c r="V378" s="68"/>
      <c r="W378" s="9"/>
      <c r="X378" s="10"/>
      <c r="Y378" s="71">
        <f t="shared" si="16"/>
        <v>4</v>
      </c>
      <c r="Z378" s="73">
        <f t="shared" si="17"/>
        <v>5</v>
      </c>
      <c r="AA378" s="73">
        <f t="shared" si="18"/>
        <v>0</v>
      </c>
      <c r="AB378" s="73">
        <f t="shared" si="19"/>
        <v>0</v>
      </c>
      <c r="AC378" s="73">
        <f t="shared" si="20"/>
        <v>1</v>
      </c>
      <c r="AD378" s="73">
        <f t="shared" si="21"/>
        <v>1</v>
      </c>
      <c r="AE378" s="73">
        <f t="shared" si="22"/>
        <v>3.7800000000000003E-4</v>
      </c>
      <c r="AF378" s="73">
        <f t="shared" si="23"/>
        <v>3.7800000000000003E-4</v>
      </c>
      <c r="AG378" s="73">
        <f t="shared" si="24"/>
        <v>1.000378</v>
      </c>
      <c r="AH378" s="73">
        <f t="shared" si="25"/>
        <v>1.000378</v>
      </c>
    </row>
    <row r="379" spans="1:34" ht="14.25" customHeight="1">
      <c r="A379" s="11">
        <v>364</v>
      </c>
      <c r="B379" s="66"/>
      <c r="C379" s="67"/>
      <c r="D379" s="67"/>
      <c r="E379" s="67"/>
      <c r="F379" s="67"/>
      <c r="G379" s="67" t="s">
        <v>24</v>
      </c>
      <c r="H379" s="67">
        <v>41634</v>
      </c>
      <c r="I379" s="6" t="s">
        <v>957</v>
      </c>
      <c r="J379" s="9">
        <v>2208865565</v>
      </c>
      <c r="K379" s="68">
        <v>41608</v>
      </c>
      <c r="L379" s="68" t="s">
        <v>230</v>
      </c>
      <c r="M379" s="68">
        <v>42185</v>
      </c>
      <c r="N379" s="69">
        <f t="shared" si="13"/>
        <v>-6</v>
      </c>
      <c r="O379" s="69" t="str">
        <f t="shared" si="14"/>
        <v>N/A</v>
      </c>
      <c r="P379" s="70">
        <v>6</v>
      </c>
      <c r="Q379" s="70"/>
      <c r="R379" s="70">
        <v>0</v>
      </c>
      <c r="S379" s="68">
        <f t="shared" si="15"/>
        <v>42185</v>
      </c>
      <c r="T379" s="68">
        <v>42185</v>
      </c>
      <c r="U379" s="68"/>
      <c r="V379" s="68"/>
      <c r="W379" s="9"/>
      <c r="X379" s="10"/>
      <c r="Y379" s="65" t="str">
        <f t="shared" si="16"/>
        <v/>
      </c>
      <c r="Z379" s="11" t="str">
        <f t="shared" si="17"/>
        <v/>
      </c>
      <c r="AA379" s="11" t="str">
        <f t="shared" si="18"/>
        <v/>
      </c>
      <c r="AB379" s="73">
        <f t="shared" si="19"/>
        <v>-6</v>
      </c>
      <c r="AC379" s="11" t="str">
        <f t="shared" si="20"/>
        <v/>
      </c>
      <c r="AD379" s="11" t="str">
        <f t="shared" si="21"/>
        <v/>
      </c>
      <c r="AE379" s="11" t="str">
        <f t="shared" si="22"/>
        <v/>
      </c>
      <c r="AF379" s="73">
        <f t="shared" si="23"/>
        <v>-5.9996210000000003</v>
      </c>
      <c r="AG379" s="11" t="str">
        <f t="shared" si="24"/>
        <v/>
      </c>
      <c r="AH379" s="11" t="str">
        <f t="shared" si="25"/>
        <v/>
      </c>
    </row>
    <row r="380" spans="1:34" ht="14.25" customHeight="1">
      <c r="A380" s="11">
        <v>365</v>
      </c>
      <c r="B380" s="66"/>
      <c r="C380" s="67"/>
      <c r="D380" s="67"/>
      <c r="E380" s="67"/>
      <c r="F380" s="67"/>
      <c r="G380" s="67" t="s">
        <v>35</v>
      </c>
      <c r="H380" s="67">
        <v>44512</v>
      </c>
      <c r="I380" s="6" t="s">
        <v>958</v>
      </c>
      <c r="J380" s="9">
        <v>2208872464</v>
      </c>
      <c r="K380" s="68">
        <v>44500</v>
      </c>
      <c r="L380" s="68">
        <v>46022</v>
      </c>
      <c r="M380" s="68">
        <v>46203</v>
      </c>
      <c r="N380" s="69">
        <f t="shared" si="13"/>
        <v>-2</v>
      </c>
      <c r="O380" s="69">
        <f t="shared" si="14"/>
        <v>1</v>
      </c>
      <c r="P380" s="70">
        <v>9</v>
      </c>
      <c r="Q380" s="70">
        <v>6</v>
      </c>
      <c r="R380" s="70">
        <v>7</v>
      </c>
      <c r="S380" s="68" t="str">
        <f t="shared" si="15"/>
        <v/>
      </c>
      <c r="T380" s="68"/>
      <c r="U380" s="68"/>
      <c r="V380" s="68"/>
      <c r="W380" s="9"/>
      <c r="X380" s="10"/>
      <c r="Y380" s="71">
        <f t="shared" si="16"/>
        <v>6</v>
      </c>
      <c r="Z380" s="73">
        <f t="shared" si="17"/>
        <v>7</v>
      </c>
      <c r="AA380" s="11" t="str">
        <f t="shared" si="18"/>
        <v/>
      </c>
      <c r="AB380" s="73">
        <f t="shared" si="19"/>
        <v>-2</v>
      </c>
      <c r="AC380" s="11" t="str">
        <f t="shared" si="20"/>
        <v/>
      </c>
      <c r="AD380" s="73">
        <f t="shared" si="21"/>
        <v>1</v>
      </c>
      <c r="AE380" s="11" t="str">
        <f t="shared" si="22"/>
        <v/>
      </c>
      <c r="AF380" s="73">
        <f t="shared" si="23"/>
        <v>-1.99962</v>
      </c>
      <c r="AG380" s="11" t="str">
        <f t="shared" si="24"/>
        <v/>
      </c>
      <c r="AH380" s="73">
        <f t="shared" si="25"/>
        <v>1.00038</v>
      </c>
    </row>
    <row r="381" spans="1:34" ht="14.25" customHeight="1">
      <c r="A381" s="11">
        <v>366</v>
      </c>
      <c r="B381" s="66"/>
      <c r="C381" s="67"/>
      <c r="D381" s="67"/>
      <c r="E381" s="67"/>
      <c r="F381" s="67"/>
      <c r="G381" s="67" t="s">
        <v>35</v>
      </c>
      <c r="H381" s="67">
        <v>41992</v>
      </c>
      <c r="I381" s="6" t="s">
        <v>959</v>
      </c>
      <c r="J381" s="9">
        <v>2208875836</v>
      </c>
      <c r="K381" s="68">
        <v>41973</v>
      </c>
      <c r="L381" s="68">
        <v>46022</v>
      </c>
      <c r="M381" s="68">
        <v>46203</v>
      </c>
      <c r="N381" s="69">
        <f t="shared" si="13"/>
        <v>279</v>
      </c>
      <c r="O381" s="69">
        <f t="shared" si="14"/>
        <v>1</v>
      </c>
      <c r="P381" s="70">
        <v>6</v>
      </c>
      <c r="Q381" s="70">
        <v>284</v>
      </c>
      <c r="R381" s="70">
        <v>285</v>
      </c>
      <c r="S381" s="68" t="str">
        <f t="shared" si="15"/>
        <v/>
      </c>
      <c r="T381" s="68"/>
      <c r="U381" s="68"/>
      <c r="V381" s="68"/>
      <c r="W381" s="9"/>
      <c r="X381" s="10"/>
      <c r="Y381" s="71">
        <f t="shared" si="16"/>
        <v>284</v>
      </c>
      <c r="Z381" s="73">
        <f t="shared" si="17"/>
        <v>285</v>
      </c>
      <c r="AA381" s="11" t="str">
        <f t="shared" si="18"/>
        <v/>
      </c>
      <c r="AB381" s="73">
        <f t="shared" si="19"/>
        <v>279</v>
      </c>
      <c r="AC381" s="11" t="str">
        <f t="shared" si="20"/>
        <v/>
      </c>
      <c r="AD381" s="73">
        <f t="shared" si="21"/>
        <v>1</v>
      </c>
      <c r="AE381" s="11" t="str">
        <f t="shared" si="22"/>
        <v/>
      </c>
      <c r="AF381" s="73">
        <f t="shared" si="23"/>
        <v>279.000381</v>
      </c>
      <c r="AG381" s="11" t="str">
        <f t="shared" si="24"/>
        <v/>
      </c>
      <c r="AH381" s="73">
        <f t="shared" si="25"/>
        <v>1.000381</v>
      </c>
    </row>
    <row r="382" spans="1:34" ht="14.25" customHeight="1">
      <c r="A382" s="11">
        <v>367</v>
      </c>
      <c r="B382" s="66" t="s">
        <v>24</v>
      </c>
      <c r="C382" s="67">
        <v>42416</v>
      </c>
      <c r="D382" s="67"/>
      <c r="E382" s="67"/>
      <c r="F382" s="67"/>
      <c r="G382" s="67"/>
      <c r="H382" s="67"/>
      <c r="I382" s="6" t="s">
        <v>960</v>
      </c>
      <c r="J382" s="66">
        <v>2208878885</v>
      </c>
      <c r="K382" s="68">
        <v>42400</v>
      </c>
      <c r="L382" s="68" t="s">
        <v>230</v>
      </c>
      <c r="M382" s="68">
        <v>43312</v>
      </c>
      <c r="N382" s="69">
        <f t="shared" si="13"/>
        <v>-4</v>
      </c>
      <c r="O382" s="69" t="str">
        <f t="shared" si="14"/>
        <v>N/A</v>
      </c>
      <c r="P382" s="70">
        <v>4</v>
      </c>
      <c r="Q382" s="70"/>
      <c r="R382" s="70">
        <v>0</v>
      </c>
      <c r="S382" s="68">
        <f t="shared" si="15"/>
        <v>43298</v>
      </c>
      <c r="T382" s="68">
        <v>43298</v>
      </c>
      <c r="U382" s="68"/>
      <c r="V382" s="68"/>
      <c r="W382" s="9"/>
      <c r="X382" s="10"/>
      <c r="Y382" s="65" t="str">
        <f t="shared" si="16"/>
        <v/>
      </c>
      <c r="Z382" s="11" t="str">
        <f t="shared" si="17"/>
        <v/>
      </c>
      <c r="AA382" s="73">
        <f t="shared" si="18"/>
        <v>-4</v>
      </c>
      <c r="AB382" s="11" t="str">
        <f t="shared" si="19"/>
        <v/>
      </c>
      <c r="AC382" s="11" t="str">
        <f t="shared" si="20"/>
        <v/>
      </c>
      <c r="AD382" s="11" t="str">
        <f t="shared" si="21"/>
        <v/>
      </c>
      <c r="AE382" s="73">
        <f t="shared" si="22"/>
        <v>-3.9996179999999999</v>
      </c>
      <c r="AF382" s="11" t="str">
        <f t="shared" si="23"/>
        <v/>
      </c>
      <c r="AG382" s="11" t="str">
        <f t="shared" si="24"/>
        <v/>
      </c>
      <c r="AH382" s="11" t="str">
        <f t="shared" si="25"/>
        <v/>
      </c>
    </row>
    <row r="383" spans="1:34" ht="14.25" customHeight="1">
      <c r="A383" s="11">
        <v>368</v>
      </c>
      <c r="B383" s="66"/>
      <c r="C383" s="67"/>
      <c r="D383" s="67"/>
      <c r="E383" s="67"/>
      <c r="F383" s="67"/>
      <c r="G383" s="67" t="s">
        <v>35</v>
      </c>
      <c r="H383" s="67">
        <v>45076</v>
      </c>
      <c r="I383" s="6" t="s">
        <v>961</v>
      </c>
      <c r="J383" s="9">
        <v>2208879899</v>
      </c>
      <c r="K383" s="68">
        <v>45046</v>
      </c>
      <c r="L383" s="68">
        <v>46022</v>
      </c>
      <c r="M383" s="68">
        <v>46203</v>
      </c>
      <c r="N383" s="69">
        <f t="shared" si="13"/>
        <v>8</v>
      </c>
      <c r="O383" s="69">
        <f t="shared" si="14"/>
        <v>2</v>
      </c>
      <c r="P383" s="70">
        <v>18</v>
      </c>
      <c r="Q383" s="70">
        <v>24</v>
      </c>
      <c r="R383" s="70">
        <v>26</v>
      </c>
      <c r="S383" s="68" t="str">
        <f t="shared" si="15"/>
        <v/>
      </c>
      <c r="T383" s="68"/>
      <c r="U383" s="68"/>
      <c r="V383" s="68"/>
      <c r="W383" s="9"/>
      <c r="X383" s="10"/>
      <c r="Y383" s="71">
        <f t="shared" si="16"/>
        <v>24</v>
      </c>
      <c r="Z383" s="73">
        <f t="shared" si="17"/>
        <v>26</v>
      </c>
      <c r="AA383" s="11" t="str">
        <f t="shared" si="18"/>
        <v/>
      </c>
      <c r="AB383" s="73">
        <f t="shared" si="19"/>
        <v>8</v>
      </c>
      <c r="AC383" s="11" t="str">
        <f t="shared" si="20"/>
        <v/>
      </c>
      <c r="AD383" s="73">
        <f t="shared" si="21"/>
        <v>2</v>
      </c>
      <c r="AE383" s="11" t="str">
        <f t="shared" si="22"/>
        <v/>
      </c>
      <c r="AF383" s="73">
        <f t="shared" si="23"/>
        <v>8.0003829999999994</v>
      </c>
      <c r="AG383" s="11" t="str">
        <f t="shared" si="24"/>
        <v/>
      </c>
      <c r="AH383" s="73">
        <f t="shared" si="25"/>
        <v>2.0003829999999998</v>
      </c>
    </row>
    <row r="384" spans="1:34" ht="14.25" customHeight="1">
      <c r="A384" s="11">
        <v>369</v>
      </c>
      <c r="B384" s="66"/>
      <c r="C384" s="67"/>
      <c r="D384" s="67"/>
      <c r="E384" s="67"/>
      <c r="F384" s="67"/>
      <c r="G384" s="67" t="s">
        <v>35</v>
      </c>
      <c r="H384" s="67">
        <v>45069</v>
      </c>
      <c r="I384" s="6" t="s">
        <v>962</v>
      </c>
      <c r="J384" s="9">
        <v>2208883511</v>
      </c>
      <c r="K384" s="68">
        <v>45046</v>
      </c>
      <c r="L384" s="68">
        <v>46022</v>
      </c>
      <c r="M384" s="68">
        <v>46203</v>
      </c>
      <c r="N384" s="69">
        <f t="shared" si="13"/>
        <v>15</v>
      </c>
      <c r="O384" s="69">
        <f t="shared" si="14"/>
        <v>5</v>
      </c>
      <c r="P384" s="70">
        <v>48</v>
      </c>
      <c r="Q384" s="70">
        <v>58</v>
      </c>
      <c r="R384" s="70">
        <v>63</v>
      </c>
      <c r="S384" s="68" t="str">
        <f t="shared" si="15"/>
        <v/>
      </c>
      <c r="T384" s="68"/>
      <c r="U384" s="68"/>
      <c r="V384" s="68"/>
      <c r="W384" s="9"/>
      <c r="X384" s="10"/>
      <c r="Y384" s="71">
        <f t="shared" si="16"/>
        <v>58</v>
      </c>
      <c r="Z384" s="73">
        <f t="shared" si="17"/>
        <v>63</v>
      </c>
      <c r="AA384" s="11" t="str">
        <f t="shared" si="18"/>
        <v/>
      </c>
      <c r="AB384" s="73">
        <f t="shared" si="19"/>
        <v>15</v>
      </c>
      <c r="AC384" s="11" t="str">
        <f t="shared" si="20"/>
        <v/>
      </c>
      <c r="AD384" s="73">
        <f t="shared" si="21"/>
        <v>5</v>
      </c>
      <c r="AE384" s="11" t="str">
        <f t="shared" si="22"/>
        <v/>
      </c>
      <c r="AF384" s="73">
        <f t="shared" si="23"/>
        <v>15.000384</v>
      </c>
      <c r="AG384" s="11" t="str">
        <f t="shared" si="24"/>
        <v/>
      </c>
      <c r="AH384" s="73">
        <f t="shared" si="25"/>
        <v>5.0003840000000004</v>
      </c>
    </row>
    <row r="385" spans="1:34" ht="14.25" customHeight="1">
      <c r="A385" s="11">
        <v>370</v>
      </c>
      <c r="B385" s="66"/>
      <c r="C385" s="67"/>
      <c r="D385" s="67"/>
      <c r="E385" s="67"/>
      <c r="F385" s="67"/>
      <c r="G385" s="67" t="s">
        <v>35</v>
      </c>
      <c r="H385" s="67">
        <v>42079</v>
      </c>
      <c r="I385" s="6" t="s">
        <v>963</v>
      </c>
      <c r="J385" s="9">
        <v>2208883715</v>
      </c>
      <c r="K385" s="68">
        <v>42063</v>
      </c>
      <c r="L385" s="68">
        <v>46022</v>
      </c>
      <c r="M385" s="68">
        <v>46203</v>
      </c>
      <c r="N385" s="69">
        <f t="shared" si="13"/>
        <v>47</v>
      </c>
      <c r="O385" s="69">
        <f t="shared" si="14"/>
        <v>2</v>
      </c>
      <c r="P385" s="70">
        <v>2</v>
      </c>
      <c r="Q385" s="70">
        <v>47</v>
      </c>
      <c r="R385" s="70">
        <v>49</v>
      </c>
      <c r="S385" s="68" t="str">
        <f t="shared" si="15"/>
        <v/>
      </c>
      <c r="T385" s="68"/>
      <c r="U385" s="68"/>
      <c r="V385" s="68"/>
      <c r="W385" s="9"/>
      <c r="X385" s="10"/>
      <c r="Y385" s="71">
        <f t="shared" si="16"/>
        <v>47</v>
      </c>
      <c r="Z385" s="73">
        <f t="shared" si="17"/>
        <v>49</v>
      </c>
      <c r="AA385" s="11" t="str">
        <f t="shared" si="18"/>
        <v/>
      </c>
      <c r="AB385" s="73">
        <f t="shared" si="19"/>
        <v>47</v>
      </c>
      <c r="AC385" s="11" t="str">
        <f t="shared" si="20"/>
        <v/>
      </c>
      <c r="AD385" s="73">
        <f t="shared" si="21"/>
        <v>2</v>
      </c>
      <c r="AE385" s="11" t="str">
        <f t="shared" si="22"/>
        <v/>
      </c>
      <c r="AF385" s="73">
        <f t="shared" si="23"/>
        <v>47.000385000000001</v>
      </c>
      <c r="AG385" s="11" t="str">
        <f t="shared" si="24"/>
        <v/>
      </c>
      <c r="AH385" s="73">
        <f t="shared" si="25"/>
        <v>2.0003850000000001</v>
      </c>
    </row>
    <row r="386" spans="1:34" ht="14.25" customHeight="1">
      <c r="A386" s="11">
        <v>371</v>
      </c>
      <c r="B386" s="66"/>
      <c r="C386" s="67"/>
      <c r="D386" s="67"/>
      <c r="E386" s="67"/>
      <c r="F386" s="67"/>
      <c r="G386" s="67" t="s">
        <v>24</v>
      </c>
      <c r="H386" s="67">
        <v>41856</v>
      </c>
      <c r="I386" s="6" t="s">
        <v>964</v>
      </c>
      <c r="J386" s="9">
        <v>2208884242</v>
      </c>
      <c r="K386" s="68">
        <v>41851</v>
      </c>
      <c r="L386" s="68" t="s">
        <v>230</v>
      </c>
      <c r="M386" s="68">
        <v>42947</v>
      </c>
      <c r="N386" s="69">
        <f t="shared" si="13"/>
        <v>0</v>
      </c>
      <c r="O386" s="69" t="str">
        <f t="shared" si="14"/>
        <v>N/A</v>
      </c>
      <c r="P386" s="70">
        <v>0</v>
      </c>
      <c r="Q386" s="70"/>
      <c r="R386" s="70">
        <v>0</v>
      </c>
      <c r="S386" s="68">
        <f t="shared" si="15"/>
        <v>42926</v>
      </c>
      <c r="T386" s="68">
        <v>42926</v>
      </c>
      <c r="U386" s="68"/>
      <c r="V386" s="68"/>
      <c r="W386" s="9"/>
      <c r="X386" s="10"/>
      <c r="Y386" s="65" t="str">
        <f t="shared" si="16"/>
        <v/>
      </c>
      <c r="Z386" s="11" t="str">
        <f t="shared" si="17"/>
        <v/>
      </c>
      <c r="AA386" s="11" t="str">
        <f t="shared" si="18"/>
        <v/>
      </c>
      <c r="AB386" s="73">
        <f t="shared" si="19"/>
        <v>0</v>
      </c>
      <c r="AC386" s="11" t="str">
        <f t="shared" si="20"/>
        <v/>
      </c>
      <c r="AD386" s="11" t="str">
        <f t="shared" si="21"/>
        <v/>
      </c>
      <c r="AE386" s="11" t="str">
        <f t="shared" si="22"/>
        <v/>
      </c>
      <c r="AF386" s="73">
        <f t="shared" si="23"/>
        <v>3.86E-4</v>
      </c>
      <c r="AG386" s="11" t="str">
        <f t="shared" si="24"/>
        <v/>
      </c>
      <c r="AH386" s="11" t="str">
        <f t="shared" si="25"/>
        <v/>
      </c>
    </row>
    <row r="387" spans="1:34" ht="14.25" customHeight="1">
      <c r="A387" s="11">
        <v>372</v>
      </c>
      <c r="B387" s="66"/>
      <c r="C387" s="67"/>
      <c r="D387" s="67"/>
      <c r="E387" s="67"/>
      <c r="F387" s="67"/>
      <c r="G387" s="67" t="s">
        <v>35</v>
      </c>
      <c r="H387" s="67">
        <v>42348</v>
      </c>
      <c r="I387" s="6" t="s">
        <v>965</v>
      </c>
      <c r="J387" s="9">
        <v>2208886968</v>
      </c>
      <c r="K387" s="68">
        <v>42338</v>
      </c>
      <c r="L387" s="68">
        <v>46022</v>
      </c>
      <c r="M387" s="68">
        <v>46203</v>
      </c>
      <c r="N387" s="69">
        <f t="shared" si="13"/>
        <v>-6</v>
      </c>
      <c r="O387" s="69">
        <f t="shared" si="14"/>
        <v>0</v>
      </c>
      <c r="P387" s="70">
        <v>6</v>
      </c>
      <c r="Q387" s="70">
        <v>0</v>
      </c>
      <c r="R387" s="70">
        <v>0</v>
      </c>
      <c r="S387" s="68" t="str">
        <f t="shared" si="15"/>
        <v/>
      </c>
      <c r="T387" s="68"/>
      <c r="U387" s="68"/>
      <c r="V387" s="68"/>
      <c r="W387" s="9"/>
      <c r="X387" s="10"/>
      <c r="Y387" s="71">
        <f t="shared" si="16"/>
        <v>0</v>
      </c>
      <c r="Z387" s="73">
        <f t="shared" si="17"/>
        <v>0</v>
      </c>
      <c r="AA387" s="11" t="str">
        <f t="shared" si="18"/>
        <v/>
      </c>
      <c r="AB387" s="73">
        <f t="shared" si="19"/>
        <v>-6</v>
      </c>
      <c r="AC387" s="11" t="str">
        <f t="shared" si="20"/>
        <v/>
      </c>
      <c r="AD387" s="73">
        <f t="shared" si="21"/>
        <v>0</v>
      </c>
      <c r="AE387" s="11" t="str">
        <f t="shared" si="22"/>
        <v/>
      </c>
      <c r="AF387" s="73">
        <f t="shared" si="23"/>
        <v>-5.9996130000000001</v>
      </c>
      <c r="AG387" s="11" t="str">
        <f t="shared" si="24"/>
        <v/>
      </c>
      <c r="AH387" s="73">
        <f t="shared" si="25"/>
        <v>3.8699999999999997E-4</v>
      </c>
    </row>
    <row r="388" spans="1:34" ht="14.25" customHeight="1">
      <c r="A388" s="11">
        <v>373</v>
      </c>
      <c r="B388" s="66"/>
      <c r="C388" s="67"/>
      <c r="D388" s="67"/>
      <c r="E388" s="67"/>
      <c r="F388" s="67"/>
      <c r="G388" s="67" t="s">
        <v>35</v>
      </c>
      <c r="H388" s="67">
        <v>43139</v>
      </c>
      <c r="I388" s="6" t="s">
        <v>966</v>
      </c>
      <c r="J388" s="9">
        <v>2208890953</v>
      </c>
      <c r="K388" s="68">
        <v>43131</v>
      </c>
      <c r="L388" s="68">
        <v>46022</v>
      </c>
      <c r="M388" s="68">
        <v>46203</v>
      </c>
      <c r="N388" s="69">
        <f t="shared" si="13"/>
        <v>-34</v>
      </c>
      <c r="O388" s="69">
        <f t="shared" si="14"/>
        <v>0</v>
      </c>
      <c r="P388" s="70">
        <v>35</v>
      </c>
      <c r="Q388" s="70">
        <v>1</v>
      </c>
      <c r="R388" s="70">
        <v>1</v>
      </c>
      <c r="S388" s="68" t="str">
        <f t="shared" si="15"/>
        <v/>
      </c>
      <c r="T388" s="68"/>
      <c r="U388" s="68"/>
      <c r="V388" s="68"/>
      <c r="W388" s="9"/>
      <c r="X388" s="10"/>
      <c r="Y388" s="71">
        <f t="shared" si="16"/>
        <v>1</v>
      </c>
      <c r="Z388" s="73">
        <f t="shared" si="17"/>
        <v>1</v>
      </c>
      <c r="AA388" s="11" t="str">
        <f t="shared" si="18"/>
        <v/>
      </c>
      <c r="AB388" s="73">
        <f t="shared" si="19"/>
        <v>-34</v>
      </c>
      <c r="AC388" s="11" t="str">
        <f t="shared" si="20"/>
        <v/>
      </c>
      <c r="AD388" s="73">
        <f t="shared" si="21"/>
        <v>0</v>
      </c>
      <c r="AE388" s="11" t="str">
        <f t="shared" si="22"/>
        <v/>
      </c>
      <c r="AF388" s="73">
        <f t="shared" si="23"/>
        <v>-33.999611999999999</v>
      </c>
      <c r="AG388" s="11" t="str">
        <f t="shared" si="24"/>
        <v/>
      </c>
      <c r="AH388" s="73">
        <f t="shared" si="25"/>
        <v>3.88E-4</v>
      </c>
    </row>
    <row r="389" spans="1:34" ht="14.25" customHeight="1">
      <c r="A389" s="11">
        <v>374</v>
      </c>
      <c r="B389" s="66" t="s">
        <v>35</v>
      </c>
      <c r="C389" s="67">
        <v>42064</v>
      </c>
      <c r="D389" s="67">
        <v>42151</v>
      </c>
      <c r="E389" s="67"/>
      <c r="F389" s="67"/>
      <c r="G389" s="67"/>
      <c r="H389" s="67"/>
      <c r="I389" s="6" t="s">
        <v>967</v>
      </c>
      <c r="J389" s="9">
        <v>2208892058</v>
      </c>
      <c r="K389" s="68">
        <v>42063</v>
      </c>
      <c r="L389" s="68">
        <v>46022</v>
      </c>
      <c r="M389" s="68">
        <v>46203</v>
      </c>
      <c r="N389" s="69">
        <f t="shared" si="13"/>
        <v>66</v>
      </c>
      <c r="O389" s="69">
        <f t="shared" si="14"/>
        <v>0</v>
      </c>
      <c r="P389" s="70">
        <v>0</v>
      </c>
      <c r="Q389" s="70">
        <v>66</v>
      </c>
      <c r="R389" s="70">
        <v>66</v>
      </c>
      <c r="S389" s="68" t="str">
        <f t="shared" si="15"/>
        <v/>
      </c>
      <c r="T389" s="68"/>
      <c r="U389" s="68"/>
      <c r="V389" s="68"/>
      <c r="W389" s="9"/>
      <c r="X389" s="10"/>
      <c r="Y389" s="71">
        <f t="shared" si="16"/>
        <v>66</v>
      </c>
      <c r="Z389" s="73">
        <f t="shared" si="17"/>
        <v>66</v>
      </c>
      <c r="AA389" s="73">
        <f t="shared" si="18"/>
        <v>66</v>
      </c>
      <c r="AB389" s="11" t="str">
        <f t="shared" si="19"/>
        <v/>
      </c>
      <c r="AC389" s="73">
        <f t="shared" si="20"/>
        <v>0</v>
      </c>
      <c r="AD389" s="11" t="str">
        <f t="shared" si="21"/>
        <v/>
      </c>
      <c r="AE389" s="73">
        <f t="shared" si="22"/>
        <v>66.000388999999998</v>
      </c>
      <c r="AF389" s="11" t="str">
        <f t="shared" si="23"/>
        <v/>
      </c>
      <c r="AG389" s="73">
        <f t="shared" si="24"/>
        <v>3.8900000000000002E-4</v>
      </c>
      <c r="AH389" s="11" t="str">
        <f t="shared" si="25"/>
        <v/>
      </c>
    </row>
    <row r="390" spans="1:34" ht="14.25" customHeight="1">
      <c r="A390" s="11">
        <v>375</v>
      </c>
      <c r="B390" s="66" t="s">
        <v>24</v>
      </c>
      <c r="C390" s="67">
        <v>41852</v>
      </c>
      <c r="D390" s="67"/>
      <c r="E390" s="67"/>
      <c r="F390" s="67"/>
      <c r="G390" s="67"/>
      <c r="H390" s="67"/>
      <c r="I390" s="6" t="s">
        <v>968</v>
      </c>
      <c r="J390" s="9">
        <v>2208892776</v>
      </c>
      <c r="K390" s="68">
        <v>41851</v>
      </c>
      <c r="L390" s="68" t="s">
        <v>230</v>
      </c>
      <c r="M390" s="68">
        <v>44865</v>
      </c>
      <c r="N390" s="69">
        <f t="shared" si="13"/>
        <v>0</v>
      </c>
      <c r="O390" s="69" t="str">
        <f t="shared" si="14"/>
        <v>N/A</v>
      </c>
      <c r="P390" s="70">
        <v>0</v>
      </c>
      <c r="Q390" s="70"/>
      <c r="R390" s="70">
        <v>0</v>
      </c>
      <c r="S390" s="68">
        <f t="shared" si="15"/>
        <v>44865</v>
      </c>
      <c r="T390" s="68">
        <v>44865</v>
      </c>
      <c r="U390" s="68"/>
      <c r="V390" s="68"/>
      <c r="W390" s="9"/>
      <c r="X390" s="10"/>
      <c r="Y390" s="65" t="str">
        <f t="shared" si="16"/>
        <v/>
      </c>
      <c r="Z390" s="11" t="str">
        <f t="shared" si="17"/>
        <v/>
      </c>
      <c r="AA390" s="73">
        <f t="shared" si="18"/>
        <v>0</v>
      </c>
      <c r="AB390" s="11" t="str">
        <f t="shared" si="19"/>
        <v/>
      </c>
      <c r="AC390" s="11" t="str">
        <f t="shared" si="20"/>
        <v/>
      </c>
      <c r="AD390" s="11" t="str">
        <f t="shared" si="21"/>
        <v/>
      </c>
      <c r="AE390" s="73">
        <f t="shared" si="22"/>
        <v>3.8999999999999999E-4</v>
      </c>
      <c r="AF390" s="11" t="str">
        <f t="shared" si="23"/>
        <v/>
      </c>
      <c r="AG390" s="11" t="str">
        <f t="shared" si="24"/>
        <v/>
      </c>
      <c r="AH390" s="11" t="str">
        <f t="shared" si="25"/>
        <v/>
      </c>
    </row>
    <row r="391" spans="1:34" ht="14.25" customHeight="1">
      <c r="A391" s="11">
        <v>376</v>
      </c>
      <c r="B391" s="66"/>
      <c r="C391" s="67"/>
      <c r="D391" s="67"/>
      <c r="E391" s="67"/>
      <c r="F391" s="67"/>
      <c r="G391" s="67" t="s">
        <v>35</v>
      </c>
      <c r="H391" s="67">
        <v>42923</v>
      </c>
      <c r="I391" s="6" t="s">
        <v>969</v>
      </c>
      <c r="J391" s="9">
        <v>2208893926</v>
      </c>
      <c r="K391" s="68">
        <v>42916</v>
      </c>
      <c r="L391" s="68">
        <v>46022</v>
      </c>
      <c r="M391" s="68">
        <v>46203</v>
      </c>
      <c r="N391" s="69">
        <f t="shared" si="13"/>
        <v>6</v>
      </c>
      <c r="O391" s="69">
        <f t="shared" si="14"/>
        <v>-5</v>
      </c>
      <c r="P391" s="70">
        <v>31</v>
      </c>
      <c r="Q391" s="70">
        <v>42</v>
      </c>
      <c r="R391" s="70">
        <v>37</v>
      </c>
      <c r="S391" s="68" t="str">
        <f t="shared" si="15"/>
        <v/>
      </c>
      <c r="T391" s="68"/>
      <c r="U391" s="68"/>
      <c r="V391" s="68"/>
      <c r="W391" s="9"/>
      <c r="X391" s="10"/>
      <c r="Y391" s="71">
        <f t="shared" si="16"/>
        <v>42</v>
      </c>
      <c r="Z391" s="73">
        <f t="shared" si="17"/>
        <v>37</v>
      </c>
      <c r="AA391" s="11" t="str">
        <f t="shared" si="18"/>
        <v/>
      </c>
      <c r="AB391" s="73">
        <f t="shared" si="19"/>
        <v>6</v>
      </c>
      <c r="AC391" s="11" t="str">
        <f t="shared" si="20"/>
        <v/>
      </c>
      <c r="AD391" s="73">
        <f t="shared" si="21"/>
        <v>-5</v>
      </c>
      <c r="AE391" s="11" t="str">
        <f t="shared" si="22"/>
        <v/>
      </c>
      <c r="AF391" s="73">
        <f t="shared" si="23"/>
        <v>6.0003909999999996</v>
      </c>
      <c r="AG391" s="11" t="str">
        <f t="shared" si="24"/>
        <v/>
      </c>
      <c r="AH391" s="73">
        <f t="shared" si="25"/>
        <v>-4.9996090000000004</v>
      </c>
    </row>
    <row r="392" spans="1:34" ht="14.25" customHeight="1">
      <c r="A392" s="11">
        <v>377</v>
      </c>
      <c r="B392" s="66" t="s">
        <v>24</v>
      </c>
      <c r="C392" s="67">
        <v>42345</v>
      </c>
      <c r="D392" s="67"/>
      <c r="E392" s="67"/>
      <c r="F392" s="67"/>
      <c r="G392" s="67" t="s">
        <v>24</v>
      </c>
      <c r="H392" s="67">
        <v>43003</v>
      </c>
      <c r="I392" s="6" t="s">
        <v>970</v>
      </c>
      <c r="J392" s="9">
        <v>2208894401</v>
      </c>
      <c r="K392" s="68">
        <v>42338</v>
      </c>
      <c r="L392" s="68" t="s">
        <v>230</v>
      </c>
      <c r="M392" s="68">
        <v>43890</v>
      </c>
      <c r="N392" s="69">
        <f t="shared" si="13"/>
        <v>-3</v>
      </c>
      <c r="O392" s="69" t="str">
        <f t="shared" si="14"/>
        <v>N/A</v>
      </c>
      <c r="P392" s="70">
        <v>3</v>
      </c>
      <c r="Q392" s="70"/>
      <c r="R392" s="70">
        <v>0</v>
      </c>
      <c r="S392" s="68">
        <f t="shared" si="15"/>
        <v>43873</v>
      </c>
      <c r="T392" s="68">
        <v>43873</v>
      </c>
      <c r="U392" s="68"/>
      <c r="V392" s="68"/>
      <c r="W392" s="9"/>
      <c r="X392" s="10"/>
      <c r="Y392" s="65" t="str">
        <f t="shared" si="16"/>
        <v/>
      </c>
      <c r="Z392" s="11" t="str">
        <f t="shared" si="17"/>
        <v/>
      </c>
      <c r="AA392" s="73">
        <f t="shared" si="18"/>
        <v>-3</v>
      </c>
      <c r="AB392" s="73">
        <f t="shared" si="19"/>
        <v>-3</v>
      </c>
      <c r="AC392" s="11" t="str">
        <f t="shared" si="20"/>
        <v/>
      </c>
      <c r="AD392" s="11" t="str">
        <f t="shared" si="21"/>
        <v/>
      </c>
      <c r="AE392" s="73">
        <f t="shared" si="22"/>
        <v>-2.9996079999999998</v>
      </c>
      <c r="AF392" s="73">
        <f t="shared" si="23"/>
        <v>-2.9996079999999998</v>
      </c>
      <c r="AG392" s="11" t="str">
        <f t="shared" si="24"/>
        <v/>
      </c>
      <c r="AH392" s="11" t="str">
        <f t="shared" si="25"/>
        <v/>
      </c>
    </row>
    <row r="393" spans="1:34" ht="14.25" customHeight="1">
      <c r="A393" s="11">
        <v>378</v>
      </c>
      <c r="B393" s="66"/>
      <c r="C393" s="67"/>
      <c r="D393" s="67"/>
      <c r="E393" s="67"/>
      <c r="F393" s="67"/>
      <c r="G393" s="67" t="s">
        <v>35</v>
      </c>
      <c r="H393" s="67">
        <v>43783</v>
      </c>
      <c r="I393" s="6" t="s">
        <v>971</v>
      </c>
      <c r="J393" s="9">
        <v>2218148615</v>
      </c>
      <c r="K393" s="68">
        <v>43769</v>
      </c>
      <c r="L393" s="68">
        <v>46022</v>
      </c>
      <c r="M393" s="68">
        <v>46203</v>
      </c>
      <c r="N393" s="69">
        <f t="shared" si="13"/>
        <v>-7</v>
      </c>
      <c r="O393" s="69">
        <f t="shared" si="14"/>
        <v>0</v>
      </c>
      <c r="P393" s="70">
        <v>7</v>
      </c>
      <c r="Q393" s="70">
        <v>0</v>
      </c>
      <c r="R393" s="70">
        <v>0</v>
      </c>
      <c r="S393" s="68" t="str">
        <f t="shared" si="15"/>
        <v/>
      </c>
      <c r="T393" s="68"/>
      <c r="U393" s="68"/>
      <c r="V393" s="68"/>
      <c r="W393" s="9"/>
      <c r="X393" s="10"/>
      <c r="Y393" s="71">
        <f t="shared" si="16"/>
        <v>0</v>
      </c>
      <c r="Z393" s="73">
        <f t="shared" si="17"/>
        <v>0</v>
      </c>
      <c r="AA393" s="11" t="str">
        <f t="shared" si="18"/>
        <v/>
      </c>
      <c r="AB393" s="73">
        <f t="shared" si="19"/>
        <v>-7</v>
      </c>
      <c r="AC393" s="11" t="str">
        <f t="shared" si="20"/>
        <v/>
      </c>
      <c r="AD393" s="73">
        <f t="shared" si="21"/>
        <v>0</v>
      </c>
      <c r="AE393" s="11" t="str">
        <f t="shared" si="22"/>
        <v/>
      </c>
      <c r="AF393" s="73">
        <f t="shared" si="23"/>
        <v>-6.9996070000000001</v>
      </c>
      <c r="AG393" s="11" t="str">
        <f t="shared" si="24"/>
        <v/>
      </c>
      <c r="AH393" s="73">
        <f t="shared" si="25"/>
        <v>3.9300000000000001E-4</v>
      </c>
    </row>
    <row r="394" spans="1:34" ht="14.25" customHeight="1">
      <c r="A394" s="11">
        <v>379</v>
      </c>
      <c r="B394" s="66"/>
      <c r="C394" s="67"/>
      <c r="D394" s="67"/>
      <c r="E394" s="67"/>
      <c r="F394" s="67"/>
      <c r="G394" s="67" t="s">
        <v>35</v>
      </c>
      <c r="H394" s="67">
        <v>43928</v>
      </c>
      <c r="I394" s="6" t="s">
        <v>972</v>
      </c>
      <c r="J394" s="9">
        <v>2218149759</v>
      </c>
      <c r="K394" s="68">
        <v>43921</v>
      </c>
      <c r="L394" s="68">
        <v>46022</v>
      </c>
      <c r="M394" s="68">
        <v>46203</v>
      </c>
      <c r="N394" s="69">
        <f t="shared" si="13"/>
        <v>5</v>
      </c>
      <c r="O394" s="69">
        <f t="shared" si="14"/>
        <v>1</v>
      </c>
      <c r="P394" s="70">
        <v>0</v>
      </c>
      <c r="Q394" s="70">
        <v>4</v>
      </c>
      <c r="R394" s="70">
        <v>5</v>
      </c>
      <c r="S394" s="68" t="str">
        <f t="shared" si="15"/>
        <v/>
      </c>
      <c r="T394" s="68"/>
      <c r="U394" s="68"/>
      <c r="V394" s="68"/>
      <c r="W394" s="9"/>
      <c r="X394" s="10"/>
      <c r="Y394" s="71">
        <f t="shared" si="16"/>
        <v>4</v>
      </c>
      <c r="Z394" s="73">
        <f t="shared" si="17"/>
        <v>5</v>
      </c>
      <c r="AA394" s="11" t="str">
        <f t="shared" si="18"/>
        <v/>
      </c>
      <c r="AB394" s="73">
        <f t="shared" si="19"/>
        <v>5</v>
      </c>
      <c r="AC394" s="11" t="str">
        <f t="shared" si="20"/>
        <v/>
      </c>
      <c r="AD394" s="73">
        <f t="shared" si="21"/>
        <v>1</v>
      </c>
      <c r="AE394" s="11" t="str">
        <f t="shared" si="22"/>
        <v/>
      </c>
      <c r="AF394" s="73">
        <f t="shared" si="23"/>
        <v>5.000394</v>
      </c>
      <c r="AG394" s="11" t="str">
        <f t="shared" si="24"/>
        <v/>
      </c>
      <c r="AH394" s="73">
        <f t="shared" si="25"/>
        <v>1.000394</v>
      </c>
    </row>
    <row r="395" spans="1:34" ht="14.25" customHeight="1">
      <c r="A395" s="11">
        <v>380</v>
      </c>
      <c r="B395" s="66"/>
      <c r="C395" s="67"/>
      <c r="D395" s="67"/>
      <c r="E395" s="67"/>
      <c r="F395" s="67"/>
      <c r="G395" s="67" t="s">
        <v>35</v>
      </c>
      <c r="H395" s="67">
        <v>45448</v>
      </c>
      <c r="I395" s="6" t="s">
        <v>973</v>
      </c>
      <c r="J395" s="9">
        <v>2218151779</v>
      </c>
      <c r="K395" s="68">
        <v>45443</v>
      </c>
      <c r="L395" s="68">
        <v>46022</v>
      </c>
      <c r="M395" s="68">
        <v>46203</v>
      </c>
      <c r="N395" s="69">
        <f t="shared" si="13"/>
        <v>6</v>
      </c>
      <c r="O395" s="69">
        <f t="shared" si="14"/>
        <v>-1</v>
      </c>
      <c r="P395" s="70">
        <v>2</v>
      </c>
      <c r="Q395" s="70">
        <v>9</v>
      </c>
      <c r="R395" s="70">
        <v>8</v>
      </c>
      <c r="S395" s="68" t="str">
        <f t="shared" si="15"/>
        <v/>
      </c>
      <c r="T395" s="68"/>
      <c r="U395" s="68"/>
      <c r="V395" s="68"/>
      <c r="W395" s="9"/>
      <c r="X395" s="10"/>
      <c r="Y395" s="71">
        <f t="shared" si="16"/>
        <v>9</v>
      </c>
      <c r="Z395" s="73">
        <f t="shared" si="17"/>
        <v>8</v>
      </c>
      <c r="AA395" s="11" t="str">
        <f t="shared" si="18"/>
        <v/>
      </c>
      <c r="AB395" s="73">
        <f t="shared" si="19"/>
        <v>6</v>
      </c>
      <c r="AC395" s="11" t="str">
        <f t="shared" si="20"/>
        <v/>
      </c>
      <c r="AD395" s="73">
        <f t="shared" si="21"/>
        <v>-1</v>
      </c>
      <c r="AE395" s="11" t="str">
        <f t="shared" si="22"/>
        <v/>
      </c>
      <c r="AF395" s="73">
        <f t="shared" si="23"/>
        <v>6.0003950000000001</v>
      </c>
      <c r="AG395" s="11" t="str">
        <f t="shared" si="24"/>
        <v/>
      </c>
      <c r="AH395" s="73">
        <f t="shared" si="25"/>
        <v>-0.99960499999999997</v>
      </c>
    </row>
    <row r="396" spans="1:34" ht="14.25" customHeight="1">
      <c r="A396" s="11">
        <v>381</v>
      </c>
      <c r="B396" s="66"/>
      <c r="C396" s="67"/>
      <c r="D396" s="67"/>
      <c r="E396" s="67"/>
      <c r="F396" s="67"/>
      <c r="G396" s="67" t="s">
        <v>35</v>
      </c>
      <c r="H396" s="67">
        <v>44090</v>
      </c>
      <c r="I396" s="6" t="s">
        <v>974</v>
      </c>
      <c r="J396" s="9">
        <v>2218601712</v>
      </c>
      <c r="K396" s="68">
        <v>44074</v>
      </c>
      <c r="L396" s="68">
        <v>46022</v>
      </c>
      <c r="M396" s="68">
        <v>46203</v>
      </c>
      <c r="N396" s="69">
        <f t="shared" si="13"/>
        <v>0</v>
      </c>
      <c r="O396" s="69">
        <f t="shared" si="14"/>
        <v>0</v>
      </c>
      <c r="P396" s="70">
        <v>1</v>
      </c>
      <c r="Q396" s="70">
        <v>1</v>
      </c>
      <c r="R396" s="70">
        <v>1</v>
      </c>
      <c r="S396" s="68" t="str">
        <f t="shared" si="15"/>
        <v/>
      </c>
      <c r="T396" s="68"/>
      <c r="U396" s="68"/>
      <c r="V396" s="68"/>
      <c r="W396" s="9"/>
      <c r="X396" s="10"/>
      <c r="Y396" s="71">
        <f t="shared" si="16"/>
        <v>1</v>
      </c>
      <c r="Z396" s="73">
        <f t="shared" si="17"/>
        <v>1</v>
      </c>
      <c r="AA396" s="11" t="str">
        <f t="shared" si="18"/>
        <v/>
      </c>
      <c r="AB396" s="73">
        <f t="shared" si="19"/>
        <v>0</v>
      </c>
      <c r="AC396" s="11" t="str">
        <f t="shared" si="20"/>
        <v/>
      </c>
      <c r="AD396" s="73">
        <f t="shared" si="21"/>
        <v>0</v>
      </c>
      <c r="AE396" s="11" t="str">
        <f t="shared" si="22"/>
        <v/>
      </c>
      <c r="AF396" s="73">
        <f t="shared" si="23"/>
        <v>3.9599999999999998E-4</v>
      </c>
      <c r="AG396" s="11" t="str">
        <f t="shared" si="24"/>
        <v/>
      </c>
      <c r="AH396" s="73">
        <f t="shared" si="25"/>
        <v>3.9599999999999998E-4</v>
      </c>
    </row>
    <row r="397" spans="1:34" ht="14.25" customHeight="1">
      <c r="A397" s="11">
        <v>382</v>
      </c>
      <c r="B397" s="66"/>
      <c r="C397" s="67"/>
      <c r="D397" s="67"/>
      <c r="E397" s="67"/>
      <c r="F397" s="67"/>
      <c r="G397" s="67" t="s">
        <v>35</v>
      </c>
      <c r="H397" s="67">
        <v>43921</v>
      </c>
      <c r="I397" s="6" t="s">
        <v>975</v>
      </c>
      <c r="J397" s="9">
        <v>2228134507</v>
      </c>
      <c r="K397" s="68">
        <v>43890</v>
      </c>
      <c r="L397" s="68">
        <v>46022</v>
      </c>
      <c r="M397" s="68">
        <v>46203</v>
      </c>
      <c r="N397" s="69">
        <f t="shared" si="13"/>
        <v>5</v>
      </c>
      <c r="O397" s="69">
        <f t="shared" si="14"/>
        <v>-1</v>
      </c>
      <c r="P397" s="70">
        <v>2</v>
      </c>
      <c r="Q397" s="70">
        <v>8</v>
      </c>
      <c r="R397" s="70">
        <v>7</v>
      </c>
      <c r="S397" s="68" t="str">
        <f t="shared" si="15"/>
        <v/>
      </c>
      <c r="T397" s="68"/>
      <c r="U397" s="68"/>
      <c r="V397" s="68"/>
      <c r="W397" s="9"/>
      <c r="X397" s="10"/>
      <c r="Y397" s="71">
        <f t="shared" si="16"/>
        <v>8</v>
      </c>
      <c r="Z397" s="73">
        <f t="shared" si="17"/>
        <v>7</v>
      </c>
      <c r="AA397" s="11" t="str">
        <f t="shared" si="18"/>
        <v/>
      </c>
      <c r="AB397" s="73">
        <f t="shared" si="19"/>
        <v>5</v>
      </c>
      <c r="AC397" s="11" t="str">
        <f t="shared" si="20"/>
        <v/>
      </c>
      <c r="AD397" s="73">
        <f t="shared" si="21"/>
        <v>-1</v>
      </c>
      <c r="AE397" s="11" t="str">
        <f t="shared" si="22"/>
        <v/>
      </c>
      <c r="AF397" s="73">
        <f t="shared" si="23"/>
        <v>5.0003970000000004</v>
      </c>
      <c r="AG397" s="11" t="str">
        <f t="shared" si="24"/>
        <v/>
      </c>
      <c r="AH397" s="73">
        <f t="shared" si="25"/>
        <v>-0.99960300000000002</v>
      </c>
    </row>
    <row r="398" spans="1:34" ht="14.25" customHeight="1">
      <c r="A398" s="11">
        <v>383</v>
      </c>
      <c r="B398" s="66"/>
      <c r="C398" s="67"/>
      <c r="D398" s="67"/>
      <c r="E398" s="67"/>
      <c r="F398" s="67"/>
      <c r="G398" s="67" t="s">
        <v>35</v>
      </c>
      <c r="H398" s="67">
        <v>44764</v>
      </c>
      <c r="I398" s="6" t="s">
        <v>976</v>
      </c>
      <c r="J398" s="9">
        <v>2228135409</v>
      </c>
      <c r="K398" s="68">
        <v>44742</v>
      </c>
      <c r="L398" s="68">
        <v>46022</v>
      </c>
      <c r="M398" s="68">
        <v>46203</v>
      </c>
      <c r="N398" s="69">
        <f t="shared" si="13"/>
        <v>2</v>
      </c>
      <c r="O398" s="69">
        <f t="shared" si="14"/>
        <v>0</v>
      </c>
      <c r="P398" s="70">
        <v>4</v>
      </c>
      <c r="Q398" s="70">
        <v>6</v>
      </c>
      <c r="R398" s="70">
        <v>6</v>
      </c>
      <c r="S398" s="68" t="str">
        <f t="shared" si="15"/>
        <v/>
      </c>
      <c r="T398" s="68"/>
      <c r="U398" s="68"/>
      <c r="V398" s="68"/>
      <c r="W398" s="9"/>
      <c r="X398" s="10"/>
      <c r="Y398" s="71">
        <f t="shared" si="16"/>
        <v>6</v>
      </c>
      <c r="Z398" s="73">
        <f t="shared" si="17"/>
        <v>6</v>
      </c>
      <c r="AA398" s="11" t="str">
        <f t="shared" si="18"/>
        <v/>
      </c>
      <c r="AB398" s="73">
        <f t="shared" si="19"/>
        <v>2</v>
      </c>
      <c r="AC398" s="11" t="str">
        <f t="shared" si="20"/>
        <v/>
      </c>
      <c r="AD398" s="73">
        <f t="shared" si="21"/>
        <v>0</v>
      </c>
      <c r="AE398" s="11" t="str">
        <f t="shared" si="22"/>
        <v/>
      </c>
      <c r="AF398" s="73">
        <f t="shared" si="23"/>
        <v>2.0003980000000001</v>
      </c>
      <c r="AG398" s="11" t="str">
        <f t="shared" si="24"/>
        <v/>
      </c>
      <c r="AH398" s="73">
        <f t="shared" si="25"/>
        <v>3.9800000000000002E-4</v>
      </c>
    </row>
    <row r="399" spans="1:34" ht="14.25" customHeight="1">
      <c r="A399" s="11">
        <v>384</v>
      </c>
      <c r="B399" s="66"/>
      <c r="C399" s="67"/>
      <c r="D399" s="67"/>
      <c r="E399" s="67"/>
      <c r="F399" s="67"/>
      <c r="G399" s="67" t="s">
        <v>35</v>
      </c>
      <c r="H399" s="67">
        <v>45583</v>
      </c>
      <c r="I399" s="6" t="s">
        <v>977</v>
      </c>
      <c r="J399" s="9">
        <v>2228601020</v>
      </c>
      <c r="K399" s="68">
        <v>45565</v>
      </c>
      <c r="L399" s="68">
        <v>46022</v>
      </c>
      <c r="M399" s="68">
        <v>46203</v>
      </c>
      <c r="N399" s="69">
        <f t="shared" si="13"/>
        <v>13</v>
      </c>
      <c r="O399" s="69">
        <f t="shared" si="14"/>
        <v>2</v>
      </c>
      <c r="P399" s="70">
        <v>21</v>
      </c>
      <c r="Q399" s="70">
        <v>32</v>
      </c>
      <c r="R399" s="70">
        <v>34</v>
      </c>
      <c r="S399" s="68" t="str">
        <f t="shared" si="15"/>
        <v/>
      </c>
      <c r="T399" s="68"/>
      <c r="U399" s="68"/>
      <c r="V399" s="68"/>
      <c r="W399" s="9"/>
      <c r="X399" s="10"/>
      <c r="Y399" s="71">
        <f t="shared" si="16"/>
        <v>32</v>
      </c>
      <c r="Z399" s="73">
        <f t="shared" si="17"/>
        <v>34</v>
      </c>
      <c r="AA399" s="11" t="str">
        <f t="shared" si="18"/>
        <v/>
      </c>
      <c r="AB399" s="73">
        <f t="shared" si="19"/>
        <v>13</v>
      </c>
      <c r="AC399" s="11" t="str">
        <f t="shared" si="20"/>
        <v/>
      </c>
      <c r="AD399" s="73">
        <f t="shared" si="21"/>
        <v>2</v>
      </c>
      <c r="AE399" s="11" t="str">
        <f t="shared" si="22"/>
        <v/>
      </c>
      <c r="AF399" s="73">
        <f t="shared" si="23"/>
        <v>13.000399</v>
      </c>
      <c r="AG399" s="11" t="str">
        <f t="shared" si="24"/>
        <v/>
      </c>
      <c r="AH399" s="73">
        <f t="shared" si="25"/>
        <v>2.0003989999999998</v>
      </c>
    </row>
    <row r="400" spans="1:34" ht="14.25" customHeight="1">
      <c r="A400" s="11">
        <v>385</v>
      </c>
      <c r="B400" s="66"/>
      <c r="C400" s="67"/>
      <c r="D400" s="67"/>
      <c r="E400" s="67"/>
      <c r="F400" s="67"/>
      <c r="G400" s="67" t="s">
        <v>35</v>
      </c>
      <c r="H400" s="67">
        <v>44421</v>
      </c>
      <c r="I400" s="6" t="s">
        <v>978</v>
      </c>
      <c r="J400" s="9">
        <v>2248700271</v>
      </c>
      <c r="K400" s="68">
        <v>44408</v>
      </c>
      <c r="L400" s="68">
        <v>46022</v>
      </c>
      <c r="M400" s="68">
        <v>46203</v>
      </c>
      <c r="N400" s="69">
        <f t="shared" si="13"/>
        <v>-171</v>
      </c>
      <c r="O400" s="69">
        <f t="shared" si="14"/>
        <v>0</v>
      </c>
      <c r="P400" s="70">
        <v>178</v>
      </c>
      <c r="Q400" s="70">
        <v>7</v>
      </c>
      <c r="R400" s="70">
        <v>7</v>
      </c>
      <c r="S400" s="68" t="str">
        <f t="shared" si="15"/>
        <v/>
      </c>
      <c r="T400" s="68"/>
      <c r="U400" s="68"/>
      <c r="V400" s="68"/>
      <c r="W400" s="9"/>
      <c r="X400" s="10"/>
      <c r="Y400" s="71">
        <f t="shared" si="16"/>
        <v>7</v>
      </c>
      <c r="Z400" s="73">
        <f t="shared" si="17"/>
        <v>7</v>
      </c>
      <c r="AA400" s="11" t="str">
        <f t="shared" si="18"/>
        <v/>
      </c>
      <c r="AB400" s="73">
        <f t="shared" si="19"/>
        <v>-171</v>
      </c>
      <c r="AC400" s="11" t="str">
        <f t="shared" si="20"/>
        <v/>
      </c>
      <c r="AD400" s="73">
        <f t="shared" si="21"/>
        <v>0</v>
      </c>
      <c r="AE400" s="11" t="str">
        <f t="shared" si="22"/>
        <v/>
      </c>
      <c r="AF400" s="73">
        <f t="shared" si="23"/>
        <v>-170.99959999999999</v>
      </c>
      <c r="AG400" s="11" t="str">
        <f t="shared" si="24"/>
        <v/>
      </c>
      <c r="AH400" s="73">
        <f t="shared" si="25"/>
        <v>4.0000000000000002E-4</v>
      </c>
    </row>
    <row r="401" spans="1:34" ht="14.25" customHeight="1">
      <c r="A401" s="11">
        <v>386</v>
      </c>
      <c r="B401" s="66" t="s">
        <v>979</v>
      </c>
      <c r="C401" s="67">
        <v>43257</v>
      </c>
      <c r="D401" s="67">
        <v>43091</v>
      </c>
      <c r="E401" s="67"/>
      <c r="F401" s="67"/>
      <c r="G401" s="67"/>
      <c r="H401" s="67"/>
      <c r="I401" s="6" t="s">
        <v>980</v>
      </c>
      <c r="J401" s="9">
        <v>2248700456</v>
      </c>
      <c r="K401" s="68">
        <v>43069</v>
      </c>
      <c r="L401" s="68">
        <v>46022</v>
      </c>
      <c r="M401" s="68">
        <v>46203</v>
      </c>
      <c r="N401" s="69">
        <f t="shared" si="13"/>
        <v>-4</v>
      </c>
      <c r="O401" s="69">
        <f t="shared" si="14"/>
        <v>-1</v>
      </c>
      <c r="P401" s="70">
        <v>5</v>
      </c>
      <c r="Q401" s="70">
        <v>2</v>
      </c>
      <c r="R401" s="70">
        <v>1</v>
      </c>
      <c r="S401" s="68" t="str">
        <f t="shared" si="15"/>
        <v/>
      </c>
      <c r="T401" s="68"/>
      <c r="U401" s="68">
        <v>45657</v>
      </c>
      <c r="V401" s="92">
        <v>45926</v>
      </c>
      <c r="W401" s="9"/>
      <c r="X401" s="93" t="s">
        <v>352</v>
      </c>
      <c r="Y401" s="71">
        <f t="shared" si="16"/>
        <v>2</v>
      </c>
      <c r="Z401" s="73">
        <f t="shared" si="17"/>
        <v>1</v>
      </c>
      <c r="AA401" s="73">
        <f t="shared" si="18"/>
        <v>-4</v>
      </c>
      <c r="AB401" s="11" t="str">
        <f t="shared" si="19"/>
        <v/>
      </c>
      <c r="AC401" s="73">
        <f t="shared" si="20"/>
        <v>-1</v>
      </c>
      <c r="AD401" s="11" t="str">
        <f t="shared" si="21"/>
        <v/>
      </c>
      <c r="AE401" s="73">
        <f t="shared" si="22"/>
        <v>-3.9995989999999999</v>
      </c>
      <c r="AF401" s="11" t="str">
        <f t="shared" si="23"/>
        <v/>
      </c>
      <c r="AG401" s="73">
        <f t="shared" si="24"/>
        <v>-0.99959900000000002</v>
      </c>
      <c r="AH401" s="11" t="str">
        <f t="shared" si="25"/>
        <v/>
      </c>
    </row>
    <row r="402" spans="1:34" ht="14.25" customHeight="1">
      <c r="A402" s="11">
        <v>387</v>
      </c>
      <c r="B402" s="66" t="s">
        <v>35</v>
      </c>
      <c r="C402" s="67">
        <v>42767</v>
      </c>
      <c r="D402" s="67"/>
      <c r="E402" s="67"/>
      <c r="F402" s="67"/>
      <c r="G402" s="67"/>
      <c r="H402" s="67"/>
      <c r="I402" s="6" t="s">
        <v>981</v>
      </c>
      <c r="J402" s="9">
        <v>2268152152</v>
      </c>
      <c r="K402" s="68">
        <v>42766</v>
      </c>
      <c r="L402" s="68">
        <v>46022</v>
      </c>
      <c r="M402" s="68">
        <v>46203</v>
      </c>
      <c r="N402" s="69">
        <f t="shared" si="13"/>
        <v>-4</v>
      </c>
      <c r="O402" s="69">
        <f t="shared" si="14"/>
        <v>-1</v>
      </c>
      <c r="P402" s="70">
        <v>5</v>
      </c>
      <c r="Q402" s="70">
        <v>2</v>
      </c>
      <c r="R402" s="70">
        <v>1</v>
      </c>
      <c r="S402" s="68" t="str">
        <f t="shared" si="15"/>
        <v/>
      </c>
      <c r="T402" s="68"/>
      <c r="U402" s="68"/>
      <c r="V402" s="68"/>
      <c r="W402" s="9"/>
      <c r="X402" s="10"/>
      <c r="Y402" s="71">
        <f t="shared" si="16"/>
        <v>2</v>
      </c>
      <c r="Z402" s="73">
        <f t="shared" si="17"/>
        <v>1</v>
      </c>
      <c r="AA402" s="73">
        <f t="shared" si="18"/>
        <v>-4</v>
      </c>
      <c r="AB402" s="11" t="str">
        <f t="shared" si="19"/>
        <v/>
      </c>
      <c r="AC402" s="73">
        <f t="shared" si="20"/>
        <v>-1</v>
      </c>
      <c r="AD402" s="11" t="str">
        <f t="shared" si="21"/>
        <v/>
      </c>
      <c r="AE402" s="73">
        <f t="shared" si="22"/>
        <v>-3.9995980000000002</v>
      </c>
      <c r="AF402" s="11" t="str">
        <f t="shared" si="23"/>
        <v/>
      </c>
      <c r="AG402" s="73">
        <f t="shared" si="24"/>
        <v>-0.99959799999999999</v>
      </c>
      <c r="AH402" s="11" t="str">
        <f t="shared" si="25"/>
        <v/>
      </c>
    </row>
    <row r="403" spans="1:34" ht="14.25" customHeight="1">
      <c r="A403" s="11">
        <v>388</v>
      </c>
      <c r="B403" s="66" t="s">
        <v>35</v>
      </c>
      <c r="C403" s="67">
        <v>44986</v>
      </c>
      <c r="D403" s="67"/>
      <c r="E403" s="67"/>
      <c r="F403" s="67"/>
      <c r="G403" s="67" t="s">
        <v>35</v>
      </c>
      <c r="H403" s="67">
        <v>44683</v>
      </c>
      <c r="I403" s="6" t="s">
        <v>982</v>
      </c>
      <c r="J403" s="9">
        <v>2268152851</v>
      </c>
      <c r="K403" s="68">
        <v>44681</v>
      </c>
      <c r="L403" s="68">
        <v>46022</v>
      </c>
      <c r="M403" s="68">
        <v>46203</v>
      </c>
      <c r="N403" s="69">
        <f t="shared" si="13"/>
        <v>-5</v>
      </c>
      <c r="O403" s="69">
        <f t="shared" si="14"/>
        <v>0</v>
      </c>
      <c r="P403" s="70">
        <v>12</v>
      </c>
      <c r="Q403" s="70">
        <v>7</v>
      </c>
      <c r="R403" s="70">
        <v>7</v>
      </c>
      <c r="S403" s="68" t="str">
        <f t="shared" si="15"/>
        <v/>
      </c>
      <c r="T403" s="68"/>
      <c r="U403" s="68"/>
      <c r="V403" s="68"/>
      <c r="W403" s="9"/>
      <c r="X403" s="10"/>
      <c r="Y403" s="71">
        <f t="shared" si="16"/>
        <v>7</v>
      </c>
      <c r="Z403" s="73">
        <f t="shared" si="17"/>
        <v>7</v>
      </c>
      <c r="AA403" s="73">
        <f t="shared" si="18"/>
        <v>-5</v>
      </c>
      <c r="AB403" s="73">
        <f t="shared" si="19"/>
        <v>-5</v>
      </c>
      <c r="AC403" s="73">
        <f t="shared" si="20"/>
        <v>0</v>
      </c>
      <c r="AD403" s="73">
        <f t="shared" si="21"/>
        <v>0</v>
      </c>
      <c r="AE403" s="73">
        <f t="shared" si="22"/>
        <v>-4.9995969999999996</v>
      </c>
      <c r="AF403" s="73">
        <f t="shared" si="23"/>
        <v>-4.9995969999999996</v>
      </c>
      <c r="AG403" s="73">
        <f t="shared" si="24"/>
        <v>4.0299999999999998E-4</v>
      </c>
      <c r="AH403" s="73">
        <f t="shared" si="25"/>
        <v>4.0299999999999998E-4</v>
      </c>
    </row>
    <row r="404" spans="1:34" ht="14.25" customHeight="1">
      <c r="A404" s="11">
        <v>389</v>
      </c>
      <c r="B404" s="66"/>
      <c r="C404" s="67"/>
      <c r="D404" s="67"/>
      <c r="E404" s="67"/>
      <c r="F404" s="67"/>
      <c r="G404" s="67" t="s">
        <v>35</v>
      </c>
      <c r="H404" s="67">
        <v>44166</v>
      </c>
      <c r="I404" s="6" t="s">
        <v>983</v>
      </c>
      <c r="J404" s="9">
        <v>2268152958</v>
      </c>
      <c r="K404" s="68">
        <v>44165</v>
      </c>
      <c r="L404" s="68">
        <v>46022</v>
      </c>
      <c r="M404" s="68">
        <v>46203</v>
      </c>
      <c r="N404" s="69">
        <f t="shared" si="13"/>
        <v>12</v>
      </c>
      <c r="O404" s="69">
        <f t="shared" si="14"/>
        <v>-1</v>
      </c>
      <c r="P404" s="70">
        <v>7</v>
      </c>
      <c r="Q404" s="70">
        <v>20</v>
      </c>
      <c r="R404" s="70">
        <v>19</v>
      </c>
      <c r="S404" s="68" t="str">
        <f t="shared" si="15"/>
        <v/>
      </c>
      <c r="T404" s="68"/>
      <c r="U404" s="68"/>
      <c r="V404" s="68"/>
      <c r="W404" s="9"/>
      <c r="X404" s="10"/>
      <c r="Y404" s="71">
        <f t="shared" si="16"/>
        <v>20</v>
      </c>
      <c r="Z404" s="73">
        <f t="shared" si="17"/>
        <v>19</v>
      </c>
      <c r="AA404" s="11" t="str">
        <f t="shared" si="18"/>
        <v/>
      </c>
      <c r="AB404" s="73">
        <f t="shared" si="19"/>
        <v>12</v>
      </c>
      <c r="AC404" s="11" t="str">
        <f t="shared" si="20"/>
        <v/>
      </c>
      <c r="AD404" s="73">
        <f t="shared" si="21"/>
        <v>-1</v>
      </c>
      <c r="AE404" s="11" t="str">
        <f t="shared" si="22"/>
        <v/>
      </c>
      <c r="AF404" s="73">
        <f t="shared" si="23"/>
        <v>12.000404</v>
      </c>
      <c r="AG404" s="11" t="str">
        <f t="shared" si="24"/>
        <v/>
      </c>
      <c r="AH404" s="73">
        <f t="shared" si="25"/>
        <v>-0.99959600000000004</v>
      </c>
    </row>
    <row r="405" spans="1:34" ht="14.25" customHeight="1">
      <c r="A405" s="11">
        <v>390</v>
      </c>
      <c r="B405" s="66" t="s">
        <v>35</v>
      </c>
      <c r="C405" s="67">
        <v>45261</v>
      </c>
      <c r="D405" s="67"/>
      <c r="E405" s="67"/>
      <c r="F405" s="67"/>
      <c r="G405" s="67"/>
      <c r="H405" s="67"/>
      <c r="I405" s="6" t="s">
        <v>984</v>
      </c>
      <c r="J405" s="9">
        <v>2298700577</v>
      </c>
      <c r="K405" s="68">
        <v>45260</v>
      </c>
      <c r="L405" s="68">
        <v>46022</v>
      </c>
      <c r="M405" s="68">
        <v>46203</v>
      </c>
      <c r="N405" s="69">
        <f t="shared" si="13"/>
        <v>-3</v>
      </c>
      <c r="O405" s="69">
        <f t="shared" si="14"/>
        <v>0</v>
      </c>
      <c r="P405" s="70">
        <v>6</v>
      </c>
      <c r="Q405" s="70">
        <v>3</v>
      </c>
      <c r="R405" s="70">
        <v>3</v>
      </c>
      <c r="S405" s="68" t="str">
        <f t="shared" si="15"/>
        <v/>
      </c>
      <c r="T405" s="68"/>
      <c r="U405" s="68"/>
      <c r="V405" s="68"/>
      <c r="W405" s="9"/>
      <c r="X405" s="10"/>
      <c r="Y405" s="71">
        <f t="shared" si="16"/>
        <v>3</v>
      </c>
      <c r="Z405" s="73">
        <f t="shared" si="17"/>
        <v>3</v>
      </c>
      <c r="AA405" s="73">
        <f t="shared" si="18"/>
        <v>-3</v>
      </c>
      <c r="AB405" s="11" t="str">
        <f t="shared" si="19"/>
        <v/>
      </c>
      <c r="AC405" s="73">
        <f t="shared" si="20"/>
        <v>0</v>
      </c>
      <c r="AD405" s="11" t="str">
        <f t="shared" si="21"/>
        <v/>
      </c>
      <c r="AE405" s="73">
        <f t="shared" si="22"/>
        <v>-2.9995949999999998</v>
      </c>
      <c r="AF405" s="11" t="str">
        <f t="shared" si="23"/>
        <v/>
      </c>
      <c r="AG405" s="73">
        <f t="shared" si="24"/>
        <v>4.0499999999999998E-4</v>
      </c>
      <c r="AH405" s="11" t="str">
        <f t="shared" si="25"/>
        <v/>
      </c>
    </row>
    <row r="406" spans="1:34" ht="14.25" customHeight="1">
      <c r="A406" s="11">
        <v>391</v>
      </c>
      <c r="B406" s="66"/>
      <c r="C406" s="67"/>
      <c r="D406" s="67"/>
      <c r="E406" s="67"/>
      <c r="F406" s="67"/>
      <c r="G406" s="67" t="s">
        <v>35</v>
      </c>
      <c r="H406" s="67">
        <v>45896</v>
      </c>
      <c r="I406" s="6" t="s">
        <v>985</v>
      </c>
      <c r="J406" s="94">
        <v>2298800628</v>
      </c>
      <c r="K406" s="68">
        <v>45869</v>
      </c>
      <c r="L406" s="68">
        <v>46022</v>
      </c>
      <c r="M406" s="68">
        <v>46203</v>
      </c>
      <c r="N406" s="69">
        <f t="shared" si="13"/>
        <v>-1</v>
      </c>
      <c r="O406" s="69">
        <f t="shared" si="14"/>
        <v>2</v>
      </c>
      <c r="P406" s="70">
        <v>116</v>
      </c>
      <c r="Q406" s="70">
        <v>113</v>
      </c>
      <c r="R406" s="70">
        <v>115</v>
      </c>
      <c r="S406" s="68" t="str">
        <f t="shared" si="15"/>
        <v/>
      </c>
      <c r="T406" s="68"/>
      <c r="U406" s="95"/>
      <c r="V406" s="68"/>
      <c r="W406" s="6"/>
      <c r="X406" s="10"/>
      <c r="Y406" s="71">
        <f t="shared" si="16"/>
        <v>113</v>
      </c>
      <c r="Z406" s="73">
        <f t="shared" si="17"/>
        <v>115</v>
      </c>
      <c r="AA406" s="11" t="str">
        <f t="shared" si="18"/>
        <v/>
      </c>
      <c r="AB406" s="73">
        <f t="shared" si="19"/>
        <v>-1</v>
      </c>
      <c r="AC406" s="11" t="str">
        <f t="shared" si="20"/>
        <v/>
      </c>
      <c r="AD406" s="73">
        <f t="shared" si="21"/>
        <v>2</v>
      </c>
      <c r="AE406" s="11" t="str">
        <f t="shared" si="22"/>
        <v/>
      </c>
      <c r="AF406" s="73">
        <f t="shared" si="23"/>
        <v>-0.99959399999999998</v>
      </c>
      <c r="AG406" s="11" t="str">
        <f t="shared" si="24"/>
        <v/>
      </c>
      <c r="AH406" s="73">
        <f t="shared" si="25"/>
        <v>2.0004059999999999</v>
      </c>
    </row>
    <row r="407" spans="1:34" ht="14.25" customHeight="1">
      <c r="A407" s="11">
        <v>392</v>
      </c>
      <c r="B407" s="66"/>
      <c r="C407" s="67"/>
      <c r="D407" s="67"/>
      <c r="E407" s="67"/>
      <c r="F407" s="67"/>
      <c r="G407" s="67" t="s">
        <v>35</v>
      </c>
      <c r="H407" s="67">
        <v>42062</v>
      </c>
      <c r="I407" s="6" t="s">
        <v>986</v>
      </c>
      <c r="J407" s="9">
        <v>2308106550</v>
      </c>
      <c r="K407" s="68">
        <v>42035</v>
      </c>
      <c r="L407" s="68">
        <v>46022</v>
      </c>
      <c r="M407" s="68">
        <v>46203</v>
      </c>
      <c r="N407" s="69">
        <f t="shared" si="13"/>
        <v>-2</v>
      </c>
      <c r="O407" s="69">
        <f t="shared" si="14"/>
        <v>-1</v>
      </c>
      <c r="P407" s="70">
        <v>3</v>
      </c>
      <c r="Q407" s="70">
        <v>2</v>
      </c>
      <c r="R407" s="70">
        <v>1</v>
      </c>
      <c r="S407" s="68" t="str">
        <f t="shared" si="15"/>
        <v/>
      </c>
      <c r="T407" s="68"/>
      <c r="U407" s="68"/>
      <c r="V407" s="68"/>
      <c r="W407" s="9"/>
      <c r="X407" s="10"/>
      <c r="Y407" s="71">
        <f t="shared" si="16"/>
        <v>2</v>
      </c>
      <c r="Z407" s="73">
        <f t="shared" si="17"/>
        <v>1</v>
      </c>
      <c r="AA407" s="11" t="str">
        <f t="shared" si="18"/>
        <v/>
      </c>
      <c r="AB407" s="73">
        <f t="shared" si="19"/>
        <v>-2</v>
      </c>
      <c r="AC407" s="11" t="str">
        <f t="shared" si="20"/>
        <v/>
      </c>
      <c r="AD407" s="73">
        <f t="shared" si="21"/>
        <v>-1</v>
      </c>
      <c r="AE407" s="11" t="str">
        <f t="shared" si="22"/>
        <v/>
      </c>
      <c r="AF407" s="73">
        <f t="shared" si="23"/>
        <v>-1.999593</v>
      </c>
      <c r="AG407" s="11" t="str">
        <f t="shared" si="24"/>
        <v/>
      </c>
      <c r="AH407" s="73">
        <f t="shared" si="25"/>
        <v>-0.99959299999999995</v>
      </c>
    </row>
    <row r="408" spans="1:34" ht="14.25" customHeight="1">
      <c r="A408" s="11">
        <v>393</v>
      </c>
      <c r="B408" s="66"/>
      <c r="C408" s="67"/>
      <c r="D408" s="67"/>
      <c r="E408" s="67"/>
      <c r="F408" s="67"/>
      <c r="G408" s="67" t="s">
        <v>24</v>
      </c>
      <c r="H408" s="67">
        <v>42242</v>
      </c>
      <c r="I408" s="6" t="s">
        <v>987</v>
      </c>
      <c r="J408" s="9">
        <v>2308109479</v>
      </c>
      <c r="K408" s="68">
        <v>42216</v>
      </c>
      <c r="L408" s="68" t="s">
        <v>230</v>
      </c>
      <c r="M408" s="68">
        <v>42735</v>
      </c>
      <c r="N408" s="69">
        <f t="shared" si="13"/>
        <v>-3</v>
      </c>
      <c r="O408" s="69" t="str">
        <f t="shared" si="14"/>
        <v>N/A</v>
      </c>
      <c r="P408" s="70">
        <v>3</v>
      </c>
      <c r="Q408" s="70"/>
      <c r="R408" s="70">
        <v>0</v>
      </c>
      <c r="S408" s="68">
        <f t="shared" si="15"/>
        <v>42734</v>
      </c>
      <c r="T408" s="68">
        <v>42734</v>
      </c>
      <c r="U408" s="68"/>
      <c r="V408" s="68"/>
      <c r="W408" s="9"/>
      <c r="X408" s="10"/>
      <c r="Y408" s="65" t="str">
        <f t="shared" si="16"/>
        <v/>
      </c>
      <c r="Z408" s="11" t="str">
        <f t="shared" si="17"/>
        <v/>
      </c>
      <c r="AA408" s="11" t="str">
        <f t="shared" si="18"/>
        <v/>
      </c>
      <c r="AB408" s="73">
        <f t="shared" si="19"/>
        <v>-3</v>
      </c>
      <c r="AC408" s="11" t="str">
        <f t="shared" si="20"/>
        <v/>
      </c>
      <c r="AD408" s="11" t="str">
        <f t="shared" si="21"/>
        <v/>
      </c>
      <c r="AE408" s="11" t="str">
        <f t="shared" si="22"/>
        <v/>
      </c>
      <c r="AF408" s="73">
        <f t="shared" si="23"/>
        <v>-2.9995919999999998</v>
      </c>
      <c r="AG408" s="11" t="str">
        <f t="shared" si="24"/>
        <v/>
      </c>
      <c r="AH408" s="11" t="str">
        <f t="shared" si="25"/>
        <v/>
      </c>
    </row>
    <row r="409" spans="1:34" ht="14.25" customHeight="1">
      <c r="A409" s="11">
        <v>394</v>
      </c>
      <c r="B409" s="66" t="s">
        <v>35</v>
      </c>
      <c r="C409" s="67"/>
      <c r="D409" s="67">
        <v>46078</v>
      </c>
      <c r="E409" s="67"/>
      <c r="F409" s="67"/>
      <c r="G409" s="67"/>
      <c r="H409" s="67"/>
      <c r="I409" s="6" t="s">
        <v>988</v>
      </c>
      <c r="J409" s="37">
        <v>2308702764</v>
      </c>
      <c r="K409" s="68">
        <v>46053</v>
      </c>
      <c r="L409" s="68" t="s">
        <v>230</v>
      </c>
      <c r="M409" s="68">
        <v>46203</v>
      </c>
      <c r="N409" s="69">
        <f t="shared" si="13"/>
        <v>0</v>
      </c>
      <c r="O409" s="69">
        <f t="shared" si="14"/>
        <v>0</v>
      </c>
      <c r="P409" s="70">
        <v>5</v>
      </c>
      <c r="Q409" s="70"/>
      <c r="R409" s="70">
        <v>5</v>
      </c>
      <c r="S409" s="68" t="str">
        <f t="shared" si="15"/>
        <v/>
      </c>
      <c r="T409" s="68"/>
      <c r="U409" s="95"/>
      <c r="V409" s="68"/>
      <c r="W409" s="6"/>
      <c r="X409" s="10"/>
      <c r="Y409" s="71">
        <f t="shared" si="16"/>
        <v>5</v>
      </c>
      <c r="Z409" s="73">
        <f t="shared" si="17"/>
        <v>5</v>
      </c>
      <c r="AA409" s="73">
        <f t="shared" si="18"/>
        <v>0</v>
      </c>
      <c r="AB409" s="11" t="str">
        <f t="shared" si="19"/>
        <v/>
      </c>
      <c r="AC409" s="73">
        <f t="shared" si="20"/>
        <v>0</v>
      </c>
      <c r="AD409" s="11" t="str">
        <f t="shared" si="21"/>
        <v/>
      </c>
      <c r="AE409" s="73">
        <f t="shared" si="22"/>
        <v>4.0900000000000002E-4</v>
      </c>
      <c r="AF409" s="11" t="str">
        <f t="shared" si="23"/>
        <v/>
      </c>
      <c r="AG409" s="73">
        <f t="shared" si="24"/>
        <v>4.0900000000000002E-4</v>
      </c>
      <c r="AH409" s="11" t="str">
        <f t="shared" si="25"/>
        <v/>
      </c>
    </row>
    <row r="410" spans="1:34" ht="14.25" customHeight="1">
      <c r="A410" s="11">
        <v>395</v>
      </c>
      <c r="B410" s="66"/>
      <c r="C410" s="67"/>
      <c r="D410" s="67"/>
      <c r="E410" s="67"/>
      <c r="F410" s="67"/>
      <c r="G410" s="67" t="s">
        <v>35</v>
      </c>
      <c r="H410" s="67">
        <v>43364</v>
      </c>
      <c r="I410" s="6" t="s">
        <v>989</v>
      </c>
      <c r="J410" s="9">
        <v>2318104458</v>
      </c>
      <c r="K410" s="68">
        <v>43343</v>
      </c>
      <c r="L410" s="68">
        <v>46022</v>
      </c>
      <c r="M410" s="68">
        <v>46203</v>
      </c>
      <c r="N410" s="69">
        <f t="shared" si="13"/>
        <v>5</v>
      </c>
      <c r="O410" s="69">
        <f t="shared" si="14"/>
        <v>1</v>
      </c>
      <c r="P410" s="70">
        <v>1</v>
      </c>
      <c r="Q410" s="70">
        <v>5</v>
      </c>
      <c r="R410" s="70">
        <v>6</v>
      </c>
      <c r="S410" s="68" t="str">
        <f t="shared" si="15"/>
        <v/>
      </c>
      <c r="T410" s="68"/>
      <c r="U410" s="68"/>
      <c r="V410" s="68"/>
      <c r="W410" s="9"/>
      <c r="X410" s="10"/>
      <c r="Y410" s="71">
        <f t="shared" si="16"/>
        <v>5</v>
      </c>
      <c r="Z410" s="73">
        <f t="shared" si="17"/>
        <v>6</v>
      </c>
      <c r="AA410" s="11" t="str">
        <f t="shared" si="18"/>
        <v/>
      </c>
      <c r="AB410" s="73">
        <f t="shared" si="19"/>
        <v>5</v>
      </c>
      <c r="AC410" s="11" t="str">
        <f t="shared" si="20"/>
        <v/>
      </c>
      <c r="AD410" s="73">
        <f t="shared" si="21"/>
        <v>1</v>
      </c>
      <c r="AE410" s="11" t="str">
        <f t="shared" si="22"/>
        <v/>
      </c>
      <c r="AF410" s="73">
        <f t="shared" si="23"/>
        <v>5.0004099999999996</v>
      </c>
      <c r="AG410" s="11" t="str">
        <f t="shared" si="24"/>
        <v/>
      </c>
      <c r="AH410" s="73">
        <f t="shared" si="25"/>
        <v>1.00041</v>
      </c>
    </row>
    <row r="411" spans="1:34" ht="14.25" customHeight="1">
      <c r="A411" s="11">
        <v>396</v>
      </c>
      <c r="B411" s="66"/>
      <c r="C411" s="67"/>
      <c r="D411" s="67"/>
      <c r="E411" s="67"/>
      <c r="F411" s="67"/>
      <c r="G411" s="67" t="s">
        <v>35</v>
      </c>
      <c r="H411" s="67">
        <v>41886</v>
      </c>
      <c r="I411" s="6" t="s">
        <v>990</v>
      </c>
      <c r="J411" s="9">
        <v>2328100912</v>
      </c>
      <c r="K411" s="68">
        <v>41882</v>
      </c>
      <c r="L411" s="68">
        <v>46022</v>
      </c>
      <c r="M411" s="68">
        <v>46203</v>
      </c>
      <c r="N411" s="69">
        <f t="shared" si="13"/>
        <v>50</v>
      </c>
      <c r="O411" s="69">
        <f t="shared" si="14"/>
        <v>-80</v>
      </c>
      <c r="P411" s="70">
        <v>0</v>
      </c>
      <c r="Q411" s="70">
        <v>130</v>
      </c>
      <c r="R411" s="70">
        <v>50</v>
      </c>
      <c r="S411" s="68" t="str">
        <f t="shared" si="15"/>
        <v/>
      </c>
      <c r="T411" s="68"/>
      <c r="U411" s="68"/>
      <c r="V411" s="68"/>
      <c r="W411" s="9"/>
      <c r="X411" s="10"/>
      <c r="Y411" s="71">
        <f t="shared" si="16"/>
        <v>130</v>
      </c>
      <c r="Z411" s="73">
        <f t="shared" si="17"/>
        <v>50</v>
      </c>
      <c r="AA411" s="11" t="str">
        <f t="shared" si="18"/>
        <v/>
      </c>
      <c r="AB411" s="73">
        <f t="shared" si="19"/>
        <v>50</v>
      </c>
      <c r="AC411" s="11" t="str">
        <f t="shared" si="20"/>
        <v/>
      </c>
      <c r="AD411" s="73">
        <f t="shared" si="21"/>
        <v>-80</v>
      </c>
      <c r="AE411" s="11" t="str">
        <f t="shared" si="22"/>
        <v/>
      </c>
      <c r="AF411" s="73">
        <f t="shared" si="23"/>
        <v>50.000411</v>
      </c>
      <c r="AG411" s="11" t="str">
        <f t="shared" si="24"/>
        <v/>
      </c>
      <c r="AH411" s="73">
        <f t="shared" si="25"/>
        <v>-79.999589</v>
      </c>
    </row>
    <row r="412" spans="1:34" ht="14.25" customHeight="1">
      <c r="A412" s="11">
        <v>397</v>
      </c>
      <c r="B412" s="66"/>
      <c r="C412" s="67"/>
      <c r="D412" s="67"/>
      <c r="E412" s="67"/>
      <c r="F412" s="67"/>
      <c r="G412" s="67" t="s">
        <v>35</v>
      </c>
      <c r="H412" s="67">
        <v>45681</v>
      </c>
      <c r="I412" s="6" t="s">
        <v>991</v>
      </c>
      <c r="J412" s="9">
        <v>2328801638</v>
      </c>
      <c r="K412" s="68">
        <v>45657</v>
      </c>
      <c r="L412" s="68">
        <v>46022</v>
      </c>
      <c r="M412" s="68">
        <v>46203</v>
      </c>
      <c r="N412" s="69">
        <f t="shared" si="13"/>
        <v>4</v>
      </c>
      <c r="O412" s="69">
        <f t="shared" si="14"/>
        <v>1</v>
      </c>
      <c r="P412" s="70">
        <v>10</v>
      </c>
      <c r="Q412" s="70">
        <v>13</v>
      </c>
      <c r="R412" s="70">
        <v>14</v>
      </c>
      <c r="S412" s="68" t="str">
        <f t="shared" si="15"/>
        <v/>
      </c>
      <c r="T412" s="68"/>
      <c r="U412" s="68"/>
      <c r="V412" s="68"/>
      <c r="W412" s="9"/>
      <c r="X412" s="10"/>
      <c r="Y412" s="71">
        <f t="shared" si="16"/>
        <v>13</v>
      </c>
      <c r="Z412" s="73">
        <f t="shared" si="17"/>
        <v>14</v>
      </c>
      <c r="AA412" s="11" t="str">
        <f t="shared" si="18"/>
        <v/>
      </c>
      <c r="AB412" s="73">
        <f t="shared" si="19"/>
        <v>4</v>
      </c>
      <c r="AC412" s="11" t="str">
        <f t="shared" si="20"/>
        <v/>
      </c>
      <c r="AD412" s="73">
        <f t="shared" si="21"/>
        <v>1</v>
      </c>
      <c r="AE412" s="11" t="str">
        <f t="shared" si="22"/>
        <v/>
      </c>
      <c r="AF412" s="73">
        <f t="shared" si="23"/>
        <v>4.0004119999999999</v>
      </c>
      <c r="AG412" s="11" t="str">
        <f t="shared" si="24"/>
        <v/>
      </c>
      <c r="AH412" s="73">
        <f t="shared" si="25"/>
        <v>1.0004120000000001</v>
      </c>
    </row>
    <row r="413" spans="1:34" ht="14.25" customHeight="1">
      <c r="A413" s="11">
        <v>398</v>
      </c>
      <c r="B413" s="66"/>
      <c r="C413" s="67"/>
      <c r="D413" s="67"/>
      <c r="E413" s="67"/>
      <c r="F413" s="67"/>
      <c r="G413" s="67" t="s">
        <v>35</v>
      </c>
      <c r="H413" s="67">
        <v>44838</v>
      </c>
      <c r="I413" s="6" t="s">
        <v>992</v>
      </c>
      <c r="J413" s="9">
        <v>2338802343</v>
      </c>
      <c r="K413" s="68">
        <v>44834</v>
      </c>
      <c r="L413" s="68">
        <v>46022</v>
      </c>
      <c r="M413" s="68">
        <v>46203</v>
      </c>
      <c r="N413" s="69">
        <f t="shared" si="13"/>
        <v>5</v>
      </c>
      <c r="O413" s="69">
        <f t="shared" si="14"/>
        <v>-5</v>
      </c>
      <c r="P413" s="70">
        <v>9</v>
      </c>
      <c r="Q413" s="70">
        <v>19</v>
      </c>
      <c r="R413" s="70">
        <v>14</v>
      </c>
      <c r="S413" s="68" t="str">
        <f t="shared" si="15"/>
        <v/>
      </c>
      <c r="T413" s="68"/>
      <c r="U413" s="68"/>
      <c r="V413" s="68"/>
      <c r="W413" s="9"/>
      <c r="X413" s="10"/>
      <c r="Y413" s="71">
        <f t="shared" si="16"/>
        <v>19</v>
      </c>
      <c r="Z413" s="73">
        <f t="shared" si="17"/>
        <v>14</v>
      </c>
      <c r="AA413" s="11" t="str">
        <f t="shared" si="18"/>
        <v/>
      </c>
      <c r="AB413" s="73">
        <f t="shared" si="19"/>
        <v>5</v>
      </c>
      <c r="AC413" s="11" t="str">
        <f t="shared" si="20"/>
        <v/>
      </c>
      <c r="AD413" s="73">
        <f t="shared" si="21"/>
        <v>-5</v>
      </c>
      <c r="AE413" s="11" t="str">
        <f t="shared" si="22"/>
        <v/>
      </c>
      <c r="AF413" s="73">
        <f t="shared" si="23"/>
        <v>5.000413</v>
      </c>
      <c r="AG413" s="11" t="str">
        <f t="shared" si="24"/>
        <v/>
      </c>
      <c r="AH413" s="73">
        <f t="shared" si="25"/>
        <v>-4.999587</v>
      </c>
    </row>
    <row r="414" spans="1:34" ht="14.25" customHeight="1">
      <c r="A414" s="11">
        <v>399</v>
      </c>
      <c r="B414" s="66"/>
      <c r="C414" s="67"/>
      <c r="D414" s="67"/>
      <c r="E414" s="67"/>
      <c r="F414" s="67"/>
      <c r="G414" s="67" t="s">
        <v>35</v>
      </c>
      <c r="H414" s="67">
        <v>44109</v>
      </c>
      <c r="I414" s="6" t="s">
        <v>993</v>
      </c>
      <c r="J414" s="9">
        <v>2358102321</v>
      </c>
      <c r="K414" s="68">
        <v>44104</v>
      </c>
      <c r="L414" s="68">
        <v>46022</v>
      </c>
      <c r="M414" s="68">
        <v>46203</v>
      </c>
      <c r="N414" s="69">
        <f t="shared" si="13"/>
        <v>43</v>
      </c>
      <c r="O414" s="69">
        <f t="shared" si="14"/>
        <v>-4</v>
      </c>
      <c r="P414" s="78">
        <v>3</v>
      </c>
      <c r="Q414" s="78">
        <v>50</v>
      </c>
      <c r="R414" s="78">
        <v>46</v>
      </c>
      <c r="S414" s="68" t="str">
        <f t="shared" si="15"/>
        <v/>
      </c>
      <c r="T414" s="68"/>
      <c r="U414" s="95"/>
      <c r="V414" s="68"/>
      <c r="W414" s="6"/>
      <c r="X414" s="10" t="s">
        <v>994</v>
      </c>
      <c r="Y414" s="71">
        <f t="shared" si="16"/>
        <v>50</v>
      </c>
      <c r="Z414" s="73">
        <f t="shared" si="17"/>
        <v>46</v>
      </c>
      <c r="AA414" s="11" t="str">
        <f t="shared" si="18"/>
        <v/>
      </c>
      <c r="AB414" s="73">
        <f t="shared" si="19"/>
        <v>43</v>
      </c>
      <c r="AC414" s="11" t="str">
        <f t="shared" si="20"/>
        <v/>
      </c>
      <c r="AD414" s="73">
        <f t="shared" si="21"/>
        <v>-4</v>
      </c>
      <c r="AE414" s="11" t="str">
        <f t="shared" si="22"/>
        <v/>
      </c>
      <c r="AF414" s="73">
        <f t="shared" si="23"/>
        <v>43.000413999999999</v>
      </c>
      <c r="AG414" s="11" t="str">
        <f t="shared" si="24"/>
        <v/>
      </c>
      <c r="AH414" s="73">
        <f t="shared" si="25"/>
        <v>-3.9995859999999999</v>
      </c>
    </row>
    <row r="415" spans="1:34" ht="14.25" customHeight="1">
      <c r="A415" s="11">
        <v>400</v>
      </c>
      <c r="B415" s="66"/>
      <c r="C415" s="67"/>
      <c r="D415" s="67"/>
      <c r="E415" s="67"/>
      <c r="F415" s="67"/>
      <c r="G415" s="67" t="s">
        <v>35</v>
      </c>
      <c r="H415" s="67">
        <v>45772</v>
      </c>
      <c r="I415" s="6" t="s">
        <v>995</v>
      </c>
      <c r="J415" s="9">
        <v>2358703526</v>
      </c>
      <c r="K415" s="68">
        <v>45747</v>
      </c>
      <c r="L415" s="68">
        <v>46022</v>
      </c>
      <c r="M415" s="68">
        <v>46203</v>
      </c>
      <c r="N415" s="69">
        <f t="shared" si="13"/>
        <v>3</v>
      </c>
      <c r="O415" s="69">
        <f t="shared" si="14"/>
        <v>2</v>
      </c>
      <c r="P415" s="123">
        <v>0</v>
      </c>
      <c r="Q415" s="70">
        <v>1</v>
      </c>
      <c r="R415" s="70">
        <v>3</v>
      </c>
      <c r="S415" s="68" t="str">
        <f t="shared" si="15"/>
        <v/>
      </c>
      <c r="T415" s="68"/>
      <c r="U415" s="68"/>
      <c r="V415" s="68"/>
      <c r="W415" s="9"/>
      <c r="X415" s="10"/>
      <c r="Y415" s="71">
        <f t="shared" si="16"/>
        <v>1</v>
      </c>
      <c r="Z415" s="73">
        <f t="shared" si="17"/>
        <v>3</v>
      </c>
      <c r="AA415" s="11" t="str">
        <f t="shared" si="18"/>
        <v/>
      </c>
      <c r="AB415" s="73">
        <f t="shared" si="19"/>
        <v>3</v>
      </c>
      <c r="AC415" s="11" t="str">
        <f t="shared" si="20"/>
        <v/>
      </c>
      <c r="AD415" s="73">
        <f t="shared" si="21"/>
        <v>2</v>
      </c>
      <c r="AE415" s="11" t="str">
        <f t="shared" si="22"/>
        <v/>
      </c>
      <c r="AF415" s="73">
        <f t="shared" si="23"/>
        <v>3.0004149999999998</v>
      </c>
      <c r="AG415" s="11" t="str">
        <f t="shared" si="24"/>
        <v/>
      </c>
      <c r="AH415" s="73">
        <f t="shared" si="25"/>
        <v>2.0004149999999998</v>
      </c>
    </row>
    <row r="416" spans="1:34" ht="14.25" customHeight="1">
      <c r="A416" s="11">
        <v>401</v>
      </c>
      <c r="B416" s="66" t="s">
        <v>24</v>
      </c>
      <c r="C416" s="67">
        <v>42705</v>
      </c>
      <c r="D416" s="67"/>
      <c r="E416" s="67"/>
      <c r="F416" s="67"/>
      <c r="G416" s="67"/>
      <c r="H416" s="67"/>
      <c r="I416" s="6" t="s">
        <v>996</v>
      </c>
      <c r="J416" s="9">
        <v>2368600374</v>
      </c>
      <c r="K416" s="68">
        <v>42704</v>
      </c>
      <c r="L416" s="68" t="s">
        <v>230</v>
      </c>
      <c r="M416" s="68">
        <v>45747</v>
      </c>
      <c r="N416" s="69">
        <f t="shared" si="13"/>
        <v>0</v>
      </c>
      <c r="O416" s="69" t="str">
        <f t="shared" si="14"/>
        <v>N/A</v>
      </c>
      <c r="P416" s="70">
        <v>0</v>
      </c>
      <c r="Q416" s="70"/>
      <c r="R416" s="70">
        <v>0</v>
      </c>
      <c r="S416" s="68">
        <f t="shared" si="15"/>
        <v>45747</v>
      </c>
      <c r="T416" s="68">
        <v>45747</v>
      </c>
      <c r="U416" s="68"/>
      <c r="V416" s="68"/>
      <c r="W416" s="9"/>
      <c r="X416" s="10"/>
      <c r="Y416" s="65" t="str">
        <f t="shared" si="16"/>
        <v/>
      </c>
      <c r="Z416" s="11" t="str">
        <f t="shared" si="17"/>
        <v/>
      </c>
      <c r="AA416" s="73">
        <f t="shared" si="18"/>
        <v>0</v>
      </c>
      <c r="AB416" s="11" t="str">
        <f t="shared" si="19"/>
        <v/>
      </c>
      <c r="AC416" s="11" t="str">
        <f t="shared" si="20"/>
        <v/>
      </c>
      <c r="AD416" s="11" t="str">
        <f t="shared" si="21"/>
        <v/>
      </c>
      <c r="AE416" s="73">
        <f t="shared" si="22"/>
        <v>4.1599999999999997E-4</v>
      </c>
      <c r="AF416" s="11" t="str">
        <f t="shared" si="23"/>
        <v/>
      </c>
      <c r="AG416" s="11" t="str">
        <f t="shared" si="24"/>
        <v/>
      </c>
      <c r="AH416" s="11" t="str">
        <f t="shared" si="25"/>
        <v/>
      </c>
    </row>
    <row r="417" spans="1:34" ht="14.25" customHeight="1">
      <c r="A417" s="11">
        <v>402</v>
      </c>
      <c r="B417" s="66" t="s">
        <v>35</v>
      </c>
      <c r="C417" s="67"/>
      <c r="D417" s="67"/>
      <c r="E417" s="67">
        <v>46113</v>
      </c>
      <c r="F417" s="67"/>
      <c r="G417" s="67" t="s">
        <v>35</v>
      </c>
      <c r="H417" s="67">
        <v>45509</v>
      </c>
      <c r="I417" s="6" t="s">
        <v>997</v>
      </c>
      <c r="J417" s="9">
        <v>2368703233</v>
      </c>
      <c r="K417" s="68">
        <v>45504</v>
      </c>
      <c r="L417" s="68">
        <v>46022</v>
      </c>
      <c r="M417" s="68">
        <v>46203</v>
      </c>
      <c r="N417" s="69">
        <f t="shared" si="13"/>
        <v>24</v>
      </c>
      <c r="O417" s="69">
        <f t="shared" si="14"/>
        <v>6</v>
      </c>
      <c r="P417" s="70">
        <v>2</v>
      </c>
      <c r="Q417" s="70">
        <v>20</v>
      </c>
      <c r="R417" s="70">
        <v>26</v>
      </c>
      <c r="S417" s="68" t="str">
        <f t="shared" si="15"/>
        <v/>
      </c>
      <c r="T417" s="68"/>
      <c r="U417" s="68"/>
      <c r="V417" s="68"/>
      <c r="W417" s="9"/>
      <c r="X417" s="10"/>
      <c r="Y417" s="71">
        <f t="shared" si="16"/>
        <v>20</v>
      </c>
      <c r="Z417" s="73">
        <f t="shared" si="17"/>
        <v>26</v>
      </c>
      <c r="AA417" s="73">
        <f t="shared" si="18"/>
        <v>24</v>
      </c>
      <c r="AB417" s="73">
        <f t="shared" si="19"/>
        <v>24</v>
      </c>
      <c r="AC417" s="73">
        <f t="shared" si="20"/>
        <v>6</v>
      </c>
      <c r="AD417" s="73">
        <f t="shared" si="21"/>
        <v>6</v>
      </c>
      <c r="AE417" s="73">
        <f t="shared" si="22"/>
        <v>24.000416999999999</v>
      </c>
      <c r="AF417" s="73">
        <f t="shared" si="23"/>
        <v>24.000416999999999</v>
      </c>
      <c r="AG417" s="73">
        <f t="shared" si="24"/>
        <v>6.0004169999999997</v>
      </c>
      <c r="AH417" s="73">
        <f t="shared" si="25"/>
        <v>6.0004169999999997</v>
      </c>
    </row>
    <row r="418" spans="1:34" ht="14.25" customHeight="1">
      <c r="A418" s="11">
        <v>403</v>
      </c>
      <c r="B418" s="66"/>
      <c r="C418" s="67"/>
      <c r="D418" s="67"/>
      <c r="E418" s="67"/>
      <c r="F418" s="67"/>
      <c r="G418" s="67" t="s">
        <v>35</v>
      </c>
      <c r="H418" s="67">
        <v>44792</v>
      </c>
      <c r="I418" s="6" t="s">
        <v>998</v>
      </c>
      <c r="J418" s="9">
        <v>2378601468</v>
      </c>
      <c r="K418" s="68">
        <v>44773</v>
      </c>
      <c r="L418" s="68">
        <v>46022</v>
      </c>
      <c r="M418" s="68">
        <v>46203</v>
      </c>
      <c r="N418" s="69">
        <f t="shared" si="13"/>
        <v>-5</v>
      </c>
      <c r="O418" s="69">
        <f t="shared" si="14"/>
        <v>0</v>
      </c>
      <c r="P418" s="70">
        <v>5</v>
      </c>
      <c r="Q418" s="70">
        <v>0</v>
      </c>
      <c r="R418" s="70">
        <v>0</v>
      </c>
      <c r="S418" s="68" t="str">
        <f t="shared" si="15"/>
        <v/>
      </c>
      <c r="T418" s="68"/>
      <c r="U418" s="68"/>
      <c r="V418" s="68"/>
      <c r="W418" s="9"/>
      <c r="X418" s="10"/>
      <c r="Y418" s="71">
        <f t="shared" si="16"/>
        <v>0</v>
      </c>
      <c r="Z418" s="73">
        <f t="shared" si="17"/>
        <v>0</v>
      </c>
      <c r="AA418" s="11" t="str">
        <f t="shared" si="18"/>
        <v/>
      </c>
      <c r="AB418" s="73">
        <f t="shared" si="19"/>
        <v>-5</v>
      </c>
      <c r="AC418" s="11" t="str">
        <f t="shared" si="20"/>
        <v/>
      </c>
      <c r="AD418" s="73">
        <f t="shared" si="21"/>
        <v>0</v>
      </c>
      <c r="AE418" s="11" t="str">
        <f t="shared" si="22"/>
        <v/>
      </c>
      <c r="AF418" s="73">
        <f t="shared" si="23"/>
        <v>-4.9995820000000002</v>
      </c>
      <c r="AG418" s="11" t="str">
        <f t="shared" si="24"/>
        <v/>
      </c>
      <c r="AH418" s="73">
        <f t="shared" si="25"/>
        <v>4.1800000000000002E-4</v>
      </c>
    </row>
    <row r="419" spans="1:34" ht="14.25" customHeight="1">
      <c r="A419" s="11">
        <v>404</v>
      </c>
      <c r="B419" s="66"/>
      <c r="C419" s="67"/>
      <c r="D419" s="67"/>
      <c r="E419" s="67"/>
      <c r="F419" s="67"/>
      <c r="G419" s="67" t="s">
        <v>35</v>
      </c>
      <c r="H419" s="67">
        <v>45444</v>
      </c>
      <c r="I419" s="6" t="s">
        <v>999</v>
      </c>
      <c r="J419" s="9">
        <v>2408102978</v>
      </c>
      <c r="K419" s="68">
        <v>45443</v>
      </c>
      <c r="L419" s="68">
        <v>46022</v>
      </c>
      <c r="M419" s="68">
        <v>46203</v>
      </c>
      <c r="N419" s="69">
        <f t="shared" si="13"/>
        <v>6</v>
      </c>
      <c r="O419" s="69">
        <f t="shared" si="14"/>
        <v>3</v>
      </c>
      <c r="P419" s="70">
        <v>4</v>
      </c>
      <c r="Q419" s="70">
        <v>7</v>
      </c>
      <c r="R419" s="70">
        <v>10</v>
      </c>
      <c r="S419" s="68" t="str">
        <f t="shared" si="15"/>
        <v/>
      </c>
      <c r="T419" s="68"/>
      <c r="U419" s="68"/>
      <c r="V419" s="68"/>
      <c r="W419" s="9"/>
      <c r="X419" s="10"/>
      <c r="Y419" s="71">
        <f t="shared" si="16"/>
        <v>7</v>
      </c>
      <c r="Z419" s="73">
        <f t="shared" si="17"/>
        <v>10</v>
      </c>
      <c r="AA419" s="11" t="str">
        <f t="shared" si="18"/>
        <v/>
      </c>
      <c r="AB419" s="73">
        <f t="shared" si="19"/>
        <v>6</v>
      </c>
      <c r="AC419" s="11" t="str">
        <f t="shared" si="20"/>
        <v/>
      </c>
      <c r="AD419" s="73">
        <f t="shared" si="21"/>
        <v>3</v>
      </c>
      <c r="AE419" s="11" t="str">
        <f t="shared" si="22"/>
        <v/>
      </c>
      <c r="AF419" s="73">
        <f t="shared" si="23"/>
        <v>6.0004189999999999</v>
      </c>
      <c r="AG419" s="11" t="str">
        <f t="shared" si="24"/>
        <v/>
      </c>
      <c r="AH419" s="73">
        <f t="shared" si="25"/>
        <v>3.0004189999999999</v>
      </c>
    </row>
    <row r="420" spans="1:34" ht="14.25" customHeight="1">
      <c r="A420" s="11">
        <v>405</v>
      </c>
      <c r="B420" s="66"/>
      <c r="C420" s="67"/>
      <c r="D420" s="67"/>
      <c r="E420" s="67"/>
      <c r="F420" s="67"/>
      <c r="G420" s="67" t="s">
        <v>35</v>
      </c>
      <c r="H420" s="67">
        <v>44988</v>
      </c>
      <c r="I420" s="6" t="s">
        <v>1000</v>
      </c>
      <c r="J420" s="9">
        <v>2408601727</v>
      </c>
      <c r="K420" s="68">
        <v>44985</v>
      </c>
      <c r="L420" s="68">
        <v>46022</v>
      </c>
      <c r="M420" s="68">
        <v>46203</v>
      </c>
      <c r="N420" s="69">
        <f t="shared" si="13"/>
        <v>-4</v>
      </c>
      <c r="O420" s="69">
        <f t="shared" si="14"/>
        <v>-8</v>
      </c>
      <c r="P420" s="70">
        <v>6</v>
      </c>
      <c r="Q420" s="70">
        <v>10</v>
      </c>
      <c r="R420" s="70">
        <v>2</v>
      </c>
      <c r="S420" s="68" t="str">
        <f t="shared" si="15"/>
        <v/>
      </c>
      <c r="T420" s="68"/>
      <c r="U420" s="68"/>
      <c r="V420" s="68"/>
      <c r="W420" s="9"/>
      <c r="X420" s="10"/>
      <c r="Y420" s="71">
        <f t="shared" si="16"/>
        <v>10</v>
      </c>
      <c r="Z420" s="73">
        <f t="shared" si="17"/>
        <v>2</v>
      </c>
      <c r="AA420" s="11" t="str">
        <f t="shared" si="18"/>
        <v/>
      </c>
      <c r="AB420" s="73">
        <f t="shared" si="19"/>
        <v>-4</v>
      </c>
      <c r="AC420" s="11" t="str">
        <f t="shared" si="20"/>
        <v/>
      </c>
      <c r="AD420" s="73">
        <f t="shared" si="21"/>
        <v>-8</v>
      </c>
      <c r="AE420" s="11" t="str">
        <f t="shared" si="22"/>
        <v/>
      </c>
      <c r="AF420" s="73">
        <f t="shared" si="23"/>
        <v>-3.9995799999999999</v>
      </c>
      <c r="AG420" s="11" t="str">
        <f t="shared" si="24"/>
        <v/>
      </c>
      <c r="AH420" s="73">
        <f t="shared" si="25"/>
        <v>-7.9995799999999999</v>
      </c>
    </row>
    <row r="421" spans="1:34" ht="14.25" customHeight="1">
      <c r="A421" s="11">
        <v>406</v>
      </c>
      <c r="B421" s="66" t="s">
        <v>35</v>
      </c>
      <c r="C421" s="67">
        <v>44363</v>
      </c>
      <c r="D421" s="67"/>
      <c r="E421" s="67"/>
      <c r="F421" s="67"/>
      <c r="G421" s="67"/>
      <c r="H421" s="67"/>
      <c r="I421" s="6" t="s">
        <v>1001</v>
      </c>
      <c r="J421" s="9">
        <v>2418601166</v>
      </c>
      <c r="K421" s="68">
        <v>44347</v>
      </c>
      <c r="L421" s="68">
        <v>46022</v>
      </c>
      <c r="M421" s="68">
        <v>46203</v>
      </c>
      <c r="N421" s="69">
        <f t="shared" si="13"/>
        <v>-9</v>
      </c>
      <c r="O421" s="69">
        <f t="shared" si="14"/>
        <v>1</v>
      </c>
      <c r="P421" s="70">
        <v>13</v>
      </c>
      <c r="Q421" s="70">
        <v>3</v>
      </c>
      <c r="R421" s="70">
        <v>4</v>
      </c>
      <c r="S421" s="68" t="str">
        <f t="shared" si="15"/>
        <v/>
      </c>
      <c r="T421" s="68"/>
      <c r="U421" s="68"/>
      <c r="V421" s="68"/>
      <c r="W421" s="9"/>
      <c r="X421" s="10"/>
      <c r="Y421" s="71">
        <f t="shared" si="16"/>
        <v>3</v>
      </c>
      <c r="Z421" s="73">
        <f t="shared" si="17"/>
        <v>4</v>
      </c>
      <c r="AA421" s="73">
        <f t="shared" si="18"/>
        <v>-9</v>
      </c>
      <c r="AB421" s="11" t="str">
        <f t="shared" si="19"/>
        <v/>
      </c>
      <c r="AC421" s="73">
        <f t="shared" si="20"/>
        <v>1</v>
      </c>
      <c r="AD421" s="11" t="str">
        <f t="shared" si="21"/>
        <v/>
      </c>
      <c r="AE421" s="73">
        <f t="shared" si="22"/>
        <v>-8.9995790000000007</v>
      </c>
      <c r="AF421" s="11" t="str">
        <f t="shared" si="23"/>
        <v/>
      </c>
      <c r="AG421" s="73">
        <f t="shared" si="24"/>
        <v>1.000421</v>
      </c>
      <c r="AH421" s="11" t="str">
        <f t="shared" si="25"/>
        <v/>
      </c>
    </row>
    <row r="422" spans="1:34" ht="14.25" customHeight="1">
      <c r="A422" s="11">
        <v>407</v>
      </c>
      <c r="B422" s="66"/>
      <c r="C422" s="67"/>
      <c r="D422" s="67"/>
      <c r="E422" s="67"/>
      <c r="F422" s="67"/>
      <c r="G422" s="67" t="s">
        <v>35</v>
      </c>
      <c r="H422" s="67">
        <v>44057</v>
      </c>
      <c r="I422" s="6" t="s">
        <v>1002</v>
      </c>
      <c r="J422" s="9">
        <v>2438601105</v>
      </c>
      <c r="K422" s="68">
        <v>44043</v>
      </c>
      <c r="L422" s="68">
        <v>46022</v>
      </c>
      <c r="M422" s="68">
        <v>46203</v>
      </c>
      <c r="N422" s="69">
        <f t="shared" si="13"/>
        <v>-2</v>
      </c>
      <c r="O422" s="69">
        <f t="shared" si="14"/>
        <v>0</v>
      </c>
      <c r="P422" s="70">
        <v>3</v>
      </c>
      <c r="Q422" s="70">
        <v>1</v>
      </c>
      <c r="R422" s="70">
        <v>1</v>
      </c>
      <c r="S422" s="68" t="str">
        <f t="shared" si="15"/>
        <v/>
      </c>
      <c r="T422" s="68"/>
      <c r="U422" s="68"/>
      <c r="V422" s="68"/>
      <c r="W422" s="9"/>
      <c r="X422" s="10"/>
      <c r="Y422" s="71">
        <f t="shared" si="16"/>
        <v>1</v>
      </c>
      <c r="Z422" s="73">
        <f t="shared" si="17"/>
        <v>1</v>
      </c>
      <c r="AA422" s="11" t="str">
        <f t="shared" si="18"/>
        <v/>
      </c>
      <c r="AB422" s="73">
        <f t="shared" si="19"/>
        <v>-2</v>
      </c>
      <c r="AC422" s="11" t="str">
        <f t="shared" si="20"/>
        <v/>
      </c>
      <c r="AD422" s="73">
        <f t="shared" si="21"/>
        <v>0</v>
      </c>
      <c r="AE422" s="11" t="str">
        <f t="shared" si="22"/>
        <v/>
      </c>
      <c r="AF422" s="73">
        <f t="shared" si="23"/>
        <v>-1.9995780000000001</v>
      </c>
      <c r="AG422" s="11" t="str">
        <f t="shared" si="24"/>
        <v/>
      </c>
      <c r="AH422" s="73">
        <f t="shared" si="25"/>
        <v>4.2200000000000001E-4</v>
      </c>
    </row>
    <row r="423" spans="1:34" ht="14.25" customHeight="1">
      <c r="A423" s="11">
        <v>408</v>
      </c>
      <c r="B423" s="66" t="s">
        <v>35</v>
      </c>
      <c r="C423" s="67">
        <v>45931</v>
      </c>
      <c r="D423" s="67">
        <v>45918</v>
      </c>
      <c r="E423" s="67">
        <v>45944</v>
      </c>
      <c r="F423" s="67"/>
      <c r="G423" s="67" t="s">
        <v>35</v>
      </c>
      <c r="H423" s="67">
        <v>45548</v>
      </c>
      <c r="I423" s="6" t="s">
        <v>1003</v>
      </c>
      <c r="J423" s="9">
        <v>2438702926</v>
      </c>
      <c r="K423" s="68">
        <v>45535</v>
      </c>
      <c r="L423" s="68">
        <v>46022</v>
      </c>
      <c r="M423" s="68">
        <v>46203</v>
      </c>
      <c r="N423" s="69">
        <f t="shared" si="13"/>
        <v>9</v>
      </c>
      <c r="O423" s="69">
        <f t="shared" si="14"/>
        <v>-5</v>
      </c>
      <c r="P423" s="70">
        <v>13</v>
      </c>
      <c r="Q423" s="70">
        <v>27</v>
      </c>
      <c r="R423" s="70">
        <v>22</v>
      </c>
      <c r="S423" s="68" t="str">
        <f t="shared" si="15"/>
        <v/>
      </c>
      <c r="T423" s="68"/>
      <c r="U423" s="68"/>
      <c r="V423" s="68"/>
      <c r="W423" s="9"/>
      <c r="X423" s="10"/>
      <c r="Y423" s="71">
        <f t="shared" si="16"/>
        <v>27</v>
      </c>
      <c r="Z423" s="73">
        <f t="shared" si="17"/>
        <v>22</v>
      </c>
      <c r="AA423" s="73">
        <f t="shared" si="18"/>
        <v>9</v>
      </c>
      <c r="AB423" s="73">
        <f t="shared" si="19"/>
        <v>9</v>
      </c>
      <c r="AC423" s="73">
        <f t="shared" si="20"/>
        <v>-5</v>
      </c>
      <c r="AD423" s="73">
        <f t="shared" si="21"/>
        <v>-5</v>
      </c>
      <c r="AE423" s="73">
        <f t="shared" si="22"/>
        <v>9.0004229999999996</v>
      </c>
      <c r="AF423" s="73">
        <f t="shared" si="23"/>
        <v>9.0004229999999996</v>
      </c>
      <c r="AG423" s="73">
        <f t="shared" si="24"/>
        <v>-4.9995770000000004</v>
      </c>
      <c r="AH423" s="73">
        <f t="shared" si="25"/>
        <v>-4.9995770000000004</v>
      </c>
    </row>
    <row r="424" spans="1:34" ht="14.25" customHeight="1">
      <c r="A424" s="11">
        <v>409</v>
      </c>
      <c r="B424" s="66"/>
      <c r="C424" s="67"/>
      <c r="D424" s="67"/>
      <c r="E424" s="67"/>
      <c r="F424" s="67"/>
      <c r="G424" s="67" t="s">
        <v>35</v>
      </c>
      <c r="H424" s="67">
        <v>45979</v>
      </c>
      <c r="I424" s="6" t="s">
        <v>1004</v>
      </c>
      <c r="J424" s="94">
        <v>2448101893</v>
      </c>
      <c r="K424" s="68">
        <v>45961</v>
      </c>
      <c r="L424" s="68">
        <v>46022</v>
      </c>
      <c r="M424" s="68">
        <v>46203</v>
      </c>
      <c r="N424" s="69">
        <f t="shared" si="13"/>
        <v>6</v>
      </c>
      <c r="O424" s="69">
        <f t="shared" si="14"/>
        <v>5</v>
      </c>
      <c r="P424" s="70">
        <v>23</v>
      </c>
      <c r="Q424" s="70">
        <v>24</v>
      </c>
      <c r="R424" s="70">
        <v>29</v>
      </c>
      <c r="S424" s="68" t="str">
        <f t="shared" si="15"/>
        <v/>
      </c>
      <c r="T424" s="68"/>
      <c r="U424" s="95"/>
      <c r="V424" s="68"/>
      <c r="W424" s="6"/>
      <c r="X424" s="10"/>
      <c r="Y424" s="71">
        <f t="shared" si="16"/>
        <v>24</v>
      </c>
      <c r="Z424" s="73">
        <f t="shared" si="17"/>
        <v>29</v>
      </c>
      <c r="AA424" s="11" t="str">
        <f t="shared" si="18"/>
        <v/>
      </c>
      <c r="AB424" s="73">
        <f t="shared" si="19"/>
        <v>6</v>
      </c>
      <c r="AC424" s="11" t="str">
        <f t="shared" si="20"/>
        <v/>
      </c>
      <c r="AD424" s="73">
        <f t="shared" si="21"/>
        <v>5</v>
      </c>
      <c r="AE424" s="11" t="str">
        <f t="shared" si="22"/>
        <v/>
      </c>
      <c r="AF424" s="73">
        <f t="shared" si="23"/>
        <v>6.0004239999999998</v>
      </c>
      <c r="AG424" s="11" t="str">
        <f t="shared" si="24"/>
        <v/>
      </c>
      <c r="AH424" s="73">
        <f t="shared" si="25"/>
        <v>5.0004239999999998</v>
      </c>
    </row>
    <row r="425" spans="1:34" ht="14.25" customHeight="1">
      <c r="A425" s="11">
        <v>410</v>
      </c>
      <c r="B425" s="66" t="s">
        <v>24</v>
      </c>
      <c r="C425" s="67">
        <v>42767</v>
      </c>
      <c r="D425" s="67"/>
      <c r="E425" s="67"/>
      <c r="F425" s="67"/>
      <c r="G425" s="67" t="s">
        <v>24</v>
      </c>
      <c r="H425" s="67">
        <v>42930</v>
      </c>
      <c r="I425" s="6" t="s">
        <v>1005</v>
      </c>
      <c r="J425" s="9">
        <v>2448700426</v>
      </c>
      <c r="K425" s="68">
        <v>42766</v>
      </c>
      <c r="L425" s="68" t="s">
        <v>230</v>
      </c>
      <c r="M425" s="68">
        <v>43921</v>
      </c>
      <c r="N425" s="69">
        <f t="shared" si="13"/>
        <v>-3</v>
      </c>
      <c r="O425" s="69" t="str">
        <f t="shared" si="14"/>
        <v>N/A</v>
      </c>
      <c r="P425" s="70">
        <v>3</v>
      </c>
      <c r="Q425" s="70"/>
      <c r="R425" s="70">
        <v>0</v>
      </c>
      <c r="S425" s="68">
        <f t="shared" si="15"/>
        <v>43921</v>
      </c>
      <c r="T425" s="68">
        <v>43921</v>
      </c>
      <c r="U425" s="68"/>
      <c r="V425" s="68"/>
      <c r="W425" s="9"/>
      <c r="X425" s="10"/>
      <c r="Y425" s="65" t="str">
        <f t="shared" si="16"/>
        <v/>
      </c>
      <c r="Z425" s="11" t="str">
        <f t="shared" si="17"/>
        <v/>
      </c>
      <c r="AA425" s="73">
        <f t="shared" si="18"/>
        <v>-3</v>
      </c>
      <c r="AB425" s="73">
        <f t="shared" si="19"/>
        <v>-3</v>
      </c>
      <c r="AC425" s="11" t="str">
        <f t="shared" si="20"/>
        <v/>
      </c>
      <c r="AD425" s="11" t="str">
        <f t="shared" si="21"/>
        <v/>
      </c>
      <c r="AE425" s="73">
        <f t="shared" si="22"/>
        <v>-2.9995750000000001</v>
      </c>
      <c r="AF425" s="73">
        <f t="shared" si="23"/>
        <v>-2.9995750000000001</v>
      </c>
      <c r="AG425" s="11" t="str">
        <f t="shared" si="24"/>
        <v/>
      </c>
      <c r="AH425" s="11" t="str">
        <f t="shared" si="25"/>
        <v/>
      </c>
    </row>
    <row r="426" spans="1:34" ht="14.25" customHeight="1">
      <c r="A426" s="11">
        <v>411</v>
      </c>
      <c r="B426" s="66" t="s">
        <v>35</v>
      </c>
      <c r="C426" s="67">
        <v>44442</v>
      </c>
      <c r="D426" s="67">
        <v>44616</v>
      </c>
      <c r="E426" s="67"/>
      <c r="F426" s="67"/>
      <c r="G426" s="67" t="s">
        <v>35</v>
      </c>
      <c r="H426" s="67">
        <v>44589</v>
      </c>
      <c r="I426" s="6" t="s">
        <v>1006</v>
      </c>
      <c r="J426" s="9">
        <v>2458101708</v>
      </c>
      <c r="K426" s="68">
        <v>44439</v>
      </c>
      <c r="L426" s="68">
        <v>46022</v>
      </c>
      <c r="M426" s="68">
        <v>46203</v>
      </c>
      <c r="N426" s="69">
        <f t="shared" si="13"/>
        <v>114</v>
      </c>
      <c r="O426" s="69">
        <f t="shared" si="14"/>
        <v>-1</v>
      </c>
      <c r="P426" s="70">
        <v>10</v>
      </c>
      <c r="Q426" s="70">
        <v>125</v>
      </c>
      <c r="R426" s="70">
        <v>124</v>
      </c>
      <c r="S426" s="68" t="str">
        <f t="shared" si="15"/>
        <v/>
      </c>
      <c r="T426" s="68"/>
      <c r="U426" s="68"/>
      <c r="V426" s="68"/>
      <c r="W426" s="9"/>
      <c r="X426" s="10"/>
      <c r="Y426" s="71">
        <f t="shared" si="16"/>
        <v>125</v>
      </c>
      <c r="Z426" s="73">
        <f t="shared" si="17"/>
        <v>124</v>
      </c>
      <c r="AA426" s="73">
        <f t="shared" si="18"/>
        <v>114</v>
      </c>
      <c r="AB426" s="73">
        <f t="shared" si="19"/>
        <v>114</v>
      </c>
      <c r="AC426" s="73">
        <f t="shared" si="20"/>
        <v>-1</v>
      </c>
      <c r="AD426" s="73">
        <f t="shared" si="21"/>
        <v>-1</v>
      </c>
      <c r="AE426" s="73">
        <f t="shared" si="22"/>
        <v>114.000426</v>
      </c>
      <c r="AF426" s="73">
        <f t="shared" si="23"/>
        <v>114.000426</v>
      </c>
      <c r="AG426" s="73">
        <f t="shared" si="24"/>
        <v>-0.99957399999999996</v>
      </c>
      <c r="AH426" s="73">
        <f t="shared" si="25"/>
        <v>-0.99957399999999996</v>
      </c>
    </row>
    <row r="427" spans="1:34" ht="14.25" customHeight="1">
      <c r="A427" s="11">
        <v>412</v>
      </c>
      <c r="B427" s="66" t="s">
        <v>35</v>
      </c>
      <c r="C427" s="67">
        <v>45839</v>
      </c>
      <c r="D427" s="67"/>
      <c r="E427" s="67"/>
      <c r="F427" s="67"/>
      <c r="G427" s="67" t="s">
        <v>35</v>
      </c>
      <c r="H427" s="67">
        <v>45989</v>
      </c>
      <c r="I427" s="6" t="s">
        <v>1007</v>
      </c>
      <c r="J427" s="9">
        <v>2458602885</v>
      </c>
      <c r="K427" s="68">
        <v>45838</v>
      </c>
      <c r="L427" s="68">
        <v>46022</v>
      </c>
      <c r="M427" s="68">
        <v>46203</v>
      </c>
      <c r="N427" s="69">
        <f t="shared" si="13"/>
        <v>16</v>
      </c>
      <c r="O427" s="69">
        <f t="shared" si="14"/>
        <v>11</v>
      </c>
      <c r="P427" s="70">
        <v>32</v>
      </c>
      <c r="Q427" s="70">
        <v>37</v>
      </c>
      <c r="R427" s="70">
        <v>48</v>
      </c>
      <c r="S427" s="68" t="str">
        <f t="shared" si="15"/>
        <v/>
      </c>
      <c r="T427" s="68"/>
      <c r="U427" s="68"/>
      <c r="V427" s="68"/>
      <c r="W427" s="9"/>
      <c r="X427" s="10"/>
      <c r="Y427" s="71">
        <f t="shared" si="16"/>
        <v>37</v>
      </c>
      <c r="Z427" s="73">
        <f t="shared" si="17"/>
        <v>48</v>
      </c>
      <c r="AA427" s="73">
        <f t="shared" si="18"/>
        <v>16</v>
      </c>
      <c r="AB427" s="73">
        <f t="shared" si="19"/>
        <v>16</v>
      </c>
      <c r="AC427" s="73">
        <f t="shared" si="20"/>
        <v>11</v>
      </c>
      <c r="AD427" s="73">
        <f t="shared" si="21"/>
        <v>11</v>
      </c>
      <c r="AE427" s="73">
        <f t="shared" si="22"/>
        <v>16.000426999999998</v>
      </c>
      <c r="AF427" s="73">
        <f t="shared" si="23"/>
        <v>16.000426999999998</v>
      </c>
      <c r="AG427" s="73">
        <f t="shared" si="24"/>
        <v>11.000427</v>
      </c>
      <c r="AH427" s="73">
        <f t="shared" si="25"/>
        <v>11.000427</v>
      </c>
    </row>
    <row r="428" spans="1:34" ht="14.25" customHeight="1">
      <c r="A428" s="11">
        <v>413</v>
      </c>
      <c r="B428" s="66"/>
      <c r="C428" s="67"/>
      <c r="D428" s="67"/>
      <c r="E428" s="67"/>
      <c r="F428" s="67"/>
      <c r="G428" s="67" t="s">
        <v>35</v>
      </c>
      <c r="H428" s="67">
        <v>45282</v>
      </c>
      <c r="I428" s="6" t="s">
        <v>1008</v>
      </c>
      <c r="J428" s="9">
        <v>2458701001</v>
      </c>
      <c r="K428" s="68">
        <v>45260</v>
      </c>
      <c r="L428" s="68">
        <v>46022</v>
      </c>
      <c r="M428" s="68">
        <v>46203</v>
      </c>
      <c r="N428" s="69">
        <f t="shared" si="13"/>
        <v>6</v>
      </c>
      <c r="O428" s="69">
        <f t="shared" si="14"/>
        <v>-1</v>
      </c>
      <c r="P428" s="70">
        <v>24</v>
      </c>
      <c r="Q428" s="70">
        <v>31</v>
      </c>
      <c r="R428" s="70">
        <v>30</v>
      </c>
      <c r="S428" s="68" t="str">
        <f t="shared" si="15"/>
        <v/>
      </c>
      <c r="T428" s="68"/>
      <c r="U428" s="68"/>
      <c r="V428" s="68"/>
      <c r="W428" s="9"/>
      <c r="X428" s="10"/>
      <c r="Y428" s="71">
        <f t="shared" si="16"/>
        <v>31</v>
      </c>
      <c r="Z428" s="73">
        <f t="shared" si="17"/>
        <v>30</v>
      </c>
      <c r="AA428" s="11" t="str">
        <f t="shared" si="18"/>
        <v/>
      </c>
      <c r="AB428" s="73">
        <f t="shared" si="19"/>
        <v>6</v>
      </c>
      <c r="AC428" s="11" t="str">
        <f t="shared" si="20"/>
        <v/>
      </c>
      <c r="AD428" s="73">
        <f t="shared" si="21"/>
        <v>-1</v>
      </c>
      <c r="AE428" s="11" t="str">
        <f t="shared" si="22"/>
        <v/>
      </c>
      <c r="AF428" s="73">
        <f t="shared" si="23"/>
        <v>6.0004280000000003</v>
      </c>
      <c r="AG428" s="11" t="str">
        <f t="shared" si="24"/>
        <v/>
      </c>
      <c r="AH428" s="73">
        <f t="shared" si="25"/>
        <v>-0.99957200000000002</v>
      </c>
    </row>
    <row r="429" spans="1:34" ht="14.25" customHeight="1">
      <c r="A429" s="11">
        <v>414</v>
      </c>
      <c r="B429" s="66"/>
      <c r="C429" s="67"/>
      <c r="D429" s="67"/>
      <c r="E429" s="67"/>
      <c r="F429" s="67"/>
      <c r="G429" s="67" t="s">
        <v>35</v>
      </c>
      <c r="H429" s="67">
        <v>45324</v>
      </c>
      <c r="I429" s="6" t="s">
        <v>1009</v>
      </c>
      <c r="J429" s="9">
        <v>2458703197</v>
      </c>
      <c r="K429" s="68">
        <v>45322</v>
      </c>
      <c r="L429" s="68">
        <v>46022</v>
      </c>
      <c r="M429" s="68">
        <v>46203</v>
      </c>
      <c r="N429" s="69">
        <f t="shared" si="13"/>
        <v>2</v>
      </c>
      <c r="O429" s="69">
        <f t="shared" si="14"/>
        <v>1</v>
      </c>
      <c r="P429" s="70">
        <v>3</v>
      </c>
      <c r="Q429" s="70">
        <v>4</v>
      </c>
      <c r="R429" s="70">
        <v>5</v>
      </c>
      <c r="S429" s="68" t="str">
        <f t="shared" si="15"/>
        <v/>
      </c>
      <c r="T429" s="68"/>
      <c r="U429" s="68"/>
      <c r="V429" s="68"/>
      <c r="W429" s="9"/>
      <c r="X429" s="10"/>
      <c r="Y429" s="71">
        <f t="shared" si="16"/>
        <v>4</v>
      </c>
      <c r="Z429" s="73">
        <f t="shared" si="17"/>
        <v>5</v>
      </c>
      <c r="AA429" s="11" t="str">
        <f t="shared" si="18"/>
        <v/>
      </c>
      <c r="AB429" s="73">
        <f t="shared" si="19"/>
        <v>2</v>
      </c>
      <c r="AC429" s="11" t="str">
        <f t="shared" si="20"/>
        <v/>
      </c>
      <c r="AD429" s="73">
        <f t="shared" si="21"/>
        <v>1</v>
      </c>
      <c r="AE429" s="11" t="str">
        <f t="shared" si="22"/>
        <v/>
      </c>
      <c r="AF429" s="73">
        <f t="shared" si="23"/>
        <v>2.000429</v>
      </c>
      <c r="AG429" s="11" t="str">
        <f t="shared" si="24"/>
        <v/>
      </c>
      <c r="AH429" s="73">
        <f t="shared" si="25"/>
        <v>1.000429</v>
      </c>
    </row>
    <row r="430" spans="1:34" ht="14.25" customHeight="1">
      <c r="A430" s="11">
        <v>415</v>
      </c>
      <c r="B430" s="66" t="s">
        <v>35</v>
      </c>
      <c r="C430" s="67">
        <v>44805</v>
      </c>
      <c r="D430" s="67">
        <v>44277</v>
      </c>
      <c r="E430" s="67"/>
      <c r="F430" s="67"/>
      <c r="G430" s="67" t="s">
        <v>35</v>
      </c>
      <c r="H430" s="67">
        <v>43165</v>
      </c>
      <c r="I430" s="6" t="s">
        <v>1010</v>
      </c>
      <c r="J430" s="9">
        <v>2468100740</v>
      </c>
      <c r="K430" s="68">
        <v>43159</v>
      </c>
      <c r="L430" s="68">
        <v>46022</v>
      </c>
      <c r="M430" s="68">
        <v>46203</v>
      </c>
      <c r="N430" s="69">
        <f t="shared" si="13"/>
        <v>-1</v>
      </c>
      <c r="O430" s="69">
        <f t="shared" si="14"/>
        <v>-3</v>
      </c>
      <c r="P430" s="70">
        <v>7</v>
      </c>
      <c r="Q430" s="70">
        <v>9</v>
      </c>
      <c r="R430" s="70">
        <v>6</v>
      </c>
      <c r="S430" s="68" t="str">
        <f t="shared" si="15"/>
        <v/>
      </c>
      <c r="T430" s="68"/>
      <c r="U430" s="68"/>
      <c r="V430" s="68"/>
      <c r="W430" s="9"/>
      <c r="X430" s="10"/>
      <c r="Y430" s="71">
        <f t="shared" si="16"/>
        <v>9</v>
      </c>
      <c r="Z430" s="73">
        <f t="shared" si="17"/>
        <v>6</v>
      </c>
      <c r="AA430" s="73">
        <f t="shared" si="18"/>
        <v>-1</v>
      </c>
      <c r="AB430" s="73">
        <f t="shared" si="19"/>
        <v>-1</v>
      </c>
      <c r="AC430" s="73">
        <f t="shared" si="20"/>
        <v>-3</v>
      </c>
      <c r="AD430" s="73">
        <f t="shared" si="21"/>
        <v>-3</v>
      </c>
      <c r="AE430" s="73">
        <f t="shared" si="22"/>
        <v>-0.99956999999999996</v>
      </c>
      <c r="AF430" s="73">
        <f t="shared" si="23"/>
        <v>-0.99956999999999996</v>
      </c>
      <c r="AG430" s="73">
        <f t="shared" si="24"/>
        <v>-2.9995699999999998</v>
      </c>
      <c r="AH430" s="73">
        <f t="shared" si="25"/>
        <v>-2.9995699999999998</v>
      </c>
    </row>
    <row r="431" spans="1:34" ht="14.25" customHeight="1">
      <c r="A431" s="11">
        <v>416</v>
      </c>
      <c r="B431" s="66"/>
      <c r="C431" s="67"/>
      <c r="D431" s="67"/>
      <c r="E431" s="67"/>
      <c r="F431" s="67"/>
      <c r="G431" s="67" t="s">
        <v>35</v>
      </c>
      <c r="H431" s="67">
        <v>44876</v>
      </c>
      <c r="I431" s="6" t="s">
        <v>1011</v>
      </c>
      <c r="J431" s="9">
        <v>2468802316</v>
      </c>
      <c r="K431" s="68">
        <v>44865</v>
      </c>
      <c r="L431" s="68">
        <v>46022</v>
      </c>
      <c r="M431" s="68">
        <v>46203</v>
      </c>
      <c r="N431" s="69">
        <f t="shared" si="13"/>
        <v>15</v>
      </c>
      <c r="O431" s="69">
        <f t="shared" si="14"/>
        <v>12</v>
      </c>
      <c r="P431" s="70">
        <v>8</v>
      </c>
      <c r="Q431" s="70">
        <v>11</v>
      </c>
      <c r="R431" s="70">
        <v>23</v>
      </c>
      <c r="S431" s="68" t="str">
        <f t="shared" si="15"/>
        <v/>
      </c>
      <c r="T431" s="68"/>
      <c r="U431" s="68"/>
      <c r="V431" s="68"/>
      <c r="W431" s="9"/>
      <c r="X431" s="10"/>
      <c r="Y431" s="71">
        <f t="shared" si="16"/>
        <v>11</v>
      </c>
      <c r="Z431" s="73">
        <f t="shared" si="17"/>
        <v>23</v>
      </c>
      <c r="AA431" s="11" t="str">
        <f t="shared" si="18"/>
        <v/>
      </c>
      <c r="AB431" s="73">
        <f t="shared" si="19"/>
        <v>15</v>
      </c>
      <c r="AC431" s="11" t="str">
        <f t="shared" si="20"/>
        <v/>
      </c>
      <c r="AD431" s="73">
        <f t="shared" si="21"/>
        <v>12</v>
      </c>
      <c r="AE431" s="11" t="str">
        <f t="shared" si="22"/>
        <v/>
      </c>
      <c r="AF431" s="73">
        <f t="shared" si="23"/>
        <v>15.000431000000001</v>
      </c>
      <c r="AG431" s="11" t="str">
        <f t="shared" si="24"/>
        <v/>
      </c>
      <c r="AH431" s="73">
        <f t="shared" si="25"/>
        <v>12.000431000000001</v>
      </c>
    </row>
    <row r="432" spans="1:34" ht="14.25" customHeight="1">
      <c r="A432" s="11">
        <v>417</v>
      </c>
      <c r="B432" s="66"/>
      <c r="C432" s="67"/>
      <c r="D432" s="67"/>
      <c r="E432" s="67"/>
      <c r="F432" s="67"/>
      <c r="G432" s="67" t="s">
        <v>35</v>
      </c>
      <c r="H432" s="67">
        <v>44184</v>
      </c>
      <c r="I432" s="6" t="s">
        <v>1012</v>
      </c>
      <c r="J432" s="9">
        <v>2478102149</v>
      </c>
      <c r="K432" s="68">
        <v>44165</v>
      </c>
      <c r="L432" s="68">
        <v>46022</v>
      </c>
      <c r="M432" s="68">
        <v>46203</v>
      </c>
      <c r="N432" s="69">
        <f t="shared" si="13"/>
        <v>2</v>
      </c>
      <c r="O432" s="69">
        <f t="shared" si="14"/>
        <v>-1</v>
      </c>
      <c r="P432" s="70">
        <v>0</v>
      </c>
      <c r="Q432" s="70">
        <v>3</v>
      </c>
      <c r="R432" s="70">
        <v>2</v>
      </c>
      <c r="S432" s="68" t="str">
        <f t="shared" si="15"/>
        <v/>
      </c>
      <c r="T432" s="68"/>
      <c r="U432" s="68"/>
      <c r="V432" s="68"/>
      <c r="W432" s="9"/>
      <c r="X432" s="10"/>
      <c r="Y432" s="71">
        <f t="shared" si="16"/>
        <v>3</v>
      </c>
      <c r="Z432" s="73">
        <f t="shared" si="17"/>
        <v>2</v>
      </c>
      <c r="AA432" s="11" t="str">
        <f t="shared" si="18"/>
        <v/>
      </c>
      <c r="AB432" s="73">
        <f t="shared" si="19"/>
        <v>2</v>
      </c>
      <c r="AC432" s="11" t="str">
        <f t="shared" si="20"/>
        <v/>
      </c>
      <c r="AD432" s="73">
        <f t="shared" si="21"/>
        <v>-1</v>
      </c>
      <c r="AE432" s="11" t="str">
        <f t="shared" si="22"/>
        <v/>
      </c>
      <c r="AF432" s="73">
        <f t="shared" si="23"/>
        <v>2.000432</v>
      </c>
      <c r="AG432" s="11" t="str">
        <f t="shared" si="24"/>
        <v/>
      </c>
      <c r="AH432" s="73">
        <f t="shared" si="25"/>
        <v>-0.99956800000000001</v>
      </c>
    </row>
    <row r="433" spans="1:34" ht="14.25" customHeight="1">
      <c r="A433" s="11">
        <v>418</v>
      </c>
      <c r="B433" s="66" t="s">
        <v>1013</v>
      </c>
      <c r="C433" s="67">
        <v>45170</v>
      </c>
      <c r="D433" s="67">
        <v>44694</v>
      </c>
      <c r="E433" s="67"/>
      <c r="F433" s="67"/>
      <c r="G433" s="67" t="s">
        <v>35</v>
      </c>
      <c r="H433" s="67">
        <v>44706</v>
      </c>
      <c r="I433" s="6" t="s">
        <v>1014</v>
      </c>
      <c r="J433" s="9">
        <v>2478102402</v>
      </c>
      <c r="K433" s="68">
        <v>44681</v>
      </c>
      <c r="L433" s="68">
        <v>46022</v>
      </c>
      <c r="M433" s="68">
        <v>46203</v>
      </c>
      <c r="N433" s="69">
        <f t="shared" si="13"/>
        <v>-5</v>
      </c>
      <c r="O433" s="69">
        <f t="shared" si="14"/>
        <v>0</v>
      </c>
      <c r="P433" s="70">
        <v>6</v>
      </c>
      <c r="Q433" s="70">
        <v>1</v>
      </c>
      <c r="R433" s="70">
        <v>1</v>
      </c>
      <c r="S433" s="68" t="str">
        <f t="shared" si="15"/>
        <v/>
      </c>
      <c r="T433" s="68"/>
      <c r="U433" s="68"/>
      <c r="V433" s="68">
        <v>45537</v>
      </c>
      <c r="W433" s="9"/>
      <c r="X433" s="10"/>
      <c r="Y433" s="71">
        <f t="shared" si="16"/>
        <v>1</v>
      </c>
      <c r="Z433" s="73">
        <f t="shared" si="17"/>
        <v>1</v>
      </c>
      <c r="AA433" s="73">
        <f t="shared" si="18"/>
        <v>-5</v>
      </c>
      <c r="AB433" s="73">
        <f t="shared" si="19"/>
        <v>-5</v>
      </c>
      <c r="AC433" s="73">
        <f t="shared" si="20"/>
        <v>0</v>
      </c>
      <c r="AD433" s="73">
        <f t="shared" si="21"/>
        <v>0</v>
      </c>
      <c r="AE433" s="73">
        <f t="shared" si="22"/>
        <v>-4.9995669999999999</v>
      </c>
      <c r="AF433" s="73">
        <f t="shared" si="23"/>
        <v>-4.9995669999999999</v>
      </c>
      <c r="AG433" s="73">
        <f t="shared" si="24"/>
        <v>4.3300000000000001E-4</v>
      </c>
      <c r="AH433" s="73">
        <f t="shared" si="25"/>
        <v>4.3300000000000001E-4</v>
      </c>
    </row>
    <row r="434" spans="1:34" ht="14.25" customHeight="1">
      <c r="A434" s="11">
        <v>419</v>
      </c>
      <c r="B434" s="66"/>
      <c r="C434" s="67"/>
      <c r="D434" s="67"/>
      <c r="E434" s="67"/>
      <c r="F434" s="67"/>
      <c r="G434" s="67" t="s">
        <v>35</v>
      </c>
      <c r="H434" s="67">
        <v>45439</v>
      </c>
      <c r="I434" s="6" t="s">
        <v>1015</v>
      </c>
      <c r="J434" s="9">
        <v>2478702044</v>
      </c>
      <c r="K434" s="68">
        <v>45412</v>
      </c>
      <c r="L434" s="68">
        <v>46022</v>
      </c>
      <c r="M434" s="68">
        <v>46203</v>
      </c>
      <c r="N434" s="69">
        <f t="shared" si="13"/>
        <v>40</v>
      </c>
      <c r="O434" s="69">
        <f t="shared" si="14"/>
        <v>-8</v>
      </c>
      <c r="P434" s="70">
        <v>19</v>
      </c>
      <c r="Q434" s="70">
        <v>67</v>
      </c>
      <c r="R434" s="70">
        <v>59</v>
      </c>
      <c r="S434" s="68" t="str">
        <f t="shared" si="15"/>
        <v/>
      </c>
      <c r="T434" s="68"/>
      <c r="U434" s="68"/>
      <c r="V434" s="68"/>
      <c r="W434" s="9"/>
      <c r="X434" s="10"/>
      <c r="Y434" s="71">
        <f t="shared" si="16"/>
        <v>67</v>
      </c>
      <c r="Z434" s="73">
        <f t="shared" si="17"/>
        <v>59</v>
      </c>
      <c r="AA434" s="11" t="str">
        <f t="shared" si="18"/>
        <v/>
      </c>
      <c r="AB434" s="73">
        <f t="shared" si="19"/>
        <v>40</v>
      </c>
      <c r="AC434" s="11" t="str">
        <f t="shared" si="20"/>
        <v/>
      </c>
      <c r="AD434" s="73">
        <f t="shared" si="21"/>
        <v>-8</v>
      </c>
      <c r="AE434" s="11" t="str">
        <f t="shared" si="22"/>
        <v/>
      </c>
      <c r="AF434" s="73">
        <f t="shared" si="23"/>
        <v>40.000433999999998</v>
      </c>
      <c r="AG434" s="11" t="str">
        <f t="shared" si="24"/>
        <v/>
      </c>
      <c r="AH434" s="73">
        <f t="shared" si="25"/>
        <v>-7.9995659999999997</v>
      </c>
    </row>
    <row r="435" spans="1:34" ht="14.25" customHeight="1">
      <c r="A435" s="11">
        <v>420</v>
      </c>
      <c r="B435" s="66"/>
      <c r="C435" s="67"/>
      <c r="D435" s="67"/>
      <c r="E435" s="67"/>
      <c r="F435" s="67"/>
      <c r="G435" s="67" t="s">
        <v>35</v>
      </c>
      <c r="H435" s="67">
        <v>42832</v>
      </c>
      <c r="I435" s="6" t="s">
        <v>1016</v>
      </c>
      <c r="J435" s="9">
        <v>2498600725</v>
      </c>
      <c r="K435" s="68">
        <v>42825</v>
      </c>
      <c r="L435" s="68">
        <v>46022</v>
      </c>
      <c r="M435" s="68">
        <v>46203</v>
      </c>
      <c r="N435" s="69">
        <f t="shared" si="13"/>
        <v>53</v>
      </c>
      <c r="O435" s="69">
        <f t="shared" si="14"/>
        <v>-1</v>
      </c>
      <c r="P435" s="70">
        <v>5</v>
      </c>
      <c r="Q435" s="70">
        <v>59</v>
      </c>
      <c r="R435" s="70">
        <v>58</v>
      </c>
      <c r="S435" s="68" t="str">
        <f t="shared" si="15"/>
        <v/>
      </c>
      <c r="T435" s="68"/>
      <c r="U435" s="68"/>
      <c r="V435" s="68"/>
      <c r="W435" s="9"/>
      <c r="X435" s="10"/>
      <c r="Y435" s="71">
        <f t="shared" si="16"/>
        <v>59</v>
      </c>
      <c r="Z435" s="73">
        <f t="shared" si="17"/>
        <v>58</v>
      </c>
      <c r="AA435" s="11" t="str">
        <f t="shared" si="18"/>
        <v/>
      </c>
      <c r="AB435" s="73">
        <f t="shared" si="19"/>
        <v>53</v>
      </c>
      <c r="AC435" s="11" t="str">
        <f t="shared" si="20"/>
        <v/>
      </c>
      <c r="AD435" s="73">
        <f t="shared" si="21"/>
        <v>-1</v>
      </c>
      <c r="AE435" s="11" t="str">
        <f t="shared" si="22"/>
        <v/>
      </c>
      <c r="AF435" s="73">
        <f t="shared" si="23"/>
        <v>53.000435000000003</v>
      </c>
      <c r="AG435" s="11" t="str">
        <f t="shared" si="24"/>
        <v/>
      </c>
      <c r="AH435" s="73">
        <f t="shared" si="25"/>
        <v>-0.99956500000000004</v>
      </c>
    </row>
    <row r="436" spans="1:34" ht="14.25" customHeight="1">
      <c r="A436" s="11">
        <v>421</v>
      </c>
      <c r="B436" s="66"/>
      <c r="C436" s="67"/>
      <c r="D436" s="67"/>
      <c r="E436" s="67"/>
      <c r="F436" s="67"/>
      <c r="G436" s="67" t="s">
        <v>35</v>
      </c>
      <c r="H436" s="67">
        <v>45461</v>
      </c>
      <c r="I436" s="6" t="s">
        <v>1017</v>
      </c>
      <c r="J436" s="9">
        <v>2498702550</v>
      </c>
      <c r="K436" s="68">
        <v>45443</v>
      </c>
      <c r="L436" s="68">
        <v>46022</v>
      </c>
      <c r="M436" s="68">
        <v>46203</v>
      </c>
      <c r="N436" s="69">
        <f t="shared" si="13"/>
        <v>18</v>
      </c>
      <c r="O436" s="69">
        <f t="shared" si="14"/>
        <v>2</v>
      </c>
      <c r="P436" s="70">
        <v>15</v>
      </c>
      <c r="Q436" s="70">
        <v>31</v>
      </c>
      <c r="R436" s="70">
        <v>33</v>
      </c>
      <c r="S436" s="68" t="str">
        <f t="shared" si="15"/>
        <v/>
      </c>
      <c r="T436" s="68"/>
      <c r="U436" s="68"/>
      <c r="V436" s="68"/>
      <c r="W436" s="9"/>
      <c r="X436" s="10"/>
      <c r="Y436" s="71">
        <f t="shared" si="16"/>
        <v>31</v>
      </c>
      <c r="Z436" s="73">
        <f t="shared" si="17"/>
        <v>33</v>
      </c>
      <c r="AA436" s="11" t="str">
        <f t="shared" si="18"/>
        <v/>
      </c>
      <c r="AB436" s="73">
        <f t="shared" si="19"/>
        <v>18</v>
      </c>
      <c r="AC436" s="11" t="str">
        <f t="shared" si="20"/>
        <v/>
      </c>
      <c r="AD436" s="73">
        <f t="shared" si="21"/>
        <v>2</v>
      </c>
      <c r="AE436" s="11" t="str">
        <f t="shared" si="22"/>
        <v/>
      </c>
      <c r="AF436" s="73">
        <f t="shared" si="23"/>
        <v>18.000436000000001</v>
      </c>
      <c r="AG436" s="11" t="str">
        <f t="shared" si="24"/>
        <v/>
      </c>
      <c r="AH436" s="73">
        <f t="shared" si="25"/>
        <v>2.0004360000000001</v>
      </c>
    </row>
    <row r="437" spans="1:34" ht="14.25" customHeight="1">
      <c r="A437" s="11">
        <v>422</v>
      </c>
      <c r="B437" s="66"/>
      <c r="C437" s="67"/>
      <c r="D437" s="67"/>
      <c r="E437" s="67"/>
      <c r="F437" s="67"/>
      <c r="G437" s="67" t="s">
        <v>24</v>
      </c>
      <c r="H437" s="67">
        <v>42879</v>
      </c>
      <c r="I437" s="6" t="s">
        <v>1018</v>
      </c>
      <c r="J437" s="9">
        <v>2508100792</v>
      </c>
      <c r="K437" s="68">
        <v>42855</v>
      </c>
      <c r="L437" s="68" t="s">
        <v>230</v>
      </c>
      <c r="M437" s="68">
        <v>45777</v>
      </c>
      <c r="N437" s="69">
        <f t="shared" si="13"/>
        <v>0</v>
      </c>
      <c r="O437" s="69" t="str">
        <f t="shared" si="14"/>
        <v>N/A</v>
      </c>
      <c r="P437" s="70">
        <v>0</v>
      </c>
      <c r="Q437" s="70"/>
      <c r="R437" s="70">
        <v>0</v>
      </c>
      <c r="S437" s="68">
        <f t="shared" si="15"/>
        <v>45777</v>
      </c>
      <c r="T437" s="68">
        <v>45777</v>
      </c>
      <c r="U437" s="68"/>
      <c r="V437" s="68"/>
      <c r="W437" s="9"/>
      <c r="X437" s="10"/>
      <c r="Y437" s="65" t="str">
        <f t="shared" si="16"/>
        <v/>
      </c>
      <c r="Z437" s="11" t="str">
        <f t="shared" si="17"/>
        <v/>
      </c>
      <c r="AA437" s="11" t="str">
        <f t="shared" si="18"/>
        <v/>
      </c>
      <c r="AB437" s="73">
        <f t="shared" si="19"/>
        <v>0</v>
      </c>
      <c r="AC437" s="11" t="str">
        <f t="shared" si="20"/>
        <v/>
      </c>
      <c r="AD437" s="11" t="str">
        <f t="shared" si="21"/>
        <v/>
      </c>
      <c r="AE437" s="11" t="str">
        <f t="shared" si="22"/>
        <v/>
      </c>
      <c r="AF437" s="73">
        <f t="shared" si="23"/>
        <v>4.37E-4</v>
      </c>
      <c r="AG437" s="11" t="str">
        <f t="shared" si="24"/>
        <v/>
      </c>
      <c r="AH437" s="11" t="str">
        <f t="shared" si="25"/>
        <v/>
      </c>
    </row>
    <row r="438" spans="1:34" ht="14.25" customHeight="1">
      <c r="A438" s="11">
        <v>423</v>
      </c>
      <c r="B438" s="66" t="s">
        <v>35</v>
      </c>
      <c r="C438" s="67"/>
      <c r="D438" s="67"/>
      <c r="E438" s="67"/>
      <c r="F438" s="67">
        <v>45937</v>
      </c>
      <c r="G438" s="67"/>
      <c r="H438" s="67"/>
      <c r="I438" s="6" t="s">
        <v>1019</v>
      </c>
      <c r="J438" s="37">
        <v>2518103375</v>
      </c>
      <c r="K438" s="68">
        <v>45930</v>
      </c>
      <c r="L438" s="68">
        <v>46022</v>
      </c>
      <c r="M438" s="68">
        <v>46203</v>
      </c>
      <c r="N438" s="69">
        <f t="shared" si="13"/>
        <v>2</v>
      </c>
      <c r="O438" s="69">
        <f t="shared" si="14"/>
        <v>2</v>
      </c>
      <c r="P438" s="70">
        <v>10</v>
      </c>
      <c r="Q438" s="70">
        <v>10</v>
      </c>
      <c r="R438" s="70">
        <v>12</v>
      </c>
      <c r="S438" s="68" t="str">
        <f t="shared" si="15"/>
        <v/>
      </c>
      <c r="T438" s="68"/>
      <c r="U438" s="95"/>
      <c r="V438" s="68"/>
      <c r="W438" s="6"/>
      <c r="X438" s="93"/>
      <c r="Y438" s="71">
        <f t="shared" si="16"/>
        <v>10</v>
      </c>
      <c r="Z438" s="73">
        <f t="shared" si="17"/>
        <v>12</v>
      </c>
      <c r="AA438" s="73">
        <f t="shared" si="18"/>
        <v>2</v>
      </c>
      <c r="AB438" s="11" t="str">
        <f t="shared" si="19"/>
        <v/>
      </c>
      <c r="AC438" s="73">
        <f t="shared" si="20"/>
        <v>2</v>
      </c>
      <c r="AD438" s="11" t="str">
        <f t="shared" si="21"/>
        <v/>
      </c>
      <c r="AE438" s="73">
        <f t="shared" si="22"/>
        <v>2.0004379999999999</v>
      </c>
      <c r="AF438" s="11" t="str">
        <f t="shared" si="23"/>
        <v/>
      </c>
      <c r="AG438" s="73">
        <f t="shared" si="24"/>
        <v>2.0004379999999999</v>
      </c>
      <c r="AH438" s="11" t="str">
        <f t="shared" si="25"/>
        <v/>
      </c>
    </row>
    <row r="439" spans="1:34" ht="14.25" customHeight="1">
      <c r="A439" s="11">
        <v>424</v>
      </c>
      <c r="B439" s="66"/>
      <c r="C439" s="67"/>
      <c r="D439" s="67"/>
      <c r="E439" s="67"/>
      <c r="F439" s="67"/>
      <c r="G439" s="67" t="s">
        <v>35</v>
      </c>
      <c r="H439" s="67">
        <v>45798</v>
      </c>
      <c r="I439" s="6" t="s">
        <v>1020</v>
      </c>
      <c r="J439" s="9">
        <v>2518702290</v>
      </c>
      <c r="K439" s="68">
        <v>45777</v>
      </c>
      <c r="L439" s="68">
        <v>46022</v>
      </c>
      <c r="M439" s="68">
        <v>46203</v>
      </c>
      <c r="N439" s="69">
        <f t="shared" si="13"/>
        <v>13</v>
      </c>
      <c r="O439" s="69">
        <f t="shared" si="14"/>
        <v>2</v>
      </c>
      <c r="P439" s="70">
        <v>30</v>
      </c>
      <c r="Q439" s="70">
        <v>41</v>
      </c>
      <c r="R439" s="70">
        <v>43</v>
      </c>
      <c r="S439" s="68" t="str">
        <f t="shared" si="15"/>
        <v/>
      </c>
      <c r="T439" s="68"/>
      <c r="U439" s="68"/>
      <c r="V439" s="68"/>
      <c r="W439" s="9"/>
      <c r="X439" s="10"/>
      <c r="Y439" s="71">
        <f t="shared" si="16"/>
        <v>41</v>
      </c>
      <c r="Z439" s="73">
        <f t="shared" si="17"/>
        <v>43</v>
      </c>
      <c r="AA439" s="11" t="str">
        <f t="shared" si="18"/>
        <v/>
      </c>
      <c r="AB439" s="73">
        <f t="shared" si="19"/>
        <v>13</v>
      </c>
      <c r="AC439" s="11" t="str">
        <f t="shared" si="20"/>
        <v/>
      </c>
      <c r="AD439" s="73">
        <f t="shared" si="21"/>
        <v>2</v>
      </c>
      <c r="AE439" s="11" t="str">
        <f t="shared" si="22"/>
        <v/>
      </c>
      <c r="AF439" s="73">
        <f t="shared" si="23"/>
        <v>13.000439</v>
      </c>
      <c r="AG439" s="11" t="str">
        <f t="shared" si="24"/>
        <v/>
      </c>
      <c r="AH439" s="73">
        <f t="shared" si="25"/>
        <v>2.0004390000000001</v>
      </c>
    </row>
    <row r="440" spans="1:34" ht="14.25" customHeight="1">
      <c r="A440" s="11">
        <v>425</v>
      </c>
      <c r="B440" s="66" t="s">
        <v>24</v>
      </c>
      <c r="C440" s="67">
        <v>42416</v>
      </c>
      <c r="D440" s="67"/>
      <c r="E440" s="67"/>
      <c r="F440" s="67"/>
      <c r="G440" s="67"/>
      <c r="H440" s="67"/>
      <c r="I440" s="6" t="s">
        <v>1021</v>
      </c>
      <c r="J440" s="9">
        <v>2528100240</v>
      </c>
      <c r="K440" s="68">
        <v>42400</v>
      </c>
      <c r="L440" s="68" t="s">
        <v>230</v>
      </c>
      <c r="M440" s="68">
        <v>45412</v>
      </c>
      <c r="N440" s="69">
        <f t="shared" si="13"/>
        <v>0</v>
      </c>
      <c r="O440" s="69" t="str">
        <f t="shared" si="14"/>
        <v>N/A</v>
      </c>
      <c r="P440" s="70">
        <v>0</v>
      </c>
      <c r="Q440" s="70"/>
      <c r="R440" s="70">
        <v>0</v>
      </c>
      <c r="S440" s="68">
        <f t="shared" si="15"/>
        <v>45408</v>
      </c>
      <c r="T440" s="68">
        <v>45408</v>
      </c>
      <c r="U440" s="68"/>
      <c r="V440" s="68"/>
      <c r="W440" s="9"/>
      <c r="X440" s="10"/>
      <c r="Y440" s="65" t="str">
        <f t="shared" si="16"/>
        <v/>
      </c>
      <c r="Z440" s="11" t="str">
        <f t="shared" si="17"/>
        <v/>
      </c>
      <c r="AA440" s="73">
        <f t="shared" si="18"/>
        <v>0</v>
      </c>
      <c r="AB440" s="11" t="str">
        <f t="shared" si="19"/>
        <v/>
      </c>
      <c r="AC440" s="11" t="str">
        <f t="shared" si="20"/>
        <v/>
      </c>
      <c r="AD440" s="11" t="str">
        <f t="shared" si="21"/>
        <v/>
      </c>
      <c r="AE440" s="73">
        <f t="shared" si="22"/>
        <v>4.4000000000000002E-4</v>
      </c>
      <c r="AF440" s="11" t="str">
        <f t="shared" si="23"/>
        <v/>
      </c>
      <c r="AG440" s="11" t="str">
        <f t="shared" si="24"/>
        <v/>
      </c>
      <c r="AH440" s="11" t="str">
        <f t="shared" si="25"/>
        <v/>
      </c>
    </row>
    <row r="441" spans="1:34" ht="14.25" customHeight="1">
      <c r="A441" s="11">
        <v>426</v>
      </c>
      <c r="B441" s="66"/>
      <c r="C441" s="67"/>
      <c r="D441" s="67"/>
      <c r="E441" s="67"/>
      <c r="F441" s="67"/>
      <c r="G441" s="67" t="s">
        <v>35</v>
      </c>
      <c r="H441" s="67">
        <v>43572</v>
      </c>
      <c r="I441" s="6" t="s">
        <v>1022</v>
      </c>
      <c r="J441" s="9">
        <v>2528601109</v>
      </c>
      <c r="K441" s="68">
        <v>43555</v>
      </c>
      <c r="L441" s="68">
        <v>46022</v>
      </c>
      <c r="M441" s="68">
        <v>46203</v>
      </c>
      <c r="N441" s="69">
        <f t="shared" si="13"/>
        <v>7</v>
      </c>
      <c r="O441" s="69">
        <f t="shared" si="14"/>
        <v>-5</v>
      </c>
      <c r="P441" s="70">
        <v>6</v>
      </c>
      <c r="Q441" s="70">
        <v>18</v>
      </c>
      <c r="R441" s="70">
        <v>13</v>
      </c>
      <c r="S441" s="68" t="str">
        <f t="shared" si="15"/>
        <v/>
      </c>
      <c r="T441" s="68"/>
      <c r="U441" s="68"/>
      <c r="V441" s="68"/>
      <c r="W441" s="9"/>
      <c r="X441" s="10"/>
      <c r="Y441" s="71">
        <f t="shared" si="16"/>
        <v>18</v>
      </c>
      <c r="Z441" s="73">
        <f t="shared" si="17"/>
        <v>13</v>
      </c>
      <c r="AA441" s="11" t="str">
        <f t="shared" si="18"/>
        <v/>
      </c>
      <c r="AB441" s="73">
        <f t="shared" si="19"/>
        <v>7</v>
      </c>
      <c r="AC441" s="11" t="str">
        <f t="shared" si="20"/>
        <v/>
      </c>
      <c r="AD441" s="73">
        <f t="shared" si="21"/>
        <v>-5</v>
      </c>
      <c r="AE441" s="11" t="str">
        <f t="shared" si="22"/>
        <v/>
      </c>
      <c r="AF441" s="73">
        <f t="shared" si="23"/>
        <v>7.0004410000000004</v>
      </c>
      <c r="AG441" s="11" t="str">
        <f t="shared" si="24"/>
        <v/>
      </c>
      <c r="AH441" s="73">
        <f t="shared" si="25"/>
        <v>-4.9995589999999996</v>
      </c>
    </row>
    <row r="442" spans="1:34" ht="14.25" customHeight="1">
      <c r="A442" s="11">
        <v>427</v>
      </c>
      <c r="B442" s="66"/>
      <c r="C442" s="67"/>
      <c r="D442" s="67"/>
      <c r="E442" s="67"/>
      <c r="F442" s="67"/>
      <c r="G442" s="67" t="s">
        <v>35</v>
      </c>
      <c r="H442" s="67">
        <v>45546</v>
      </c>
      <c r="I442" s="6" t="s">
        <v>1023</v>
      </c>
      <c r="J442" s="9">
        <v>2528802010</v>
      </c>
      <c r="K442" s="68">
        <v>45535</v>
      </c>
      <c r="L442" s="68">
        <v>46022</v>
      </c>
      <c r="M442" s="68">
        <v>46203</v>
      </c>
      <c r="N442" s="69">
        <f t="shared" si="13"/>
        <v>7</v>
      </c>
      <c r="O442" s="69">
        <f t="shared" si="14"/>
        <v>3</v>
      </c>
      <c r="P442" s="70">
        <v>12</v>
      </c>
      <c r="Q442" s="70">
        <v>16</v>
      </c>
      <c r="R442" s="70">
        <v>19</v>
      </c>
      <c r="S442" s="68" t="str">
        <f t="shared" si="15"/>
        <v/>
      </c>
      <c r="T442" s="68"/>
      <c r="U442" s="68"/>
      <c r="V442" s="68"/>
      <c r="W442" s="9"/>
      <c r="X442" s="10"/>
      <c r="Y442" s="71">
        <f t="shared" si="16"/>
        <v>16</v>
      </c>
      <c r="Z442" s="73">
        <f t="shared" si="17"/>
        <v>19</v>
      </c>
      <c r="AA442" s="11" t="str">
        <f t="shared" si="18"/>
        <v/>
      </c>
      <c r="AB442" s="73">
        <f t="shared" si="19"/>
        <v>7</v>
      </c>
      <c r="AC442" s="11" t="str">
        <f t="shared" si="20"/>
        <v/>
      </c>
      <c r="AD442" s="73">
        <f t="shared" si="21"/>
        <v>3</v>
      </c>
      <c r="AE442" s="11" t="str">
        <f t="shared" si="22"/>
        <v/>
      </c>
      <c r="AF442" s="73">
        <f t="shared" si="23"/>
        <v>7.0004419999999996</v>
      </c>
      <c r="AG442" s="11" t="str">
        <f t="shared" si="24"/>
        <v/>
      </c>
      <c r="AH442" s="73">
        <f t="shared" si="25"/>
        <v>3.0004420000000001</v>
      </c>
    </row>
    <row r="443" spans="1:34" ht="14.25" customHeight="1">
      <c r="A443" s="11">
        <v>428</v>
      </c>
      <c r="B443" s="66" t="s">
        <v>35</v>
      </c>
      <c r="C443" s="67"/>
      <c r="D443" s="67">
        <v>45013</v>
      </c>
      <c r="E443" s="67"/>
      <c r="F443" s="67"/>
      <c r="G443" s="67" t="s">
        <v>35</v>
      </c>
      <c r="H443" s="67">
        <v>44615</v>
      </c>
      <c r="I443" s="6" t="s">
        <v>1024</v>
      </c>
      <c r="J443" s="9">
        <v>2538102125</v>
      </c>
      <c r="K443" s="68">
        <v>44592</v>
      </c>
      <c r="L443" s="68">
        <v>46022</v>
      </c>
      <c r="M443" s="68">
        <v>46203</v>
      </c>
      <c r="N443" s="69">
        <f t="shared" si="13"/>
        <v>-3</v>
      </c>
      <c r="O443" s="69">
        <f t="shared" si="14"/>
        <v>-1</v>
      </c>
      <c r="P443" s="70">
        <v>11</v>
      </c>
      <c r="Q443" s="70">
        <v>9</v>
      </c>
      <c r="R443" s="70">
        <v>8</v>
      </c>
      <c r="S443" s="68" t="str">
        <f t="shared" si="15"/>
        <v/>
      </c>
      <c r="T443" s="68"/>
      <c r="U443" s="68"/>
      <c r="V443" s="68"/>
      <c r="W443" s="9"/>
      <c r="X443" s="10" t="s">
        <v>1025</v>
      </c>
      <c r="Y443" s="71">
        <f t="shared" si="16"/>
        <v>9</v>
      </c>
      <c r="Z443" s="73">
        <f t="shared" si="17"/>
        <v>8</v>
      </c>
      <c r="AA443" s="73">
        <f t="shared" si="18"/>
        <v>-3</v>
      </c>
      <c r="AB443" s="73">
        <f t="shared" si="19"/>
        <v>-3</v>
      </c>
      <c r="AC443" s="73">
        <f t="shared" si="20"/>
        <v>-1</v>
      </c>
      <c r="AD443" s="73">
        <f t="shared" si="21"/>
        <v>-1</v>
      </c>
      <c r="AE443" s="73">
        <f t="shared" si="22"/>
        <v>-2.9995569999999998</v>
      </c>
      <c r="AF443" s="73">
        <f t="shared" si="23"/>
        <v>-2.9995569999999998</v>
      </c>
      <c r="AG443" s="73">
        <f t="shared" si="24"/>
        <v>-0.99955700000000003</v>
      </c>
      <c r="AH443" s="73">
        <f t="shared" si="25"/>
        <v>-0.99955700000000003</v>
      </c>
    </row>
    <row r="444" spans="1:34" ht="14.25" customHeight="1">
      <c r="A444" s="11">
        <v>429</v>
      </c>
      <c r="B444" s="66"/>
      <c r="C444" s="67"/>
      <c r="D444" s="67"/>
      <c r="E444" s="67"/>
      <c r="F444" s="67"/>
      <c r="G444" s="67" t="s">
        <v>35</v>
      </c>
      <c r="H444" s="67">
        <v>44755</v>
      </c>
      <c r="I444" s="6" t="s">
        <v>1026</v>
      </c>
      <c r="J444" s="9">
        <v>2538601820</v>
      </c>
      <c r="K444" s="68">
        <v>44742</v>
      </c>
      <c r="L444" s="68">
        <v>46022</v>
      </c>
      <c r="M444" s="68">
        <v>46203</v>
      </c>
      <c r="N444" s="69">
        <f t="shared" si="13"/>
        <v>-3</v>
      </c>
      <c r="O444" s="69">
        <f t="shared" si="14"/>
        <v>0</v>
      </c>
      <c r="P444" s="70">
        <v>4</v>
      </c>
      <c r="Q444" s="70">
        <v>1</v>
      </c>
      <c r="R444" s="70">
        <v>1</v>
      </c>
      <c r="S444" s="68" t="str">
        <f t="shared" si="15"/>
        <v/>
      </c>
      <c r="T444" s="68"/>
      <c r="U444" s="68"/>
      <c r="V444" s="68"/>
      <c r="W444" s="9"/>
      <c r="X444" s="10"/>
      <c r="Y444" s="71">
        <f t="shared" si="16"/>
        <v>1</v>
      </c>
      <c r="Z444" s="73">
        <f t="shared" si="17"/>
        <v>1</v>
      </c>
      <c r="AA444" s="11" t="str">
        <f t="shared" si="18"/>
        <v/>
      </c>
      <c r="AB444" s="73">
        <f t="shared" si="19"/>
        <v>-3</v>
      </c>
      <c r="AC444" s="11" t="str">
        <f t="shared" si="20"/>
        <v/>
      </c>
      <c r="AD444" s="73">
        <f t="shared" si="21"/>
        <v>0</v>
      </c>
      <c r="AE444" s="11" t="str">
        <f t="shared" si="22"/>
        <v/>
      </c>
      <c r="AF444" s="73">
        <f t="shared" si="23"/>
        <v>-2.9995560000000001</v>
      </c>
      <c r="AG444" s="11" t="str">
        <f t="shared" si="24"/>
        <v/>
      </c>
      <c r="AH444" s="73">
        <f t="shared" si="25"/>
        <v>4.44E-4</v>
      </c>
    </row>
    <row r="445" spans="1:34" ht="14.25" customHeight="1">
      <c r="A445" s="11">
        <v>430</v>
      </c>
      <c r="B445" s="66" t="s">
        <v>35</v>
      </c>
      <c r="C445" s="67">
        <v>44986</v>
      </c>
      <c r="D445" s="67">
        <v>45177</v>
      </c>
      <c r="E445" s="67"/>
      <c r="F445" s="67"/>
      <c r="G445" s="67" t="s">
        <v>35</v>
      </c>
      <c r="H445" s="67">
        <v>45233</v>
      </c>
      <c r="I445" s="6" t="s">
        <v>1027</v>
      </c>
      <c r="J445" s="9">
        <v>2538702471</v>
      </c>
      <c r="K445" s="68">
        <v>44985</v>
      </c>
      <c r="L445" s="68">
        <v>46022</v>
      </c>
      <c r="M445" s="68">
        <v>46203</v>
      </c>
      <c r="N445" s="69">
        <f t="shared" si="13"/>
        <v>9</v>
      </c>
      <c r="O445" s="69">
        <f t="shared" si="14"/>
        <v>-2</v>
      </c>
      <c r="P445" s="70">
        <v>0</v>
      </c>
      <c r="Q445" s="70">
        <v>11</v>
      </c>
      <c r="R445" s="70">
        <v>9</v>
      </c>
      <c r="S445" s="68" t="str">
        <f t="shared" si="15"/>
        <v/>
      </c>
      <c r="T445" s="68"/>
      <c r="U445" s="68"/>
      <c r="V445" s="68"/>
      <c r="W445" s="9"/>
      <c r="X445" s="10"/>
      <c r="Y445" s="71">
        <f t="shared" si="16"/>
        <v>11</v>
      </c>
      <c r="Z445" s="73">
        <f t="shared" si="17"/>
        <v>9</v>
      </c>
      <c r="AA445" s="73">
        <f t="shared" si="18"/>
        <v>9</v>
      </c>
      <c r="AB445" s="73">
        <f t="shared" si="19"/>
        <v>9</v>
      </c>
      <c r="AC445" s="73">
        <f t="shared" si="20"/>
        <v>-2</v>
      </c>
      <c r="AD445" s="73">
        <f t="shared" si="21"/>
        <v>-2</v>
      </c>
      <c r="AE445" s="73">
        <f t="shared" si="22"/>
        <v>9.0004449999999991</v>
      </c>
      <c r="AF445" s="73">
        <f t="shared" si="23"/>
        <v>9.0004449999999991</v>
      </c>
      <c r="AG445" s="73">
        <f t="shared" si="24"/>
        <v>-1.999555</v>
      </c>
      <c r="AH445" s="73">
        <f t="shared" si="25"/>
        <v>-1.999555</v>
      </c>
    </row>
    <row r="446" spans="1:34" ht="14.25" customHeight="1">
      <c r="A446" s="11">
        <v>431</v>
      </c>
      <c r="B446" s="66"/>
      <c r="C446" s="67"/>
      <c r="D446" s="67"/>
      <c r="E446" s="67"/>
      <c r="F446" s="67"/>
      <c r="G446" s="67" t="s">
        <v>35</v>
      </c>
      <c r="H446" s="67">
        <v>45743</v>
      </c>
      <c r="I446" s="6" t="s">
        <v>1028</v>
      </c>
      <c r="J446" s="9">
        <v>2548703584</v>
      </c>
      <c r="K446" s="68">
        <v>45716</v>
      </c>
      <c r="L446" s="68">
        <v>46022</v>
      </c>
      <c r="M446" s="68">
        <v>46203</v>
      </c>
      <c r="N446" s="69">
        <f t="shared" si="13"/>
        <v>13</v>
      </c>
      <c r="O446" s="69">
        <f t="shared" si="14"/>
        <v>4</v>
      </c>
      <c r="P446" s="123">
        <v>0</v>
      </c>
      <c r="Q446" s="70">
        <v>9</v>
      </c>
      <c r="R446" s="70">
        <v>13</v>
      </c>
      <c r="S446" s="68" t="str">
        <f t="shared" si="15"/>
        <v/>
      </c>
      <c r="T446" s="68"/>
      <c r="U446" s="68"/>
      <c r="V446" s="68"/>
      <c r="W446" s="9"/>
      <c r="X446" s="10"/>
      <c r="Y446" s="71">
        <f t="shared" si="16"/>
        <v>9</v>
      </c>
      <c r="Z446" s="73">
        <f t="shared" si="17"/>
        <v>13</v>
      </c>
      <c r="AA446" s="11" t="str">
        <f t="shared" si="18"/>
        <v/>
      </c>
      <c r="AB446" s="73">
        <f t="shared" si="19"/>
        <v>13</v>
      </c>
      <c r="AC446" s="11" t="str">
        <f t="shared" si="20"/>
        <v/>
      </c>
      <c r="AD446" s="73">
        <f t="shared" si="21"/>
        <v>4</v>
      </c>
      <c r="AE446" s="11" t="str">
        <f t="shared" si="22"/>
        <v/>
      </c>
      <c r="AF446" s="73">
        <f t="shared" si="23"/>
        <v>13.000446</v>
      </c>
      <c r="AG446" s="11" t="str">
        <f t="shared" si="24"/>
        <v/>
      </c>
      <c r="AH446" s="73">
        <f t="shared" si="25"/>
        <v>4.0004460000000002</v>
      </c>
    </row>
    <row r="447" spans="1:34" ht="14.25" customHeight="1">
      <c r="A447" s="11">
        <v>432</v>
      </c>
      <c r="B447" s="66" t="s">
        <v>35</v>
      </c>
      <c r="C447" s="67"/>
      <c r="D447" s="67">
        <v>46184</v>
      </c>
      <c r="E447" s="67"/>
      <c r="F447" s="67"/>
      <c r="G447" s="67"/>
      <c r="H447" s="67"/>
      <c r="I447" s="6" t="s">
        <v>1029</v>
      </c>
      <c r="J447" s="37">
        <v>2558100671</v>
      </c>
      <c r="K447" s="68">
        <v>46173</v>
      </c>
      <c r="L447" s="68" t="s">
        <v>230</v>
      </c>
      <c r="M447" s="68">
        <v>46203</v>
      </c>
      <c r="N447" s="69">
        <f t="shared" si="13"/>
        <v>6</v>
      </c>
      <c r="O447" s="69">
        <f t="shared" si="14"/>
        <v>6</v>
      </c>
      <c r="P447" s="70">
        <v>28</v>
      </c>
      <c r="Q447" s="70"/>
      <c r="R447" s="70">
        <v>34</v>
      </c>
      <c r="S447" s="68" t="str">
        <f t="shared" si="15"/>
        <v/>
      </c>
      <c r="T447" s="68"/>
      <c r="U447" s="95"/>
      <c r="V447" s="68"/>
      <c r="W447" s="6"/>
      <c r="X447" s="10"/>
      <c r="Y447" s="71">
        <f t="shared" si="16"/>
        <v>28</v>
      </c>
      <c r="Z447" s="73">
        <f t="shared" si="17"/>
        <v>34</v>
      </c>
      <c r="AA447" s="73">
        <f t="shared" si="18"/>
        <v>6</v>
      </c>
      <c r="AB447" s="11" t="str">
        <f t="shared" si="19"/>
        <v/>
      </c>
      <c r="AC447" s="73">
        <f t="shared" si="20"/>
        <v>6</v>
      </c>
      <c r="AD447" s="11" t="str">
        <f t="shared" si="21"/>
        <v/>
      </c>
      <c r="AE447" s="73">
        <f t="shared" si="22"/>
        <v>6.0004470000000003</v>
      </c>
      <c r="AF447" s="11" t="str">
        <f t="shared" si="23"/>
        <v/>
      </c>
      <c r="AG447" s="73">
        <f t="shared" si="24"/>
        <v>6.0004470000000003</v>
      </c>
      <c r="AH447" s="11" t="str">
        <f t="shared" si="25"/>
        <v/>
      </c>
    </row>
    <row r="448" spans="1:34" ht="14.25" customHeight="1">
      <c r="A448" s="11">
        <v>433</v>
      </c>
      <c r="B448" s="66" t="s">
        <v>35</v>
      </c>
      <c r="C448" s="67"/>
      <c r="D448" s="67">
        <v>45056</v>
      </c>
      <c r="E448" s="67"/>
      <c r="F448" s="67"/>
      <c r="G448" s="67"/>
      <c r="H448" s="67"/>
      <c r="I448" s="6" t="s">
        <v>1030</v>
      </c>
      <c r="J448" s="9">
        <v>2558702235</v>
      </c>
      <c r="K448" s="68">
        <v>45046</v>
      </c>
      <c r="L448" s="68">
        <v>46022</v>
      </c>
      <c r="M448" s="68">
        <v>46203</v>
      </c>
      <c r="N448" s="69">
        <f t="shared" si="13"/>
        <v>6</v>
      </c>
      <c r="O448" s="69">
        <f t="shared" si="14"/>
        <v>-9</v>
      </c>
      <c r="P448" s="70">
        <v>3</v>
      </c>
      <c r="Q448" s="70">
        <v>18</v>
      </c>
      <c r="R448" s="70">
        <v>9</v>
      </c>
      <c r="S448" s="68" t="str">
        <f t="shared" si="15"/>
        <v/>
      </c>
      <c r="T448" s="68"/>
      <c r="U448" s="68"/>
      <c r="V448" s="68"/>
      <c r="W448" s="9"/>
      <c r="X448" s="10"/>
      <c r="Y448" s="71">
        <f t="shared" si="16"/>
        <v>18</v>
      </c>
      <c r="Z448" s="73">
        <f t="shared" si="17"/>
        <v>9</v>
      </c>
      <c r="AA448" s="73">
        <f t="shared" si="18"/>
        <v>6</v>
      </c>
      <c r="AB448" s="11" t="str">
        <f t="shared" si="19"/>
        <v/>
      </c>
      <c r="AC448" s="73">
        <f t="shared" si="20"/>
        <v>-9</v>
      </c>
      <c r="AD448" s="11" t="str">
        <f t="shared" si="21"/>
        <v/>
      </c>
      <c r="AE448" s="73">
        <f t="shared" si="22"/>
        <v>6.0004479999999996</v>
      </c>
      <c r="AF448" s="11" t="str">
        <f t="shared" si="23"/>
        <v/>
      </c>
      <c r="AG448" s="73">
        <f t="shared" si="24"/>
        <v>-8.9995519999999996</v>
      </c>
      <c r="AH448" s="11" t="str">
        <f t="shared" si="25"/>
        <v/>
      </c>
    </row>
    <row r="449" spans="1:34" ht="14.25" customHeight="1">
      <c r="A449" s="11">
        <v>434</v>
      </c>
      <c r="B449" s="66"/>
      <c r="C449" s="67"/>
      <c r="D449" s="67"/>
      <c r="E449" s="67"/>
      <c r="F449" s="67"/>
      <c r="G449" s="67" t="s">
        <v>35</v>
      </c>
      <c r="H449" s="67">
        <v>45167</v>
      </c>
      <c r="I449" s="6" t="s">
        <v>1031</v>
      </c>
      <c r="J449" s="9">
        <v>2558702536</v>
      </c>
      <c r="K449" s="68">
        <v>45138</v>
      </c>
      <c r="L449" s="68">
        <v>46022</v>
      </c>
      <c r="M449" s="68">
        <v>46203</v>
      </c>
      <c r="N449" s="69">
        <f t="shared" si="13"/>
        <v>4</v>
      </c>
      <c r="O449" s="69">
        <f t="shared" si="14"/>
        <v>-1</v>
      </c>
      <c r="P449" s="70">
        <v>7</v>
      </c>
      <c r="Q449" s="70">
        <v>12</v>
      </c>
      <c r="R449" s="70">
        <v>11</v>
      </c>
      <c r="S449" s="68" t="str">
        <f t="shared" si="15"/>
        <v/>
      </c>
      <c r="T449" s="68"/>
      <c r="U449" s="68"/>
      <c r="V449" s="68"/>
      <c r="W449" s="9"/>
      <c r="X449" s="10"/>
      <c r="Y449" s="71">
        <f t="shared" si="16"/>
        <v>12</v>
      </c>
      <c r="Z449" s="73">
        <f t="shared" si="17"/>
        <v>11</v>
      </c>
      <c r="AA449" s="11" t="str">
        <f t="shared" si="18"/>
        <v/>
      </c>
      <c r="AB449" s="73">
        <f t="shared" si="19"/>
        <v>4</v>
      </c>
      <c r="AC449" s="11" t="str">
        <f t="shared" si="20"/>
        <v/>
      </c>
      <c r="AD449" s="73">
        <f t="shared" si="21"/>
        <v>-1</v>
      </c>
      <c r="AE449" s="11" t="str">
        <f t="shared" si="22"/>
        <v/>
      </c>
      <c r="AF449" s="73">
        <f t="shared" si="23"/>
        <v>4.0004489999999997</v>
      </c>
      <c r="AG449" s="11" t="str">
        <f t="shared" si="24"/>
        <v/>
      </c>
      <c r="AH449" s="73">
        <f t="shared" si="25"/>
        <v>-0.99955099999999997</v>
      </c>
    </row>
    <row r="450" spans="1:34" ht="14.25" customHeight="1">
      <c r="A450" s="11">
        <v>435</v>
      </c>
      <c r="B450" s="66" t="s">
        <v>35</v>
      </c>
      <c r="C450" s="67">
        <v>44986</v>
      </c>
      <c r="D450" s="67"/>
      <c r="E450" s="67"/>
      <c r="F450" s="67"/>
      <c r="G450" s="67"/>
      <c r="H450" s="67"/>
      <c r="I450" s="6" t="s">
        <v>1032</v>
      </c>
      <c r="J450" s="9">
        <v>2558702614</v>
      </c>
      <c r="K450" s="68">
        <v>44985</v>
      </c>
      <c r="L450" s="68">
        <v>46022</v>
      </c>
      <c r="M450" s="68">
        <v>46203</v>
      </c>
      <c r="N450" s="69">
        <f t="shared" si="13"/>
        <v>0</v>
      </c>
      <c r="O450" s="69">
        <f t="shared" si="14"/>
        <v>-4</v>
      </c>
      <c r="P450" s="70">
        <v>3</v>
      </c>
      <c r="Q450" s="70">
        <v>7</v>
      </c>
      <c r="R450" s="70">
        <v>3</v>
      </c>
      <c r="S450" s="68" t="str">
        <f t="shared" si="15"/>
        <v/>
      </c>
      <c r="T450" s="68"/>
      <c r="U450" s="68"/>
      <c r="V450" s="68"/>
      <c r="W450" s="9"/>
      <c r="X450" s="10"/>
      <c r="Y450" s="71">
        <f t="shared" si="16"/>
        <v>7</v>
      </c>
      <c r="Z450" s="73">
        <f t="shared" si="17"/>
        <v>3</v>
      </c>
      <c r="AA450" s="73">
        <f t="shared" si="18"/>
        <v>0</v>
      </c>
      <c r="AB450" s="11" t="str">
        <f t="shared" si="19"/>
        <v/>
      </c>
      <c r="AC450" s="73">
        <f t="shared" si="20"/>
        <v>-4</v>
      </c>
      <c r="AD450" s="11" t="str">
        <f t="shared" si="21"/>
        <v/>
      </c>
      <c r="AE450" s="73">
        <f t="shared" si="22"/>
        <v>4.4999999999999999E-4</v>
      </c>
      <c r="AF450" s="11" t="str">
        <f t="shared" si="23"/>
        <v/>
      </c>
      <c r="AG450" s="73">
        <f t="shared" si="24"/>
        <v>-3.9995500000000002</v>
      </c>
      <c r="AH450" s="11" t="str">
        <f t="shared" si="25"/>
        <v/>
      </c>
    </row>
    <row r="451" spans="1:34" ht="14.25" customHeight="1">
      <c r="A451" s="11">
        <v>436</v>
      </c>
      <c r="B451" s="66" t="s">
        <v>35</v>
      </c>
      <c r="C451" s="67">
        <v>45658</v>
      </c>
      <c r="D451" s="67">
        <v>45776</v>
      </c>
      <c r="E451" s="67">
        <v>45658</v>
      </c>
      <c r="F451" s="67"/>
      <c r="G451" s="67" t="s">
        <v>35</v>
      </c>
      <c r="H451" s="67">
        <v>45702</v>
      </c>
      <c r="I451" s="6" t="s">
        <v>1033</v>
      </c>
      <c r="J451" s="9">
        <v>2558801441</v>
      </c>
      <c r="K451" s="68">
        <v>45657</v>
      </c>
      <c r="L451" s="68">
        <v>46022</v>
      </c>
      <c r="M451" s="68">
        <v>46203</v>
      </c>
      <c r="N451" s="69">
        <f t="shared" si="13"/>
        <v>4</v>
      </c>
      <c r="O451" s="69">
        <f t="shared" si="14"/>
        <v>4</v>
      </c>
      <c r="P451" s="70">
        <v>19</v>
      </c>
      <c r="Q451" s="70">
        <v>19</v>
      </c>
      <c r="R451" s="70">
        <v>23</v>
      </c>
      <c r="S451" s="68" t="str">
        <f t="shared" si="15"/>
        <v/>
      </c>
      <c r="T451" s="68"/>
      <c r="U451" s="68"/>
      <c r="V451" s="68"/>
      <c r="W451" s="9"/>
      <c r="X451" s="10"/>
      <c r="Y451" s="71">
        <f t="shared" si="16"/>
        <v>19</v>
      </c>
      <c r="Z451" s="73">
        <f t="shared" si="17"/>
        <v>23</v>
      </c>
      <c r="AA451" s="73">
        <f t="shared" si="18"/>
        <v>4</v>
      </c>
      <c r="AB451" s="73">
        <f t="shared" si="19"/>
        <v>4</v>
      </c>
      <c r="AC451" s="73">
        <f t="shared" si="20"/>
        <v>4</v>
      </c>
      <c r="AD451" s="73">
        <f t="shared" si="21"/>
        <v>4</v>
      </c>
      <c r="AE451" s="73">
        <f t="shared" si="22"/>
        <v>4.000451</v>
      </c>
      <c r="AF451" s="73">
        <f t="shared" si="23"/>
        <v>4.000451</v>
      </c>
      <c r="AG451" s="73">
        <f t="shared" si="24"/>
        <v>4.000451</v>
      </c>
      <c r="AH451" s="73">
        <f t="shared" si="25"/>
        <v>4.000451</v>
      </c>
    </row>
    <row r="452" spans="1:34" ht="14.25" customHeight="1">
      <c r="A452" s="11">
        <v>437</v>
      </c>
      <c r="B452" s="66" t="s">
        <v>35</v>
      </c>
      <c r="C452" s="67">
        <v>46082</v>
      </c>
      <c r="D452" s="67">
        <v>45833</v>
      </c>
      <c r="E452" s="67">
        <v>45944</v>
      </c>
      <c r="F452" s="67"/>
      <c r="G452" s="67" t="s">
        <v>35</v>
      </c>
      <c r="H452" s="67">
        <v>45770</v>
      </c>
      <c r="I452" s="6" t="s">
        <v>1034</v>
      </c>
      <c r="J452" s="9">
        <v>2558802095</v>
      </c>
      <c r="K452" s="68">
        <v>45747</v>
      </c>
      <c r="L452" s="68">
        <v>46022</v>
      </c>
      <c r="M452" s="68">
        <v>46203</v>
      </c>
      <c r="N452" s="69">
        <f t="shared" si="13"/>
        <v>6</v>
      </c>
      <c r="O452" s="69">
        <f t="shared" si="14"/>
        <v>1</v>
      </c>
      <c r="P452" s="70">
        <v>20</v>
      </c>
      <c r="Q452" s="70">
        <v>25</v>
      </c>
      <c r="R452" s="70">
        <v>26</v>
      </c>
      <c r="S452" s="68" t="str">
        <f t="shared" si="15"/>
        <v/>
      </c>
      <c r="T452" s="68"/>
      <c r="U452" s="68"/>
      <c r="V452" s="68"/>
      <c r="W452" s="9"/>
      <c r="X452" s="10" t="s">
        <v>1035</v>
      </c>
      <c r="Y452" s="71">
        <f t="shared" si="16"/>
        <v>25</v>
      </c>
      <c r="Z452" s="73">
        <f t="shared" si="17"/>
        <v>26</v>
      </c>
      <c r="AA452" s="73">
        <f t="shared" si="18"/>
        <v>6</v>
      </c>
      <c r="AB452" s="73">
        <f t="shared" si="19"/>
        <v>6</v>
      </c>
      <c r="AC452" s="73">
        <f t="shared" si="20"/>
        <v>1</v>
      </c>
      <c r="AD452" s="73">
        <f t="shared" si="21"/>
        <v>1</v>
      </c>
      <c r="AE452" s="73">
        <f t="shared" si="22"/>
        <v>6.0004520000000001</v>
      </c>
      <c r="AF452" s="73">
        <f t="shared" si="23"/>
        <v>6.0004520000000001</v>
      </c>
      <c r="AG452" s="73">
        <f t="shared" si="24"/>
        <v>1.0004519999999999</v>
      </c>
      <c r="AH452" s="73">
        <f t="shared" si="25"/>
        <v>1.0004519999999999</v>
      </c>
    </row>
    <row r="453" spans="1:34" ht="14.25" customHeight="1">
      <c r="A453" s="11">
        <v>438</v>
      </c>
      <c r="B453" s="66"/>
      <c r="C453" s="67"/>
      <c r="D453" s="67"/>
      <c r="E453" s="67"/>
      <c r="F453" s="67"/>
      <c r="G453" s="67" t="s">
        <v>35</v>
      </c>
      <c r="H453" s="67">
        <v>45821</v>
      </c>
      <c r="I453" s="6" t="s">
        <v>1036</v>
      </c>
      <c r="J453" s="9">
        <v>2568601080</v>
      </c>
      <c r="K453" s="68">
        <v>45808</v>
      </c>
      <c r="L453" s="68">
        <v>46022</v>
      </c>
      <c r="M453" s="68">
        <v>46203</v>
      </c>
      <c r="N453" s="69">
        <f t="shared" si="13"/>
        <v>14</v>
      </c>
      <c r="O453" s="69">
        <f t="shared" si="14"/>
        <v>9</v>
      </c>
      <c r="P453" s="70">
        <v>48</v>
      </c>
      <c r="Q453" s="70">
        <v>53</v>
      </c>
      <c r="R453" s="70">
        <v>62</v>
      </c>
      <c r="S453" s="68" t="str">
        <f t="shared" si="15"/>
        <v/>
      </c>
      <c r="T453" s="68"/>
      <c r="U453" s="68"/>
      <c r="V453" s="68"/>
      <c r="W453" s="9"/>
      <c r="X453" s="10"/>
      <c r="Y453" s="71">
        <f t="shared" si="16"/>
        <v>53</v>
      </c>
      <c r="Z453" s="73">
        <f t="shared" si="17"/>
        <v>62</v>
      </c>
      <c r="AA453" s="11" t="str">
        <f t="shared" si="18"/>
        <v/>
      </c>
      <c r="AB453" s="73">
        <f t="shared" si="19"/>
        <v>14</v>
      </c>
      <c r="AC453" s="11" t="str">
        <f t="shared" si="20"/>
        <v/>
      </c>
      <c r="AD453" s="73">
        <f t="shared" si="21"/>
        <v>9</v>
      </c>
      <c r="AE453" s="11" t="str">
        <f t="shared" si="22"/>
        <v/>
      </c>
      <c r="AF453" s="73">
        <f t="shared" si="23"/>
        <v>14.000453</v>
      </c>
      <c r="AG453" s="11" t="str">
        <f t="shared" si="24"/>
        <v/>
      </c>
      <c r="AH453" s="73">
        <f t="shared" si="25"/>
        <v>9.0004530000000003</v>
      </c>
    </row>
    <row r="454" spans="1:34" ht="14.25" customHeight="1">
      <c r="A454" s="11">
        <v>439</v>
      </c>
      <c r="B454" s="66" t="s">
        <v>1037</v>
      </c>
      <c r="C454" s="67">
        <v>45536</v>
      </c>
      <c r="D454" s="67">
        <v>44987</v>
      </c>
      <c r="E454" s="67"/>
      <c r="F454" s="67"/>
      <c r="G454" s="67" t="s">
        <v>35</v>
      </c>
      <c r="H454" s="67">
        <v>44988</v>
      </c>
      <c r="I454" s="6" t="s">
        <v>1038</v>
      </c>
      <c r="J454" s="9">
        <v>2568802671</v>
      </c>
      <c r="K454" s="68">
        <v>44985</v>
      </c>
      <c r="L454" s="68">
        <v>46022</v>
      </c>
      <c r="M454" s="68">
        <v>46203</v>
      </c>
      <c r="N454" s="69">
        <f t="shared" si="13"/>
        <v>-1</v>
      </c>
      <c r="O454" s="69">
        <f t="shared" si="14"/>
        <v>0</v>
      </c>
      <c r="P454" s="70">
        <v>5</v>
      </c>
      <c r="Q454" s="70">
        <v>4</v>
      </c>
      <c r="R454" s="70">
        <v>4</v>
      </c>
      <c r="S454" s="68" t="str">
        <f t="shared" si="15"/>
        <v/>
      </c>
      <c r="T454" s="68"/>
      <c r="U454" s="68">
        <v>46022</v>
      </c>
      <c r="V454" s="68"/>
      <c r="W454" s="9"/>
      <c r="X454" s="10"/>
      <c r="Y454" s="71">
        <f t="shared" si="16"/>
        <v>4</v>
      </c>
      <c r="Z454" s="73">
        <f t="shared" si="17"/>
        <v>4</v>
      </c>
      <c r="AA454" s="73">
        <f t="shared" si="18"/>
        <v>-1</v>
      </c>
      <c r="AB454" s="73">
        <f t="shared" si="19"/>
        <v>-1</v>
      </c>
      <c r="AC454" s="73">
        <f t="shared" si="20"/>
        <v>0</v>
      </c>
      <c r="AD454" s="73">
        <f t="shared" si="21"/>
        <v>0</v>
      </c>
      <c r="AE454" s="73">
        <f t="shared" si="22"/>
        <v>-0.99954600000000005</v>
      </c>
      <c r="AF454" s="73">
        <f t="shared" si="23"/>
        <v>-0.99954600000000005</v>
      </c>
      <c r="AG454" s="73">
        <f t="shared" si="24"/>
        <v>4.5399999999999998E-4</v>
      </c>
      <c r="AH454" s="73">
        <f t="shared" si="25"/>
        <v>4.5399999999999998E-4</v>
      </c>
    </row>
    <row r="455" spans="1:34" ht="14.25" customHeight="1">
      <c r="A455" s="11">
        <v>440</v>
      </c>
      <c r="B455" s="66" t="s">
        <v>35</v>
      </c>
      <c r="C455" s="67">
        <v>45078</v>
      </c>
      <c r="D455" s="67"/>
      <c r="E455" s="67"/>
      <c r="F455" s="67"/>
      <c r="G455" s="67"/>
      <c r="H455" s="67"/>
      <c r="I455" s="6" t="s">
        <v>1039</v>
      </c>
      <c r="J455" s="9">
        <v>2568802822</v>
      </c>
      <c r="K455" s="68">
        <v>45077</v>
      </c>
      <c r="L455" s="68">
        <v>46022</v>
      </c>
      <c r="M455" s="68">
        <v>46203</v>
      </c>
      <c r="N455" s="69">
        <f t="shared" si="13"/>
        <v>3</v>
      </c>
      <c r="O455" s="69">
        <f t="shared" si="14"/>
        <v>-3</v>
      </c>
      <c r="P455" s="70">
        <v>0</v>
      </c>
      <c r="Q455" s="70">
        <v>6</v>
      </c>
      <c r="R455" s="70">
        <v>3</v>
      </c>
      <c r="S455" s="68" t="str">
        <f t="shared" si="15"/>
        <v/>
      </c>
      <c r="T455" s="68"/>
      <c r="U455" s="68"/>
      <c r="V455" s="68"/>
      <c r="W455" s="9"/>
      <c r="X455" s="10"/>
      <c r="Y455" s="71">
        <f t="shared" si="16"/>
        <v>6</v>
      </c>
      <c r="Z455" s="73">
        <f t="shared" si="17"/>
        <v>3</v>
      </c>
      <c r="AA455" s="73">
        <f t="shared" si="18"/>
        <v>3</v>
      </c>
      <c r="AB455" s="11" t="str">
        <f t="shared" si="19"/>
        <v/>
      </c>
      <c r="AC455" s="73">
        <f t="shared" si="20"/>
        <v>-3</v>
      </c>
      <c r="AD455" s="11" t="str">
        <f t="shared" si="21"/>
        <v/>
      </c>
      <c r="AE455" s="73">
        <f t="shared" si="22"/>
        <v>3.0004550000000001</v>
      </c>
      <c r="AF455" s="11" t="str">
        <f t="shared" si="23"/>
        <v/>
      </c>
      <c r="AG455" s="73">
        <f t="shared" si="24"/>
        <v>-2.9995449999999999</v>
      </c>
      <c r="AH455" s="11" t="str">
        <f t="shared" si="25"/>
        <v/>
      </c>
    </row>
    <row r="456" spans="1:34" ht="14.25" customHeight="1">
      <c r="A456" s="11">
        <v>441</v>
      </c>
      <c r="B456" s="66"/>
      <c r="C456" s="67"/>
      <c r="D456" s="67"/>
      <c r="E456" s="67"/>
      <c r="F456" s="67"/>
      <c r="G456" s="67" t="s">
        <v>24</v>
      </c>
      <c r="H456" s="67">
        <v>42269</v>
      </c>
      <c r="I456" s="6" t="s">
        <v>1040</v>
      </c>
      <c r="J456" s="9">
        <v>2578100115</v>
      </c>
      <c r="K456" s="68">
        <v>42247</v>
      </c>
      <c r="L456" s="68">
        <v>46022</v>
      </c>
      <c r="M456" s="68">
        <v>46022</v>
      </c>
      <c r="N456" s="69">
        <f t="shared" si="13"/>
        <v>0</v>
      </c>
      <c r="O456" s="69" t="str">
        <f t="shared" si="14"/>
        <v>N/A</v>
      </c>
      <c r="P456" s="70">
        <v>0</v>
      </c>
      <c r="Q456" s="70">
        <v>0</v>
      </c>
      <c r="R456" s="70">
        <v>0</v>
      </c>
      <c r="S456" s="68">
        <f t="shared" si="15"/>
        <v>46000</v>
      </c>
      <c r="T456" s="68">
        <v>46000</v>
      </c>
      <c r="U456" s="68"/>
      <c r="V456" s="68"/>
      <c r="W456" s="9"/>
      <c r="X456" s="10"/>
      <c r="Y456" s="65" t="str">
        <f t="shared" si="16"/>
        <v/>
      </c>
      <c r="Z456" s="11" t="str">
        <f t="shared" si="17"/>
        <v/>
      </c>
      <c r="AA456" s="11" t="str">
        <f t="shared" si="18"/>
        <v/>
      </c>
      <c r="AB456" s="73">
        <f t="shared" si="19"/>
        <v>0</v>
      </c>
      <c r="AC456" s="11" t="str">
        <f t="shared" si="20"/>
        <v/>
      </c>
      <c r="AD456" s="11" t="str">
        <f t="shared" si="21"/>
        <v/>
      </c>
      <c r="AE456" s="11" t="str">
        <f t="shared" si="22"/>
        <v/>
      </c>
      <c r="AF456" s="73">
        <f t="shared" si="23"/>
        <v>4.5600000000000003E-4</v>
      </c>
      <c r="AG456" s="11" t="str">
        <f t="shared" si="24"/>
        <v/>
      </c>
      <c r="AH456" s="11" t="str">
        <f t="shared" si="25"/>
        <v/>
      </c>
    </row>
    <row r="457" spans="1:34" ht="14.25" customHeight="1">
      <c r="A457" s="11">
        <v>442</v>
      </c>
      <c r="B457" s="66" t="s">
        <v>35</v>
      </c>
      <c r="C457" s="67">
        <v>42416</v>
      </c>
      <c r="D457" s="67"/>
      <c r="E457" s="67"/>
      <c r="F457" s="67"/>
      <c r="G457" s="67"/>
      <c r="H457" s="67"/>
      <c r="I457" s="6" t="s">
        <v>1041</v>
      </c>
      <c r="J457" s="9">
        <v>2578100231</v>
      </c>
      <c r="K457" s="68">
        <v>42400</v>
      </c>
      <c r="L457" s="68">
        <v>46022</v>
      </c>
      <c r="M457" s="68">
        <v>46203</v>
      </c>
      <c r="N457" s="69">
        <f t="shared" si="13"/>
        <v>0</v>
      </c>
      <c r="O457" s="69">
        <f t="shared" si="14"/>
        <v>0</v>
      </c>
      <c r="P457" s="70">
        <v>0</v>
      </c>
      <c r="Q457" s="70">
        <v>0</v>
      </c>
      <c r="R457" s="70">
        <v>0</v>
      </c>
      <c r="S457" s="68" t="str">
        <f t="shared" si="15"/>
        <v/>
      </c>
      <c r="T457" s="68"/>
      <c r="U457" s="68"/>
      <c r="V457" s="68"/>
      <c r="W457" s="9"/>
      <c r="X457" s="10" t="s">
        <v>1042</v>
      </c>
      <c r="Y457" s="71">
        <f t="shared" si="16"/>
        <v>0</v>
      </c>
      <c r="Z457" s="73">
        <f t="shared" si="17"/>
        <v>0</v>
      </c>
      <c r="AA457" s="73">
        <f t="shared" si="18"/>
        <v>0</v>
      </c>
      <c r="AB457" s="11" t="str">
        <f t="shared" si="19"/>
        <v/>
      </c>
      <c r="AC457" s="73">
        <f t="shared" si="20"/>
        <v>0</v>
      </c>
      <c r="AD457" s="11" t="str">
        <f t="shared" si="21"/>
        <v/>
      </c>
      <c r="AE457" s="73">
        <f t="shared" si="22"/>
        <v>4.57E-4</v>
      </c>
      <c r="AF457" s="11" t="str">
        <f t="shared" si="23"/>
        <v/>
      </c>
      <c r="AG457" s="73">
        <f t="shared" si="24"/>
        <v>4.57E-4</v>
      </c>
      <c r="AH457" s="11" t="str">
        <f t="shared" si="25"/>
        <v/>
      </c>
    </row>
    <row r="458" spans="1:34" ht="14.25" customHeight="1">
      <c r="A458" s="11">
        <v>443</v>
      </c>
      <c r="B458" s="66" t="s">
        <v>35</v>
      </c>
      <c r="C458" s="67">
        <v>44896</v>
      </c>
      <c r="D458" s="67"/>
      <c r="E458" s="67"/>
      <c r="F458" s="67"/>
      <c r="G458" s="67"/>
      <c r="H458" s="67"/>
      <c r="I458" s="6" t="s">
        <v>1043</v>
      </c>
      <c r="J458" s="9">
        <v>2588601830</v>
      </c>
      <c r="K458" s="68">
        <v>44895</v>
      </c>
      <c r="L458" s="68">
        <v>46022</v>
      </c>
      <c r="M458" s="68">
        <v>46203</v>
      </c>
      <c r="N458" s="69">
        <f t="shared" si="13"/>
        <v>112</v>
      </c>
      <c r="O458" s="69">
        <f t="shared" si="14"/>
        <v>0</v>
      </c>
      <c r="P458" s="70">
        <v>41</v>
      </c>
      <c r="Q458" s="70">
        <v>153</v>
      </c>
      <c r="R458" s="70">
        <v>153</v>
      </c>
      <c r="S458" s="68" t="str">
        <f t="shared" si="15"/>
        <v/>
      </c>
      <c r="T458" s="68"/>
      <c r="U458" s="68"/>
      <c r="V458" s="68"/>
      <c r="W458" s="9"/>
      <c r="X458" s="10"/>
      <c r="Y458" s="71">
        <f t="shared" si="16"/>
        <v>153</v>
      </c>
      <c r="Z458" s="73">
        <f t="shared" si="17"/>
        <v>153</v>
      </c>
      <c r="AA458" s="73">
        <f t="shared" si="18"/>
        <v>112</v>
      </c>
      <c r="AB458" s="11" t="str">
        <f t="shared" si="19"/>
        <v/>
      </c>
      <c r="AC458" s="73">
        <f t="shared" si="20"/>
        <v>0</v>
      </c>
      <c r="AD458" s="11" t="str">
        <f t="shared" si="21"/>
        <v/>
      </c>
      <c r="AE458" s="73">
        <f t="shared" si="22"/>
        <v>112.00045799999999</v>
      </c>
      <c r="AF458" s="11" t="str">
        <f t="shared" si="23"/>
        <v/>
      </c>
      <c r="AG458" s="73">
        <f t="shared" si="24"/>
        <v>4.5800000000000002E-4</v>
      </c>
      <c r="AH458" s="11" t="str">
        <f t="shared" si="25"/>
        <v/>
      </c>
    </row>
    <row r="459" spans="1:34" ht="14.25" customHeight="1">
      <c r="A459" s="11">
        <v>444</v>
      </c>
      <c r="B459" s="66"/>
      <c r="C459" s="67"/>
      <c r="D459" s="67"/>
      <c r="E459" s="67"/>
      <c r="F459" s="67"/>
      <c r="G459" s="67" t="s">
        <v>35</v>
      </c>
      <c r="H459" s="67">
        <v>42117</v>
      </c>
      <c r="I459" s="6" t="s">
        <v>1044</v>
      </c>
      <c r="J459" s="9">
        <v>2588700070</v>
      </c>
      <c r="K459" s="68">
        <v>42094</v>
      </c>
      <c r="L459" s="68">
        <v>46022</v>
      </c>
      <c r="M459" s="68">
        <v>46203</v>
      </c>
      <c r="N459" s="69">
        <f t="shared" si="13"/>
        <v>1</v>
      </c>
      <c r="O459" s="69">
        <f t="shared" si="14"/>
        <v>-15</v>
      </c>
      <c r="P459" s="70">
        <v>0</v>
      </c>
      <c r="Q459" s="70">
        <v>16</v>
      </c>
      <c r="R459" s="70">
        <v>1</v>
      </c>
      <c r="S459" s="68" t="str">
        <f t="shared" si="15"/>
        <v/>
      </c>
      <c r="T459" s="68"/>
      <c r="U459" s="68"/>
      <c r="V459" s="68"/>
      <c r="W459" s="9"/>
      <c r="X459" s="10"/>
      <c r="Y459" s="71">
        <f t="shared" si="16"/>
        <v>16</v>
      </c>
      <c r="Z459" s="73">
        <f t="shared" si="17"/>
        <v>1</v>
      </c>
      <c r="AA459" s="11" t="str">
        <f t="shared" si="18"/>
        <v/>
      </c>
      <c r="AB459" s="73">
        <f t="shared" si="19"/>
        <v>1</v>
      </c>
      <c r="AC459" s="11" t="str">
        <f t="shared" si="20"/>
        <v/>
      </c>
      <c r="AD459" s="73">
        <f t="shared" si="21"/>
        <v>-15</v>
      </c>
      <c r="AE459" s="11" t="str">
        <f t="shared" si="22"/>
        <v/>
      </c>
      <c r="AF459" s="73">
        <f t="shared" si="23"/>
        <v>1.000459</v>
      </c>
      <c r="AG459" s="11" t="str">
        <f t="shared" si="24"/>
        <v/>
      </c>
      <c r="AH459" s="73">
        <f t="shared" si="25"/>
        <v>-14.999541000000001</v>
      </c>
    </row>
    <row r="460" spans="1:34" ht="14.25" customHeight="1">
      <c r="A460" s="11">
        <v>445</v>
      </c>
      <c r="B460" s="66"/>
      <c r="C460" s="67"/>
      <c r="D460" s="67"/>
      <c r="E460" s="67"/>
      <c r="F460" s="67"/>
      <c r="G460" s="67" t="s">
        <v>35</v>
      </c>
      <c r="H460" s="67">
        <v>44571</v>
      </c>
      <c r="I460" s="6" t="s">
        <v>1045</v>
      </c>
      <c r="J460" s="9">
        <v>2598100111</v>
      </c>
      <c r="K460" s="68">
        <v>44561</v>
      </c>
      <c r="L460" s="68">
        <v>46022</v>
      </c>
      <c r="M460" s="68">
        <v>46203</v>
      </c>
      <c r="N460" s="69">
        <f t="shared" si="13"/>
        <v>10</v>
      </c>
      <c r="O460" s="69">
        <f t="shared" si="14"/>
        <v>-4</v>
      </c>
      <c r="P460" s="70">
        <v>18</v>
      </c>
      <c r="Q460" s="70">
        <v>32</v>
      </c>
      <c r="R460" s="70">
        <v>28</v>
      </c>
      <c r="S460" s="68" t="str">
        <f t="shared" si="15"/>
        <v/>
      </c>
      <c r="T460" s="68"/>
      <c r="U460" s="68"/>
      <c r="V460" s="68"/>
      <c r="W460" s="9"/>
      <c r="X460" s="10"/>
      <c r="Y460" s="71">
        <f t="shared" si="16"/>
        <v>32</v>
      </c>
      <c r="Z460" s="73">
        <f t="shared" si="17"/>
        <v>28</v>
      </c>
      <c r="AA460" s="11" t="str">
        <f t="shared" si="18"/>
        <v/>
      </c>
      <c r="AB460" s="73">
        <f t="shared" si="19"/>
        <v>10</v>
      </c>
      <c r="AC460" s="11" t="str">
        <f t="shared" si="20"/>
        <v/>
      </c>
      <c r="AD460" s="73">
        <f t="shared" si="21"/>
        <v>-4</v>
      </c>
      <c r="AE460" s="11" t="str">
        <f t="shared" si="22"/>
        <v/>
      </c>
      <c r="AF460" s="73">
        <f t="shared" si="23"/>
        <v>10.00046</v>
      </c>
      <c r="AG460" s="11" t="str">
        <f t="shared" si="24"/>
        <v/>
      </c>
      <c r="AH460" s="73">
        <f t="shared" si="25"/>
        <v>-3.9995400000000001</v>
      </c>
    </row>
    <row r="461" spans="1:34" ht="14.25" customHeight="1">
      <c r="A461" s="11">
        <v>446</v>
      </c>
      <c r="B461" s="66"/>
      <c r="C461" s="67"/>
      <c r="D461" s="67"/>
      <c r="E461" s="67"/>
      <c r="F461" s="67"/>
      <c r="G461" s="67" t="s">
        <v>35</v>
      </c>
      <c r="H461" s="67">
        <v>44546</v>
      </c>
      <c r="I461" s="6" t="s">
        <v>1046</v>
      </c>
      <c r="J461" s="9">
        <v>2608801818</v>
      </c>
      <c r="K461" s="68">
        <v>44530</v>
      </c>
      <c r="L461" s="68">
        <v>46022</v>
      </c>
      <c r="M461" s="68">
        <v>46203</v>
      </c>
      <c r="N461" s="69">
        <f t="shared" si="13"/>
        <v>14</v>
      </c>
      <c r="O461" s="69">
        <f t="shared" si="14"/>
        <v>-2</v>
      </c>
      <c r="P461" s="70">
        <v>17</v>
      </c>
      <c r="Q461" s="70">
        <v>33</v>
      </c>
      <c r="R461" s="70">
        <v>31</v>
      </c>
      <c r="S461" s="68" t="str">
        <f t="shared" si="15"/>
        <v/>
      </c>
      <c r="T461" s="68"/>
      <c r="U461" s="68"/>
      <c r="V461" s="68"/>
      <c r="W461" s="9"/>
      <c r="X461" s="10"/>
      <c r="Y461" s="71">
        <f t="shared" si="16"/>
        <v>33</v>
      </c>
      <c r="Z461" s="73">
        <f t="shared" si="17"/>
        <v>31</v>
      </c>
      <c r="AA461" s="11" t="str">
        <f t="shared" si="18"/>
        <v/>
      </c>
      <c r="AB461" s="73">
        <f t="shared" si="19"/>
        <v>14</v>
      </c>
      <c r="AC461" s="11" t="str">
        <f t="shared" si="20"/>
        <v/>
      </c>
      <c r="AD461" s="73">
        <f t="shared" si="21"/>
        <v>-2</v>
      </c>
      <c r="AE461" s="11" t="str">
        <f t="shared" si="22"/>
        <v/>
      </c>
      <c r="AF461" s="73">
        <f t="shared" si="23"/>
        <v>14.000461</v>
      </c>
      <c r="AG461" s="11" t="str">
        <f t="shared" si="24"/>
        <v/>
      </c>
      <c r="AH461" s="73">
        <f t="shared" si="25"/>
        <v>-1.999539</v>
      </c>
    </row>
    <row r="462" spans="1:34" ht="14.25" customHeight="1">
      <c r="A462" s="11">
        <v>447</v>
      </c>
      <c r="B462" s="66"/>
      <c r="C462" s="67"/>
      <c r="D462" s="67"/>
      <c r="E462" s="67"/>
      <c r="F462" s="67"/>
      <c r="G462" s="67" t="s">
        <v>35</v>
      </c>
      <c r="H462" s="67">
        <v>41775</v>
      </c>
      <c r="I462" s="6" t="s">
        <v>1047</v>
      </c>
      <c r="J462" s="9">
        <v>2618103111</v>
      </c>
      <c r="K462" s="68">
        <v>41759</v>
      </c>
      <c r="L462" s="68">
        <v>46022</v>
      </c>
      <c r="M462" s="68">
        <v>46203</v>
      </c>
      <c r="N462" s="69">
        <f t="shared" si="13"/>
        <v>1</v>
      </c>
      <c r="O462" s="69">
        <f t="shared" si="14"/>
        <v>0</v>
      </c>
      <c r="P462" s="70">
        <v>4</v>
      </c>
      <c r="Q462" s="70">
        <v>5</v>
      </c>
      <c r="R462" s="70">
        <v>5</v>
      </c>
      <c r="S462" s="68" t="str">
        <f t="shared" si="15"/>
        <v/>
      </c>
      <c r="T462" s="68"/>
      <c r="U462" s="68"/>
      <c r="V462" s="68"/>
      <c r="W462" s="9"/>
      <c r="X462" s="10"/>
      <c r="Y462" s="71">
        <f t="shared" si="16"/>
        <v>5</v>
      </c>
      <c r="Z462" s="73">
        <f t="shared" si="17"/>
        <v>5</v>
      </c>
      <c r="AA462" s="11" t="str">
        <f t="shared" si="18"/>
        <v/>
      </c>
      <c r="AB462" s="73">
        <f t="shared" si="19"/>
        <v>1</v>
      </c>
      <c r="AC462" s="11" t="str">
        <f t="shared" si="20"/>
        <v/>
      </c>
      <c r="AD462" s="73">
        <f t="shared" si="21"/>
        <v>0</v>
      </c>
      <c r="AE462" s="11" t="str">
        <f t="shared" si="22"/>
        <v/>
      </c>
      <c r="AF462" s="73">
        <f t="shared" si="23"/>
        <v>1.000462</v>
      </c>
      <c r="AG462" s="11" t="str">
        <f t="shared" si="24"/>
        <v/>
      </c>
      <c r="AH462" s="73">
        <f t="shared" si="25"/>
        <v>4.6200000000000001E-4</v>
      </c>
    </row>
    <row r="463" spans="1:34" ht="14.25" customHeight="1">
      <c r="A463" s="11">
        <v>448</v>
      </c>
      <c r="B463" s="66" t="s">
        <v>24</v>
      </c>
      <c r="C463" s="67">
        <v>42186</v>
      </c>
      <c r="D463" s="67">
        <v>42244</v>
      </c>
      <c r="E463" s="67"/>
      <c r="F463" s="67"/>
      <c r="G463" s="67"/>
      <c r="H463" s="67"/>
      <c r="I463" s="6" t="s">
        <v>1048</v>
      </c>
      <c r="J463" s="9">
        <v>2618105365</v>
      </c>
      <c r="K463" s="68">
        <v>42185</v>
      </c>
      <c r="L463" s="68" t="s">
        <v>230</v>
      </c>
      <c r="M463" s="68">
        <v>42855</v>
      </c>
      <c r="N463" s="69">
        <f t="shared" si="13"/>
        <v>0</v>
      </c>
      <c r="O463" s="69" t="str">
        <f t="shared" si="14"/>
        <v>N/A</v>
      </c>
      <c r="P463" s="70">
        <v>0</v>
      </c>
      <c r="Q463" s="70"/>
      <c r="R463" s="70">
        <v>0</v>
      </c>
      <c r="S463" s="68">
        <f t="shared" si="15"/>
        <v>42855</v>
      </c>
      <c r="T463" s="68">
        <v>42855</v>
      </c>
      <c r="U463" s="68">
        <v>42735</v>
      </c>
      <c r="V463" s="92">
        <v>45560</v>
      </c>
      <c r="W463" s="9"/>
      <c r="X463" s="10"/>
      <c r="Y463" s="65" t="str">
        <f t="shared" si="16"/>
        <v/>
      </c>
      <c r="Z463" s="11" t="str">
        <f t="shared" si="17"/>
        <v/>
      </c>
      <c r="AA463" s="73">
        <f t="shared" si="18"/>
        <v>0</v>
      </c>
      <c r="AB463" s="11" t="str">
        <f t="shared" si="19"/>
        <v/>
      </c>
      <c r="AC463" s="11" t="str">
        <f t="shared" si="20"/>
        <v/>
      </c>
      <c r="AD463" s="11" t="str">
        <f t="shared" si="21"/>
        <v/>
      </c>
      <c r="AE463" s="73">
        <f t="shared" si="22"/>
        <v>4.6299999999999998E-4</v>
      </c>
      <c r="AF463" s="11" t="str">
        <f t="shared" si="23"/>
        <v/>
      </c>
      <c r="AG463" s="11" t="str">
        <f t="shared" si="24"/>
        <v/>
      </c>
      <c r="AH463" s="11" t="str">
        <f t="shared" si="25"/>
        <v/>
      </c>
    </row>
    <row r="464" spans="1:34" ht="14.25" customHeight="1">
      <c r="A464" s="11">
        <v>449</v>
      </c>
      <c r="B464" s="66"/>
      <c r="C464" s="67"/>
      <c r="D464" s="67"/>
      <c r="E464" s="67"/>
      <c r="F464" s="67"/>
      <c r="G464" s="67" t="s">
        <v>35</v>
      </c>
      <c r="H464" s="67">
        <v>42451</v>
      </c>
      <c r="I464" s="6" t="s">
        <v>1049</v>
      </c>
      <c r="J464" s="9">
        <v>2618113128</v>
      </c>
      <c r="K464" s="68">
        <v>42429</v>
      </c>
      <c r="L464" s="68">
        <v>46022</v>
      </c>
      <c r="M464" s="68">
        <v>46203</v>
      </c>
      <c r="N464" s="69">
        <f t="shared" si="13"/>
        <v>-4</v>
      </c>
      <c r="O464" s="69">
        <f t="shared" si="14"/>
        <v>0</v>
      </c>
      <c r="P464" s="70">
        <v>8</v>
      </c>
      <c r="Q464" s="70">
        <v>4</v>
      </c>
      <c r="R464" s="70">
        <v>4</v>
      </c>
      <c r="S464" s="68" t="str">
        <f t="shared" si="15"/>
        <v/>
      </c>
      <c r="T464" s="68"/>
      <c r="U464" s="68"/>
      <c r="V464" s="68"/>
      <c r="W464" s="9"/>
      <c r="X464" s="10"/>
      <c r="Y464" s="71">
        <f t="shared" si="16"/>
        <v>4</v>
      </c>
      <c r="Z464" s="73">
        <f t="shared" si="17"/>
        <v>4</v>
      </c>
      <c r="AA464" s="11" t="str">
        <f t="shared" si="18"/>
        <v/>
      </c>
      <c r="AB464" s="73">
        <f t="shared" si="19"/>
        <v>-4</v>
      </c>
      <c r="AC464" s="11" t="str">
        <f t="shared" si="20"/>
        <v/>
      </c>
      <c r="AD464" s="73">
        <f t="shared" si="21"/>
        <v>0</v>
      </c>
      <c r="AE464" s="11" t="str">
        <f t="shared" si="22"/>
        <v/>
      </c>
      <c r="AF464" s="73">
        <f t="shared" si="23"/>
        <v>-3.999536</v>
      </c>
      <c r="AG464" s="11" t="str">
        <f t="shared" si="24"/>
        <v/>
      </c>
      <c r="AH464" s="73">
        <f t="shared" si="25"/>
        <v>4.64E-4</v>
      </c>
    </row>
    <row r="465" spans="1:34" ht="14.25" customHeight="1">
      <c r="A465" s="11">
        <v>450</v>
      </c>
      <c r="B465" s="66"/>
      <c r="C465" s="67"/>
      <c r="D465" s="67"/>
      <c r="E465" s="67"/>
      <c r="F465" s="67"/>
      <c r="G465" s="67" t="s">
        <v>35</v>
      </c>
      <c r="H465" s="67">
        <v>43371</v>
      </c>
      <c r="I465" s="6" t="s">
        <v>1050</v>
      </c>
      <c r="J465" s="9">
        <v>2618114700</v>
      </c>
      <c r="K465" s="68">
        <v>43343</v>
      </c>
      <c r="L465" s="68">
        <v>46022</v>
      </c>
      <c r="M465" s="68">
        <v>46203</v>
      </c>
      <c r="N465" s="69">
        <f t="shared" si="13"/>
        <v>-16</v>
      </c>
      <c r="O465" s="69">
        <f t="shared" si="14"/>
        <v>-1</v>
      </c>
      <c r="P465" s="70">
        <v>23</v>
      </c>
      <c r="Q465" s="70">
        <v>8</v>
      </c>
      <c r="R465" s="70">
        <v>7</v>
      </c>
      <c r="S465" s="68" t="str">
        <f t="shared" si="15"/>
        <v/>
      </c>
      <c r="T465" s="68"/>
      <c r="U465" s="68"/>
      <c r="V465" s="68"/>
      <c r="W465" s="9"/>
      <c r="X465" s="10"/>
      <c r="Y465" s="71">
        <f t="shared" si="16"/>
        <v>8</v>
      </c>
      <c r="Z465" s="73">
        <f t="shared" si="17"/>
        <v>7</v>
      </c>
      <c r="AA465" s="11" t="str">
        <f t="shared" si="18"/>
        <v/>
      </c>
      <c r="AB465" s="73">
        <f t="shared" si="19"/>
        <v>-16</v>
      </c>
      <c r="AC465" s="11" t="str">
        <f t="shared" si="20"/>
        <v/>
      </c>
      <c r="AD465" s="73">
        <f t="shared" si="21"/>
        <v>-1</v>
      </c>
      <c r="AE465" s="11" t="str">
        <f t="shared" si="22"/>
        <v/>
      </c>
      <c r="AF465" s="73">
        <f t="shared" si="23"/>
        <v>-15.999535</v>
      </c>
      <c r="AG465" s="11" t="str">
        <f t="shared" si="24"/>
        <v/>
      </c>
      <c r="AH465" s="73">
        <f t="shared" si="25"/>
        <v>-0.99953499999999995</v>
      </c>
    </row>
    <row r="466" spans="1:34" ht="14.25" customHeight="1">
      <c r="A466" s="11">
        <v>451</v>
      </c>
      <c r="B466" s="66"/>
      <c r="C466" s="67"/>
      <c r="D466" s="67"/>
      <c r="E466" s="67"/>
      <c r="F466" s="67"/>
      <c r="G466" s="67" t="s">
        <v>24</v>
      </c>
      <c r="H466" s="67">
        <v>42145</v>
      </c>
      <c r="I466" s="6" t="s">
        <v>1051</v>
      </c>
      <c r="J466" s="9">
        <v>2618114826</v>
      </c>
      <c r="K466" s="68">
        <v>42124</v>
      </c>
      <c r="L466" s="68" t="s">
        <v>230</v>
      </c>
      <c r="M466" s="68">
        <v>43646</v>
      </c>
      <c r="N466" s="69">
        <f t="shared" si="13"/>
        <v>-6</v>
      </c>
      <c r="O466" s="69" t="str">
        <f t="shared" si="14"/>
        <v>N/A</v>
      </c>
      <c r="P466" s="70">
        <v>6</v>
      </c>
      <c r="Q466" s="70"/>
      <c r="R466" s="70">
        <v>0</v>
      </c>
      <c r="S466" s="68">
        <f t="shared" si="15"/>
        <v>43646</v>
      </c>
      <c r="T466" s="68">
        <v>43646</v>
      </c>
      <c r="U466" s="68"/>
      <c r="V466" s="68"/>
      <c r="W466" s="9"/>
      <c r="X466" s="10"/>
      <c r="Y466" s="65" t="str">
        <f t="shared" si="16"/>
        <v/>
      </c>
      <c r="Z466" s="11" t="str">
        <f t="shared" si="17"/>
        <v/>
      </c>
      <c r="AA466" s="11" t="str">
        <f t="shared" si="18"/>
        <v/>
      </c>
      <c r="AB466" s="73">
        <f t="shared" si="19"/>
        <v>-6</v>
      </c>
      <c r="AC466" s="11" t="str">
        <f t="shared" si="20"/>
        <v/>
      </c>
      <c r="AD466" s="11" t="str">
        <f t="shared" si="21"/>
        <v/>
      </c>
      <c r="AE466" s="11" t="str">
        <f t="shared" si="22"/>
        <v/>
      </c>
      <c r="AF466" s="73">
        <f t="shared" si="23"/>
        <v>-5.9995339999999997</v>
      </c>
      <c r="AG466" s="11" t="str">
        <f t="shared" si="24"/>
        <v/>
      </c>
      <c r="AH466" s="11" t="str">
        <f t="shared" si="25"/>
        <v/>
      </c>
    </row>
    <row r="467" spans="1:34" ht="14.25" customHeight="1">
      <c r="A467" s="11">
        <v>452</v>
      </c>
      <c r="B467" s="66"/>
      <c r="C467" s="67"/>
      <c r="D467" s="67"/>
      <c r="E467" s="67"/>
      <c r="F467" s="67"/>
      <c r="G467" s="67" t="s">
        <v>35</v>
      </c>
      <c r="H467" s="67">
        <v>45548</v>
      </c>
      <c r="I467" s="6" t="s">
        <v>1052</v>
      </c>
      <c r="J467" s="9">
        <v>2618114845</v>
      </c>
      <c r="K467" s="68">
        <v>45535</v>
      </c>
      <c r="L467" s="68">
        <v>46022</v>
      </c>
      <c r="M467" s="68">
        <v>46203</v>
      </c>
      <c r="N467" s="69">
        <f t="shared" si="13"/>
        <v>199</v>
      </c>
      <c r="O467" s="69">
        <f t="shared" si="14"/>
        <v>74</v>
      </c>
      <c r="P467" s="70">
        <v>151</v>
      </c>
      <c r="Q467" s="70">
        <v>276</v>
      </c>
      <c r="R467" s="70">
        <v>350</v>
      </c>
      <c r="S467" s="68" t="str">
        <f t="shared" si="15"/>
        <v/>
      </c>
      <c r="T467" s="68"/>
      <c r="U467" s="68"/>
      <c r="V467" s="68"/>
      <c r="W467" s="9"/>
      <c r="X467" s="10"/>
      <c r="Y467" s="71">
        <f t="shared" si="16"/>
        <v>276</v>
      </c>
      <c r="Z467" s="73">
        <f t="shared" si="17"/>
        <v>350</v>
      </c>
      <c r="AA467" s="11" t="str">
        <f t="shared" si="18"/>
        <v/>
      </c>
      <c r="AB467" s="73">
        <f t="shared" si="19"/>
        <v>199</v>
      </c>
      <c r="AC467" s="11" t="str">
        <f t="shared" si="20"/>
        <v/>
      </c>
      <c r="AD467" s="73">
        <f t="shared" si="21"/>
        <v>74</v>
      </c>
      <c r="AE467" s="11" t="str">
        <f t="shared" si="22"/>
        <v/>
      </c>
      <c r="AF467" s="73">
        <f t="shared" si="23"/>
        <v>199.00046699999999</v>
      </c>
      <c r="AG467" s="11" t="str">
        <f t="shared" si="24"/>
        <v/>
      </c>
      <c r="AH467" s="73">
        <f t="shared" si="25"/>
        <v>74.000467</v>
      </c>
    </row>
    <row r="468" spans="1:34" ht="14.25" customHeight="1">
      <c r="A468" s="11">
        <v>453</v>
      </c>
      <c r="B468" s="66"/>
      <c r="C468" s="67"/>
      <c r="D468" s="67"/>
      <c r="E468" s="67"/>
      <c r="F468" s="67"/>
      <c r="G468" s="67" t="s">
        <v>35</v>
      </c>
      <c r="H468" s="67">
        <v>44432</v>
      </c>
      <c r="I468" s="6" t="s">
        <v>1053</v>
      </c>
      <c r="J468" s="9">
        <v>2618124760</v>
      </c>
      <c r="K468" s="68">
        <v>44408</v>
      </c>
      <c r="L468" s="68">
        <v>46022</v>
      </c>
      <c r="M468" s="68">
        <v>46203</v>
      </c>
      <c r="N468" s="69">
        <f t="shared" si="13"/>
        <v>-10</v>
      </c>
      <c r="O468" s="69">
        <f t="shared" si="14"/>
        <v>0</v>
      </c>
      <c r="P468" s="70">
        <v>10</v>
      </c>
      <c r="Q468" s="70">
        <v>0</v>
      </c>
      <c r="R468" s="70">
        <v>0</v>
      </c>
      <c r="S468" s="68" t="str">
        <f t="shared" si="15"/>
        <v/>
      </c>
      <c r="T468" s="68"/>
      <c r="U468" s="68"/>
      <c r="V468" s="68"/>
      <c r="W468" s="9"/>
      <c r="X468" s="10"/>
      <c r="Y468" s="71">
        <f t="shared" si="16"/>
        <v>0</v>
      </c>
      <c r="Z468" s="73">
        <f t="shared" si="17"/>
        <v>0</v>
      </c>
      <c r="AA468" s="11" t="str">
        <f t="shared" si="18"/>
        <v/>
      </c>
      <c r="AB468" s="73">
        <f t="shared" si="19"/>
        <v>-10</v>
      </c>
      <c r="AC468" s="11" t="str">
        <f t="shared" si="20"/>
        <v/>
      </c>
      <c r="AD468" s="73">
        <f t="shared" si="21"/>
        <v>0</v>
      </c>
      <c r="AE468" s="11" t="str">
        <f t="shared" si="22"/>
        <v/>
      </c>
      <c r="AF468" s="73">
        <f t="shared" si="23"/>
        <v>-9.9995320000000003</v>
      </c>
      <c r="AG468" s="11" t="str">
        <f t="shared" si="24"/>
        <v/>
      </c>
      <c r="AH468" s="73">
        <f t="shared" si="25"/>
        <v>4.6799999999999999E-4</v>
      </c>
    </row>
    <row r="469" spans="1:34" ht="14.25" customHeight="1">
      <c r="A469" s="11">
        <v>454</v>
      </c>
      <c r="B469" s="66"/>
      <c r="C469" s="67"/>
      <c r="D469" s="67"/>
      <c r="E469" s="67"/>
      <c r="F469" s="67"/>
      <c r="G469" s="67" t="s">
        <v>35</v>
      </c>
      <c r="H469" s="67">
        <v>45555</v>
      </c>
      <c r="I469" s="6" t="s">
        <v>1054</v>
      </c>
      <c r="J469" s="9">
        <v>2618602679</v>
      </c>
      <c r="K469" s="68">
        <v>45535</v>
      </c>
      <c r="L469" s="68">
        <v>46022</v>
      </c>
      <c r="M469" s="68">
        <v>46203</v>
      </c>
      <c r="N469" s="69">
        <f t="shared" si="13"/>
        <v>-2</v>
      </c>
      <c r="O469" s="69">
        <f t="shared" si="14"/>
        <v>-1</v>
      </c>
      <c r="P469" s="70">
        <v>11</v>
      </c>
      <c r="Q469" s="70">
        <v>10</v>
      </c>
      <c r="R469" s="70">
        <v>9</v>
      </c>
      <c r="S469" s="68" t="str">
        <f t="shared" si="15"/>
        <v/>
      </c>
      <c r="T469" s="68"/>
      <c r="U469" s="68"/>
      <c r="V469" s="68"/>
      <c r="W469" s="9"/>
      <c r="X469" s="10"/>
      <c r="Y469" s="71">
        <f t="shared" si="16"/>
        <v>10</v>
      </c>
      <c r="Z469" s="73">
        <f t="shared" si="17"/>
        <v>9</v>
      </c>
      <c r="AA469" s="11" t="str">
        <f t="shared" si="18"/>
        <v/>
      </c>
      <c r="AB469" s="73">
        <f t="shared" si="19"/>
        <v>-2</v>
      </c>
      <c r="AC469" s="11" t="str">
        <f t="shared" si="20"/>
        <v/>
      </c>
      <c r="AD469" s="73">
        <f t="shared" si="21"/>
        <v>-1</v>
      </c>
      <c r="AE469" s="11" t="str">
        <f t="shared" si="22"/>
        <v/>
      </c>
      <c r="AF469" s="73">
        <f t="shared" si="23"/>
        <v>-1.9995309999999999</v>
      </c>
      <c r="AG469" s="11" t="str">
        <f t="shared" si="24"/>
        <v/>
      </c>
      <c r="AH469" s="73">
        <f t="shared" si="25"/>
        <v>-0.99953099999999995</v>
      </c>
    </row>
    <row r="470" spans="1:34" ht="14.25" customHeight="1">
      <c r="A470" s="11">
        <v>455</v>
      </c>
      <c r="B470" s="66"/>
      <c r="C470" s="67"/>
      <c r="D470" s="67"/>
      <c r="E470" s="67"/>
      <c r="F470" s="67"/>
      <c r="G470" s="67" t="s">
        <v>35</v>
      </c>
      <c r="H470" s="67">
        <v>45154</v>
      </c>
      <c r="I470" s="6" t="s">
        <v>1055</v>
      </c>
      <c r="J470" s="9">
        <v>2628701160</v>
      </c>
      <c r="K470" s="68">
        <v>45138</v>
      </c>
      <c r="L470" s="68">
        <v>46022</v>
      </c>
      <c r="M470" s="68">
        <v>46203</v>
      </c>
      <c r="N470" s="69">
        <f t="shared" si="13"/>
        <v>-1</v>
      </c>
      <c r="O470" s="69">
        <f t="shared" si="14"/>
        <v>0</v>
      </c>
      <c r="P470" s="70">
        <v>1</v>
      </c>
      <c r="Q470" s="70">
        <v>0</v>
      </c>
      <c r="R470" s="70">
        <v>0</v>
      </c>
      <c r="S470" s="68" t="str">
        <f t="shared" si="15"/>
        <v/>
      </c>
      <c r="T470" s="68"/>
      <c r="U470" s="68"/>
      <c r="V470" s="68"/>
      <c r="W470" s="9"/>
      <c r="X470" s="10"/>
      <c r="Y470" s="71">
        <f t="shared" si="16"/>
        <v>0</v>
      </c>
      <c r="Z470" s="73">
        <f t="shared" si="17"/>
        <v>0</v>
      </c>
      <c r="AA470" s="11" t="str">
        <f t="shared" si="18"/>
        <v/>
      </c>
      <c r="AB470" s="73">
        <f t="shared" si="19"/>
        <v>-1</v>
      </c>
      <c r="AC470" s="11" t="str">
        <f t="shared" si="20"/>
        <v/>
      </c>
      <c r="AD470" s="73">
        <f t="shared" si="21"/>
        <v>0</v>
      </c>
      <c r="AE470" s="11" t="str">
        <f t="shared" si="22"/>
        <v/>
      </c>
      <c r="AF470" s="73">
        <f t="shared" si="23"/>
        <v>-0.99953000000000003</v>
      </c>
      <c r="AG470" s="11" t="str">
        <f t="shared" si="24"/>
        <v/>
      </c>
      <c r="AH470" s="73">
        <f t="shared" si="25"/>
        <v>4.6999999999999999E-4</v>
      </c>
    </row>
    <row r="471" spans="1:34" ht="14.25" customHeight="1">
      <c r="A471" s="11">
        <v>456</v>
      </c>
      <c r="B471" s="66" t="s">
        <v>35</v>
      </c>
      <c r="C471" s="67">
        <v>45170</v>
      </c>
      <c r="D471" s="67"/>
      <c r="E471" s="67"/>
      <c r="F471" s="67"/>
      <c r="G471" s="67"/>
      <c r="H471" s="67"/>
      <c r="I471" s="6" t="s">
        <v>1056</v>
      </c>
      <c r="J471" s="9">
        <v>2628702081</v>
      </c>
      <c r="K471" s="68">
        <v>45169</v>
      </c>
      <c r="L471" s="68">
        <v>46022</v>
      </c>
      <c r="M471" s="68">
        <v>46203</v>
      </c>
      <c r="N471" s="69">
        <f t="shared" si="13"/>
        <v>4</v>
      </c>
      <c r="O471" s="69">
        <f t="shared" si="14"/>
        <v>-4</v>
      </c>
      <c r="P471" s="70">
        <v>8</v>
      </c>
      <c r="Q471" s="70">
        <v>16</v>
      </c>
      <c r="R471" s="70">
        <v>12</v>
      </c>
      <c r="S471" s="68" t="str">
        <f t="shared" si="15"/>
        <v/>
      </c>
      <c r="T471" s="68"/>
      <c r="U471" s="68"/>
      <c r="V471" s="68"/>
      <c r="W471" s="9"/>
      <c r="X471" s="10"/>
      <c r="Y471" s="71">
        <f t="shared" si="16"/>
        <v>16</v>
      </c>
      <c r="Z471" s="73">
        <f t="shared" si="17"/>
        <v>12</v>
      </c>
      <c r="AA471" s="73">
        <f t="shared" si="18"/>
        <v>4</v>
      </c>
      <c r="AB471" s="11" t="str">
        <f t="shared" si="19"/>
        <v/>
      </c>
      <c r="AC471" s="73">
        <f t="shared" si="20"/>
        <v>-4</v>
      </c>
      <c r="AD471" s="11" t="str">
        <f t="shared" si="21"/>
        <v/>
      </c>
      <c r="AE471" s="73">
        <f t="shared" si="22"/>
        <v>4.0004710000000001</v>
      </c>
      <c r="AF471" s="11" t="str">
        <f t="shared" si="23"/>
        <v/>
      </c>
      <c r="AG471" s="73">
        <f t="shared" si="24"/>
        <v>-3.9995289999999999</v>
      </c>
      <c r="AH471" s="11" t="str">
        <f t="shared" si="25"/>
        <v/>
      </c>
    </row>
    <row r="472" spans="1:34" ht="14.25" customHeight="1">
      <c r="A472" s="11">
        <v>457</v>
      </c>
      <c r="B472" s="66" t="s">
        <v>35</v>
      </c>
      <c r="C472" s="67">
        <v>43712</v>
      </c>
      <c r="D472" s="67"/>
      <c r="E472" s="67"/>
      <c r="F472" s="67"/>
      <c r="G472" s="67"/>
      <c r="H472" s="67"/>
      <c r="I472" s="6" t="s">
        <v>1057</v>
      </c>
      <c r="J472" s="9">
        <v>2628801167</v>
      </c>
      <c r="K472" s="68">
        <v>43708</v>
      </c>
      <c r="L472" s="68">
        <v>46022</v>
      </c>
      <c r="M472" s="68">
        <v>46203</v>
      </c>
      <c r="N472" s="69">
        <f t="shared" si="13"/>
        <v>12</v>
      </c>
      <c r="O472" s="69">
        <f t="shared" si="14"/>
        <v>3</v>
      </c>
      <c r="P472" s="70">
        <v>6</v>
      </c>
      <c r="Q472" s="70">
        <v>15</v>
      </c>
      <c r="R472" s="70">
        <v>18</v>
      </c>
      <c r="S472" s="68" t="str">
        <f t="shared" si="15"/>
        <v/>
      </c>
      <c r="T472" s="68"/>
      <c r="U472" s="68"/>
      <c r="V472" s="68"/>
      <c r="W472" s="9"/>
      <c r="X472" s="10"/>
      <c r="Y472" s="71">
        <f t="shared" si="16"/>
        <v>15</v>
      </c>
      <c r="Z472" s="73">
        <f t="shared" si="17"/>
        <v>18</v>
      </c>
      <c r="AA472" s="73">
        <f t="shared" si="18"/>
        <v>12</v>
      </c>
      <c r="AB472" s="11" t="str">
        <f t="shared" si="19"/>
        <v/>
      </c>
      <c r="AC472" s="73">
        <f t="shared" si="20"/>
        <v>3</v>
      </c>
      <c r="AD472" s="11" t="str">
        <f t="shared" si="21"/>
        <v/>
      </c>
      <c r="AE472" s="73">
        <f t="shared" si="22"/>
        <v>12.000472</v>
      </c>
      <c r="AF472" s="11" t="str">
        <f t="shared" si="23"/>
        <v/>
      </c>
      <c r="AG472" s="73">
        <f t="shared" si="24"/>
        <v>3.0004719999999998</v>
      </c>
      <c r="AH472" s="11" t="str">
        <f t="shared" si="25"/>
        <v/>
      </c>
    </row>
    <row r="473" spans="1:34" ht="14.25" customHeight="1">
      <c r="A473" s="11">
        <v>458</v>
      </c>
      <c r="B473" s="66"/>
      <c r="C473" s="67"/>
      <c r="D473" s="67"/>
      <c r="E473" s="67"/>
      <c r="F473" s="67"/>
      <c r="G473" s="67" t="s">
        <v>35</v>
      </c>
      <c r="H473" s="67">
        <v>43341</v>
      </c>
      <c r="I473" s="6" t="s">
        <v>1058</v>
      </c>
      <c r="J473" s="9">
        <v>2638701071</v>
      </c>
      <c r="K473" s="68">
        <v>43312</v>
      </c>
      <c r="L473" s="68">
        <v>46022</v>
      </c>
      <c r="M473" s="68">
        <v>46203</v>
      </c>
      <c r="N473" s="69">
        <f t="shared" si="13"/>
        <v>39</v>
      </c>
      <c r="O473" s="69">
        <f t="shared" si="14"/>
        <v>1</v>
      </c>
      <c r="P473" s="70">
        <v>0</v>
      </c>
      <c r="Q473" s="70">
        <v>38</v>
      </c>
      <c r="R473" s="70">
        <v>39</v>
      </c>
      <c r="S473" s="68" t="str">
        <f t="shared" si="15"/>
        <v/>
      </c>
      <c r="T473" s="68"/>
      <c r="U473" s="68"/>
      <c r="V473" s="68"/>
      <c r="W473" s="9"/>
      <c r="X473" s="10"/>
      <c r="Y473" s="71">
        <f t="shared" si="16"/>
        <v>38</v>
      </c>
      <c r="Z473" s="73">
        <f t="shared" si="17"/>
        <v>39</v>
      </c>
      <c r="AA473" s="11" t="str">
        <f t="shared" si="18"/>
        <v/>
      </c>
      <c r="AB473" s="73">
        <f t="shared" si="19"/>
        <v>39</v>
      </c>
      <c r="AC473" s="11" t="str">
        <f t="shared" si="20"/>
        <v/>
      </c>
      <c r="AD473" s="73">
        <f t="shared" si="21"/>
        <v>1</v>
      </c>
      <c r="AE473" s="11" t="str">
        <f t="shared" si="22"/>
        <v/>
      </c>
      <c r="AF473" s="73">
        <f t="shared" si="23"/>
        <v>39.000473</v>
      </c>
      <c r="AG473" s="11" t="str">
        <f t="shared" si="24"/>
        <v/>
      </c>
      <c r="AH473" s="73">
        <f t="shared" si="25"/>
        <v>1.0004729999999999</v>
      </c>
    </row>
    <row r="474" spans="1:34" ht="14.25" customHeight="1">
      <c r="A474" s="11">
        <v>459</v>
      </c>
      <c r="B474" s="66"/>
      <c r="C474" s="67"/>
      <c r="D474" s="67"/>
      <c r="E474" s="67"/>
      <c r="F474" s="67"/>
      <c r="G474" s="67" t="s">
        <v>35</v>
      </c>
      <c r="H474" s="67">
        <v>44433</v>
      </c>
      <c r="I474" s="6" t="s">
        <v>1059</v>
      </c>
      <c r="J474" s="9">
        <v>2638702139</v>
      </c>
      <c r="K474" s="68">
        <v>44408</v>
      </c>
      <c r="L474" s="68">
        <v>46022</v>
      </c>
      <c r="M474" s="68">
        <v>46203</v>
      </c>
      <c r="N474" s="69">
        <f t="shared" si="13"/>
        <v>2</v>
      </c>
      <c r="O474" s="69">
        <f t="shared" si="14"/>
        <v>1</v>
      </c>
      <c r="P474" s="70">
        <v>4</v>
      </c>
      <c r="Q474" s="70">
        <v>5</v>
      </c>
      <c r="R474" s="70">
        <v>6</v>
      </c>
      <c r="S474" s="68" t="str">
        <f t="shared" si="15"/>
        <v/>
      </c>
      <c r="T474" s="68"/>
      <c r="U474" s="68"/>
      <c r="V474" s="68"/>
      <c r="W474" s="9"/>
      <c r="X474" s="10"/>
      <c r="Y474" s="71">
        <f t="shared" si="16"/>
        <v>5</v>
      </c>
      <c r="Z474" s="73">
        <f t="shared" si="17"/>
        <v>6</v>
      </c>
      <c r="AA474" s="11" t="str">
        <f t="shared" si="18"/>
        <v/>
      </c>
      <c r="AB474" s="73">
        <f t="shared" si="19"/>
        <v>2</v>
      </c>
      <c r="AC474" s="11" t="str">
        <f t="shared" si="20"/>
        <v/>
      </c>
      <c r="AD474" s="73">
        <f t="shared" si="21"/>
        <v>1</v>
      </c>
      <c r="AE474" s="11" t="str">
        <f t="shared" si="22"/>
        <v/>
      </c>
      <c r="AF474" s="73">
        <f t="shared" si="23"/>
        <v>2.0004740000000001</v>
      </c>
      <c r="AG474" s="11" t="str">
        <f t="shared" si="24"/>
        <v/>
      </c>
      <c r="AH474" s="73">
        <f t="shared" si="25"/>
        <v>1.0004740000000001</v>
      </c>
    </row>
    <row r="475" spans="1:34" ht="14.25" customHeight="1">
      <c r="A475" s="11">
        <v>460</v>
      </c>
      <c r="B475" s="66"/>
      <c r="C475" s="67"/>
      <c r="D475" s="67"/>
      <c r="E475" s="67"/>
      <c r="F475" s="67"/>
      <c r="G475" s="67" t="s">
        <v>35</v>
      </c>
      <c r="H475" s="67">
        <v>45898</v>
      </c>
      <c r="I475" s="6" t="s">
        <v>1060</v>
      </c>
      <c r="J475" s="94">
        <v>2648101728</v>
      </c>
      <c r="K475" s="68">
        <v>45869</v>
      </c>
      <c r="L475" s="68">
        <v>46022</v>
      </c>
      <c r="M475" s="68">
        <v>46203</v>
      </c>
      <c r="N475" s="69">
        <f t="shared" si="13"/>
        <v>32</v>
      </c>
      <c r="O475" s="69">
        <f t="shared" si="14"/>
        <v>15</v>
      </c>
      <c r="P475" s="70">
        <v>58</v>
      </c>
      <c r="Q475" s="70">
        <v>75</v>
      </c>
      <c r="R475" s="70">
        <v>90</v>
      </c>
      <c r="S475" s="68" t="str">
        <f t="shared" si="15"/>
        <v/>
      </c>
      <c r="T475" s="68"/>
      <c r="U475" s="95"/>
      <c r="V475" s="68"/>
      <c r="W475" s="6"/>
      <c r="X475" s="10"/>
      <c r="Y475" s="71">
        <f t="shared" si="16"/>
        <v>75</v>
      </c>
      <c r="Z475" s="73">
        <f t="shared" si="17"/>
        <v>90</v>
      </c>
      <c r="AA475" s="11" t="str">
        <f t="shared" si="18"/>
        <v/>
      </c>
      <c r="AB475" s="73">
        <f t="shared" si="19"/>
        <v>32</v>
      </c>
      <c r="AC475" s="11" t="str">
        <f t="shared" si="20"/>
        <v/>
      </c>
      <c r="AD475" s="73">
        <f t="shared" si="21"/>
        <v>15</v>
      </c>
      <c r="AE475" s="11" t="str">
        <f t="shared" si="22"/>
        <v/>
      </c>
      <c r="AF475" s="73">
        <f t="shared" si="23"/>
        <v>32.000475000000002</v>
      </c>
      <c r="AG475" s="11" t="str">
        <f t="shared" si="24"/>
        <v/>
      </c>
      <c r="AH475" s="73">
        <f t="shared" si="25"/>
        <v>15.000475</v>
      </c>
    </row>
    <row r="476" spans="1:34" ht="14.25" customHeight="1">
      <c r="A476" s="11">
        <v>461</v>
      </c>
      <c r="B476" s="66"/>
      <c r="C476" s="67"/>
      <c r="D476" s="67"/>
      <c r="E476" s="67"/>
      <c r="F476" s="67"/>
      <c r="G476" s="67" t="s">
        <v>35</v>
      </c>
      <c r="H476" s="67">
        <v>44140</v>
      </c>
      <c r="I476" s="6" t="s">
        <v>1061</v>
      </c>
      <c r="J476" s="9">
        <v>2648121025</v>
      </c>
      <c r="K476" s="68">
        <v>44135</v>
      </c>
      <c r="L476" s="68">
        <v>46022</v>
      </c>
      <c r="M476" s="68">
        <v>46203</v>
      </c>
      <c r="N476" s="69">
        <f t="shared" si="13"/>
        <v>-5</v>
      </c>
      <c r="O476" s="69">
        <f t="shared" si="14"/>
        <v>0</v>
      </c>
      <c r="P476" s="70">
        <v>20</v>
      </c>
      <c r="Q476" s="70">
        <v>15</v>
      </c>
      <c r="R476" s="70">
        <v>15</v>
      </c>
      <c r="S476" s="68" t="str">
        <f t="shared" si="15"/>
        <v/>
      </c>
      <c r="T476" s="68"/>
      <c r="U476" s="68"/>
      <c r="V476" s="68"/>
      <c r="W476" s="9"/>
      <c r="X476" s="10"/>
      <c r="Y476" s="71">
        <f t="shared" si="16"/>
        <v>15</v>
      </c>
      <c r="Z476" s="73">
        <f t="shared" si="17"/>
        <v>15</v>
      </c>
      <c r="AA476" s="11" t="str">
        <f t="shared" si="18"/>
        <v/>
      </c>
      <c r="AB476" s="73">
        <f t="shared" si="19"/>
        <v>-5</v>
      </c>
      <c r="AC476" s="11" t="str">
        <f t="shared" si="20"/>
        <v/>
      </c>
      <c r="AD476" s="73">
        <f t="shared" si="21"/>
        <v>0</v>
      </c>
      <c r="AE476" s="11" t="str">
        <f t="shared" si="22"/>
        <v/>
      </c>
      <c r="AF476" s="73">
        <f t="shared" si="23"/>
        <v>-4.9995240000000001</v>
      </c>
      <c r="AG476" s="11" t="str">
        <f t="shared" si="24"/>
        <v/>
      </c>
      <c r="AH476" s="73">
        <f t="shared" si="25"/>
        <v>4.7600000000000002E-4</v>
      </c>
    </row>
    <row r="477" spans="1:34" ht="14.25" customHeight="1">
      <c r="A477" s="11">
        <v>462</v>
      </c>
      <c r="B477" s="66"/>
      <c r="C477" s="67"/>
      <c r="D477" s="67"/>
      <c r="E477" s="67"/>
      <c r="F477" s="67"/>
      <c r="G477" s="67" t="s">
        <v>35</v>
      </c>
      <c r="H477" s="67">
        <v>42076</v>
      </c>
      <c r="I477" s="6" t="s">
        <v>1062</v>
      </c>
      <c r="J477" s="9">
        <v>2648127107</v>
      </c>
      <c r="K477" s="68">
        <v>42063</v>
      </c>
      <c r="L477" s="68">
        <v>46022</v>
      </c>
      <c r="M477" s="68">
        <v>46203</v>
      </c>
      <c r="N477" s="69">
        <f t="shared" si="13"/>
        <v>3</v>
      </c>
      <c r="O477" s="69">
        <f t="shared" si="14"/>
        <v>-1</v>
      </c>
      <c r="P477" s="70">
        <v>2</v>
      </c>
      <c r="Q477" s="70">
        <v>6</v>
      </c>
      <c r="R477" s="70">
        <v>5</v>
      </c>
      <c r="S477" s="68" t="str">
        <f t="shared" si="15"/>
        <v/>
      </c>
      <c r="T477" s="68"/>
      <c r="U477" s="68"/>
      <c r="V477" s="68"/>
      <c r="W477" s="9"/>
      <c r="X477" s="10"/>
      <c r="Y477" s="71">
        <f t="shared" si="16"/>
        <v>6</v>
      </c>
      <c r="Z477" s="73">
        <f t="shared" si="17"/>
        <v>5</v>
      </c>
      <c r="AA477" s="11" t="str">
        <f t="shared" si="18"/>
        <v/>
      </c>
      <c r="AB477" s="73">
        <f t="shared" si="19"/>
        <v>3</v>
      </c>
      <c r="AC477" s="11" t="str">
        <f t="shared" si="20"/>
        <v/>
      </c>
      <c r="AD477" s="73">
        <f t="shared" si="21"/>
        <v>-1</v>
      </c>
      <c r="AE477" s="11" t="str">
        <f t="shared" si="22"/>
        <v/>
      </c>
      <c r="AF477" s="73">
        <f t="shared" si="23"/>
        <v>3.0004770000000001</v>
      </c>
      <c r="AG477" s="11" t="str">
        <f t="shared" si="24"/>
        <v/>
      </c>
      <c r="AH477" s="73">
        <f t="shared" si="25"/>
        <v>-0.99952300000000005</v>
      </c>
    </row>
    <row r="478" spans="1:34" ht="14.25" customHeight="1">
      <c r="A478" s="11">
        <v>463</v>
      </c>
      <c r="B478" s="66"/>
      <c r="C478" s="67"/>
      <c r="D478" s="67"/>
      <c r="E478" s="67"/>
      <c r="F478" s="67"/>
      <c r="G478" s="67" t="s">
        <v>35</v>
      </c>
      <c r="H478" s="67">
        <v>41908</v>
      </c>
      <c r="I478" s="6" t="s">
        <v>1063</v>
      </c>
      <c r="J478" s="9">
        <v>2648131334</v>
      </c>
      <c r="K478" s="68">
        <v>41882</v>
      </c>
      <c r="L478" s="68">
        <v>46022</v>
      </c>
      <c r="M478" s="68">
        <v>46203</v>
      </c>
      <c r="N478" s="69">
        <f t="shared" si="13"/>
        <v>36</v>
      </c>
      <c r="O478" s="69">
        <f t="shared" si="14"/>
        <v>-1</v>
      </c>
      <c r="P478" s="70">
        <v>6</v>
      </c>
      <c r="Q478" s="70">
        <v>43</v>
      </c>
      <c r="R478" s="70">
        <v>42</v>
      </c>
      <c r="S478" s="68" t="str">
        <f t="shared" si="15"/>
        <v/>
      </c>
      <c r="T478" s="68"/>
      <c r="U478" s="68"/>
      <c r="V478" s="68"/>
      <c r="W478" s="9"/>
      <c r="X478" s="10"/>
      <c r="Y478" s="71">
        <f t="shared" si="16"/>
        <v>43</v>
      </c>
      <c r="Z478" s="73">
        <f t="shared" si="17"/>
        <v>42</v>
      </c>
      <c r="AA478" s="11" t="str">
        <f t="shared" si="18"/>
        <v/>
      </c>
      <c r="AB478" s="73">
        <f t="shared" si="19"/>
        <v>36</v>
      </c>
      <c r="AC478" s="11" t="str">
        <f t="shared" si="20"/>
        <v/>
      </c>
      <c r="AD478" s="73">
        <f t="shared" si="21"/>
        <v>-1</v>
      </c>
      <c r="AE478" s="11" t="str">
        <f t="shared" si="22"/>
        <v/>
      </c>
      <c r="AF478" s="73">
        <f t="shared" si="23"/>
        <v>36.000478000000001</v>
      </c>
      <c r="AG478" s="11" t="str">
        <f t="shared" si="24"/>
        <v/>
      </c>
      <c r="AH478" s="73">
        <f t="shared" si="25"/>
        <v>-0.99952200000000002</v>
      </c>
    </row>
    <row r="479" spans="1:34" ht="14.25" customHeight="1">
      <c r="A479" s="11">
        <v>464</v>
      </c>
      <c r="B479" s="66" t="s">
        <v>24</v>
      </c>
      <c r="C479" s="67">
        <v>42036</v>
      </c>
      <c r="D479" s="67">
        <v>42593</v>
      </c>
      <c r="E479" s="67"/>
      <c r="F479" s="67"/>
      <c r="G479" s="67"/>
      <c r="H479" s="67"/>
      <c r="I479" s="21" t="s">
        <v>1064</v>
      </c>
      <c r="J479" s="9">
        <v>2648134103</v>
      </c>
      <c r="K479" s="68">
        <v>42035</v>
      </c>
      <c r="L479" s="68" t="s">
        <v>230</v>
      </c>
      <c r="M479" s="68">
        <v>43951</v>
      </c>
      <c r="N479" s="69">
        <f t="shared" si="13"/>
        <v>0</v>
      </c>
      <c r="O479" s="69" t="str">
        <f t="shared" si="14"/>
        <v>N/A</v>
      </c>
      <c r="P479" s="70">
        <v>0</v>
      </c>
      <c r="Q479" s="70"/>
      <c r="R479" s="70">
        <v>0</v>
      </c>
      <c r="S479" s="68">
        <f t="shared" si="15"/>
        <v>43948</v>
      </c>
      <c r="T479" s="68">
        <v>43948</v>
      </c>
      <c r="U479" s="68">
        <v>44196</v>
      </c>
      <c r="V479" s="68">
        <v>45560</v>
      </c>
      <c r="W479" s="9"/>
      <c r="X479" s="10"/>
      <c r="Y479" s="65" t="str">
        <f t="shared" si="16"/>
        <v/>
      </c>
      <c r="Z479" s="11" t="str">
        <f t="shared" si="17"/>
        <v/>
      </c>
      <c r="AA479" s="73">
        <f t="shared" si="18"/>
        <v>0</v>
      </c>
      <c r="AB479" s="11" t="str">
        <f t="shared" si="19"/>
        <v/>
      </c>
      <c r="AC479" s="11" t="str">
        <f t="shared" si="20"/>
        <v/>
      </c>
      <c r="AD479" s="11" t="str">
        <f t="shared" si="21"/>
        <v/>
      </c>
      <c r="AE479" s="73">
        <f t="shared" si="22"/>
        <v>4.7899999999999999E-4</v>
      </c>
      <c r="AF479" s="11" t="str">
        <f t="shared" si="23"/>
        <v/>
      </c>
      <c r="AG479" s="11" t="str">
        <f t="shared" si="24"/>
        <v/>
      </c>
      <c r="AH479" s="11" t="str">
        <f t="shared" si="25"/>
        <v/>
      </c>
    </row>
    <row r="480" spans="1:34" ht="14.25" customHeight="1">
      <c r="A480" s="11">
        <v>465</v>
      </c>
      <c r="B480" s="66"/>
      <c r="C480" s="67"/>
      <c r="D480" s="67"/>
      <c r="E480" s="67"/>
      <c r="F480" s="67"/>
      <c r="G480" s="67" t="s">
        <v>24</v>
      </c>
      <c r="H480" s="67">
        <v>42158</v>
      </c>
      <c r="I480" s="6" t="s">
        <v>1065</v>
      </c>
      <c r="J480" s="9">
        <v>2648137492</v>
      </c>
      <c r="K480" s="68">
        <v>42155</v>
      </c>
      <c r="L480" s="68" t="s">
        <v>230</v>
      </c>
      <c r="M480" s="68">
        <v>44742</v>
      </c>
      <c r="N480" s="69">
        <f t="shared" si="13"/>
        <v>-6</v>
      </c>
      <c r="O480" s="69" t="str">
        <f t="shared" si="14"/>
        <v>N/A</v>
      </c>
      <c r="P480" s="70">
        <v>6</v>
      </c>
      <c r="Q480" s="70"/>
      <c r="R480" s="70">
        <v>0</v>
      </c>
      <c r="S480" s="68">
        <f t="shared" si="15"/>
        <v>44742</v>
      </c>
      <c r="T480" s="68">
        <v>44742</v>
      </c>
      <c r="U480" s="68"/>
      <c r="V480" s="68"/>
      <c r="W480" s="9"/>
      <c r="X480" s="10"/>
      <c r="Y480" s="65" t="str">
        <f t="shared" si="16"/>
        <v/>
      </c>
      <c r="Z480" s="11" t="str">
        <f t="shared" si="17"/>
        <v/>
      </c>
      <c r="AA480" s="11" t="str">
        <f t="shared" si="18"/>
        <v/>
      </c>
      <c r="AB480" s="73">
        <f t="shared" si="19"/>
        <v>-6</v>
      </c>
      <c r="AC480" s="11" t="str">
        <f t="shared" si="20"/>
        <v/>
      </c>
      <c r="AD480" s="11" t="str">
        <f t="shared" si="21"/>
        <v/>
      </c>
      <c r="AE480" s="11" t="str">
        <f t="shared" si="22"/>
        <v/>
      </c>
      <c r="AF480" s="73">
        <f t="shared" si="23"/>
        <v>-5.9995200000000004</v>
      </c>
      <c r="AG480" s="11" t="str">
        <f t="shared" si="24"/>
        <v/>
      </c>
      <c r="AH480" s="11" t="str">
        <f t="shared" si="25"/>
        <v/>
      </c>
    </row>
    <row r="481" spans="1:34" ht="14.25" customHeight="1">
      <c r="A481" s="11">
        <v>466</v>
      </c>
      <c r="B481" s="66"/>
      <c r="C481" s="67"/>
      <c r="D481" s="67"/>
      <c r="E481" s="67"/>
      <c r="F481" s="67"/>
      <c r="G481" s="67" t="s">
        <v>35</v>
      </c>
      <c r="H481" s="67">
        <v>42381</v>
      </c>
      <c r="I481" s="6" t="s">
        <v>1066</v>
      </c>
      <c r="J481" s="9">
        <v>2648147480</v>
      </c>
      <c r="K481" s="68">
        <v>42369</v>
      </c>
      <c r="L481" s="68">
        <v>46022</v>
      </c>
      <c r="M481" s="68">
        <v>46203</v>
      </c>
      <c r="N481" s="69">
        <f t="shared" si="13"/>
        <v>-11</v>
      </c>
      <c r="O481" s="69">
        <f t="shared" si="14"/>
        <v>0</v>
      </c>
      <c r="P481" s="70">
        <v>12</v>
      </c>
      <c r="Q481" s="70">
        <v>1</v>
      </c>
      <c r="R481" s="70">
        <v>1</v>
      </c>
      <c r="S481" s="68" t="str">
        <f t="shared" si="15"/>
        <v/>
      </c>
      <c r="T481" s="68"/>
      <c r="U481" s="68"/>
      <c r="V481" s="68"/>
      <c r="W481" s="9"/>
      <c r="X481" s="10"/>
      <c r="Y481" s="71">
        <f t="shared" si="16"/>
        <v>1</v>
      </c>
      <c r="Z481" s="73">
        <f t="shared" si="17"/>
        <v>1</v>
      </c>
      <c r="AA481" s="11" t="str">
        <f t="shared" si="18"/>
        <v/>
      </c>
      <c r="AB481" s="73">
        <f t="shared" si="19"/>
        <v>-11</v>
      </c>
      <c r="AC481" s="11" t="str">
        <f t="shared" si="20"/>
        <v/>
      </c>
      <c r="AD481" s="73">
        <f t="shared" si="21"/>
        <v>0</v>
      </c>
      <c r="AE481" s="11" t="str">
        <f t="shared" si="22"/>
        <v/>
      </c>
      <c r="AF481" s="73">
        <f t="shared" si="23"/>
        <v>-10.999518999999999</v>
      </c>
      <c r="AG481" s="11" t="str">
        <f t="shared" si="24"/>
        <v/>
      </c>
      <c r="AH481" s="73">
        <f t="shared" si="25"/>
        <v>4.8099999999999998E-4</v>
      </c>
    </row>
    <row r="482" spans="1:34" ht="14.25" customHeight="1">
      <c r="A482" s="11">
        <v>467</v>
      </c>
      <c r="B482" s="66"/>
      <c r="C482" s="67"/>
      <c r="D482" s="67"/>
      <c r="E482" s="67"/>
      <c r="F482" s="67"/>
      <c r="G482" s="67" t="s">
        <v>24</v>
      </c>
      <c r="H482" s="67">
        <v>44638</v>
      </c>
      <c r="I482" s="6" t="s">
        <v>1067</v>
      </c>
      <c r="J482" s="9">
        <v>2648601723</v>
      </c>
      <c r="K482" s="68">
        <v>44620</v>
      </c>
      <c r="L482" s="68" t="s">
        <v>230</v>
      </c>
      <c r="M482" s="68">
        <v>45351</v>
      </c>
      <c r="N482" s="69">
        <f t="shared" si="13"/>
        <v>-20</v>
      </c>
      <c r="O482" s="69" t="str">
        <f t="shared" si="14"/>
        <v>N/A</v>
      </c>
      <c r="P482" s="70">
        <v>20</v>
      </c>
      <c r="Q482" s="70"/>
      <c r="R482" s="70">
        <v>0</v>
      </c>
      <c r="S482" s="68">
        <f t="shared" si="15"/>
        <v>45344</v>
      </c>
      <c r="T482" s="68">
        <v>45344</v>
      </c>
      <c r="U482" s="68"/>
      <c r="V482" s="68"/>
      <c r="W482" s="9"/>
      <c r="X482" s="10"/>
      <c r="Y482" s="65" t="str">
        <f t="shared" si="16"/>
        <v/>
      </c>
      <c r="Z482" s="11" t="str">
        <f t="shared" si="17"/>
        <v/>
      </c>
      <c r="AA482" s="11" t="str">
        <f t="shared" si="18"/>
        <v/>
      </c>
      <c r="AB482" s="73">
        <f t="shared" si="19"/>
        <v>-20</v>
      </c>
      <c r="AC482" s="11" t="str">
        <f t="shared" si="20"/>
        <v/>
      </c>
      <c r="AD482" s="11" t="str">
        <f t="shared" si="21"/>
        <v/>
      </c>
      <c r="AE482" s="11" t="str">
        <f t="shared" si="22"/>
        <v/>
      </c>
      <c r="AF482" s="73">
        <f t="shared" si="23"/>
        <v>-19.999517999999998</v>
      </c>
      <c r="AG482" s="11" t="str">
        <f t="shared" si="24"/>
        <v/>
      </c>
      <c r="AH482" s="11" t="str">
        <f t="shared" si="25"/>
        <v/>
      </c>
    </row>
    <row r="483" spans="1:34" ht="14.25" customHeight="1">
      <c r="A483" s="11">
        <v>468</v>
      </c>
      <c r="B483" s="66"/>
      <c r="C483" s="67"/>
      <c r="D483" s="67"/>
      <c r="E483" s="67"/>
      <c r="F483" s="67"/>
      <c r="G483" s="67" t="s">
        <v>35</v>
      </c>
      <c r="H483" s="67">
        <v>45846</v>
      </c>
      <c r="I483" s="6" t="s">
        <v>1068</v>
      </c>
      <c r="J483" s="94">
        <v>2648702694</v>
      </c>
      <c r="K483" s="68">
        <v>45838</v>
      </c>
      <c r="L483" s="68">
        <v>46022</v>
      </c>
      <c r="M483" s="68">
        <v>46203</v>
      </c>
      <c r="N483" s="69">
        <f t="shared" si="13"/>
        <v>5</v>
      </c>
      <c r="O483" s="69">
        <f t="shared" si="14"/>
        <v>0</v>
      </c>
      <c r="P483" s="70">
        <v>12</v>
      </c>
      <c r="Q483" s="70">
        <v>17</v>
      </c>
      <c r="R483" s="70">
        <v>17</v>
      </c>
      <c r="S483" s="68" t="str">
        <f t="shared" si="15"/>
        <v/>
      </c>
      <c r="T483" s="68"/>
      <c r="U483" s="95"/>
      <c r="V483" s="68"/>
      <c r="W483" s="6"/>
      <c r="X483" s="10"/>
      <c r="Y483" s="71">
        <f t="shared" si="16"/>
        <v>17</v>
      </c>
      <c r="Z483" s="73">
        <f t="shared" si="17"/>
        <v>17</v>
      </c>
      <c r="AA483" s="11" t="str">
        <f t="shared" si="18"/>
        <v/>
      </c>
      <c r="AB483" s="73">
        <f t="shared" si="19"/>
        <v>5</v>
      </c>
      <c r="AC483" s="11" t="str">
        <f t="shared" si="20"/>
        <v/>
      </c>
      <c r="AD483" s="73">
        <f t="shared" si="21"/>
        <v>0</v>
      </c>
      <c r="AE483" s="11" t="str">
        <f t="shared" si="22"/>
        <v/>
      </c>
      <c r="AF483" s="73">
        <f t="shared" si="23"/>
        <v>5.000483</v>
      </c>
      <c r="AG483" s="11" t="str">
        <f t="shared" si="24"/>
        <v/>
      </c>
      <c r="AH483" s="73">
        <f t="shared" si="25"/>
        <v>4.8299999999999998E-4</v>
      </c>
    </row>
    <row r="484" spans="1:34" ht="14.25" customHeight="1">
      <c r="A484" s="11">
        <v>469</v>
      </c>
      <c r="B484" s="66"/>
      <c r="C484" s="67"/>
      <c r="D484" s="67"/>
      <c r="E484" s="67"/>
      <c r="F484" s="67"/>
      <c r="G484" s="67" t="s">
        <v>35</v>
      </c>
      <c r="H484" s="67">
        <v>45287</v>
      </c>
      <c r="I484" s="6" t="s">
        <v>1069</v>
      </c>
      <c r="J484" s="9">
        <v>2658100625</v>
      </c>
      <c r="K484" s="68">
        <v>45260</v>
      </c>
      <c r="L484" s="68">
        <v>46022</v>
      </c>
      <c r="M484" s="68">
        <v>46203</v>
      </c>
      <c r="N484" s="69">
        <f t="shared" si="13"/>
        <v>5</v>
      </c>
      <c r="O484" s="69">
        <f t="shared" si="14"/>
        <v>4</v>
      </c>
      <c r="P484" s="70">
        <v>14</v>
      </c>
      <c r="Q484" s="70">
        <v>15</v>
      </c>
      <c r="R484" s="70">
        <v>19</v>
      </c>
      <c r="S484" s="68" t="str">
        <f t="shared" si="15"/>
        <v/>
      </c>
      <c r="T484" s="68"/>
      <c r="U484" s="68"/>
      <c r="V484" s="68"/>
      <c r="W484" s="9"/>
      <c r="X484" s="10"/>
      <c r="Y484" s="71">
        <f t="shared" si="16"/>
        <v>15</v>
      </c>
      <c r="Z484" s="73">
        <f t="shared" si="17"/>
        <v>19</v>
      </c>
      <c r="AA484" s="11" t="str">
        <f t="shared" si="18"/>
        <v/>
      </c>
      <c r="AB484" s="73">
        <f t="shared" si="19"/>
        <v>5</v>
      </c>
      <c r="AC484" s="11" t="str">
        <f t="shared" si="20"/>
        <v/>
      </c>
      <c r="AD484" s="73">
        <f t="shared" si="21"/>
        <v>4</v>
      </c>
      <c r="AE484" s="11" t="str">
        <f t="shared" si="22"/>
        <v/>
      </c>
      <c r="AF484" s="73">
        <f t="shared" si="23"/>
        <v>5.0004840000000002</v>
      </c>
      <c r="AG484" s="11" t="str">
        <f t="shared" si="24"/>
        <v/>
      </c>
      <c r="AH484" s="73">
        <f t="shared" si="25"/>
        <v>4.0004840000000002</v>
      </c>
    </row>
    <row r="485" spans="1:34" ht="14.25" customHeight="1">
      <c r="A485" s="11">
        <v>470</v>
      </c>
      <c r="B485" s="66"/>
      <c r="C485" s="67"/>
      <c r="D485" s="67"/>
      <c r="E485" s="67"/>
      <c r="F485" s="67"/>
      <c r="G485" s="67" t="s">
        <v>35</v>
      </c>
      <c r="H485" s="67">
        <v>45450</v>
      </c>
      <c r="I485" s="6" t="s">
        <v>1070</v>
      </c>
      <c r="J485" s="9">
        <v>2658102680</v>
      </c>
      <c r="K485" s="68">
        <v>45443</v>
      </c>
      <c r="L485" s="68">
        <v>46022</v>
      </c>
      <c r="M485" s="68">
        <v>46203</v>
      </c>
      <c r="N485" s="69">
        <f t="shared" si="13"/>
        <v>6</v>
      </c>
      <c r="O485" s="69">
        <f t="shared" si="14"/>
        <v>4</v>
      </c>
      <c r="P485" s="70">
        <v>4</v>
      </c>
      <c r="Q485" s="70">
        <v>6</v>
      </c>
      <c r="R485" s="70">
        <v>10</v>
      </c>
      <c r="S485" s="68" t="str">
        <f t="shared" si="15"/>
        <v/>
      </c>
      <c r="T485" s="68"/>
      <c r="U485" s="68"/>
      <c r="V485" s="68"/>
      <c r="W485" s="9"/>
      <c r="X485" s="10"/>
      <c r="Y485" s="71">
        <f t="shared" si="16"/>
        <v>6</v>
      </c>
      <c r="Z485" s="73">
        <f t="shared" si="17"/>
        <v>10</v>
      </c>
      <c r="AA485" s="11" t="str">
        <f t="shared" si="18"/>
        <v/>
      </c>
      <c r="AB485" s="73">
        <f t="shared" si="19"/>
        <v>6</v>
      </c>
      <c r="AC485" s="11" t="str">
        <f t="shared" si="20"/>
        <v/>
      </c>
      <c r="AD485" s="73">
        <f t="shared" si="21"/>
        <v>4</v>
      </c>
      <c r="AE485" s="11" t="str">
        <f t="shared" si="22"/>
        <v/>
      </c>
      <c r="AF485" s="73">
        <f t="shared" si="23"/>
        <v>6.0004850000000003</v>
      </c>
      <c r="AG485" s="11" t="str">
        <f t="shared" si="24"/>
        <v/>
      </c>
      <c r="AH485" s="73">
        <f t="shared" si="25"/>
        <v>4.0004850000000003</v>
      </c>
    </row>
    <row r="486" spans="1:34" ht="14.25" customHeight="1">
      <c r="A486" s="11">
        <v>471</v>
      </c>
      <c r="B486" s="66"/>
      <c r="C486" s="67"/>
      <c r="D486" s="67"/>
      <c r="E486" s="67"/>
      <c r="F486" s="67"/>
      <c r="G486" s="67" t="s">
        <v>35</v>
      </c>
      <c r="H486" s="67">
        <v>43921</v>
      </c>
      <c r="I486" s="6" t="s">
        <v>1071</v>
      </c>
      <c r="J486" s="9">
        <v>2658601594</v>
      </c>
      <c r="K486" s="68">
        <v>43890</v>
      </c>
      <c r="L486" s="68">
        <v>46022</v>
      </c>
      <c r="M486" s="68">
        <v>46203</v>
      </c>
      <c r="N486" s="69">
        <f t="shared" si="13"/>
        <v>0</v>
      </c>
      <c r="O486" s="69">
        <f t="shared" si="14"/>
        <v>0</v>
      </c>
      <c r="P486" s="70">
        <v>0</v>
      </c>
      <c r="Q486" s="70">
        <v>0</v>
      </c>
      <c r="R486" s="70">
        <v>0</v>
      </c>
      <c r="S486" s="68" t="str">
        <f t="shared" si="15"/>
        <v/>
      </c>
      <c r="T486" s="68"/>
      <c r="U486" s="68"/>
      <c r="V486" s="68"/>
      <c r="W486" s="9"/>
      <c r="X486" s="10"/>
      <c r="Y486" s="71">
        <f t="shared" si="16"/>
        <v>0</v>
      </c>
      <c r="Z486" s="73">
        <f t="shared" si="17"/>
        <v>0</v>
      </c>
      <c r="AA486" s="11" t="str">
        <f t="shared" si="18"/>
        <v/>
      </c>
      <c r="AB486" s="73">
        <f t="shared" si="19"/>
        <v>0</v>
      </c>
      <c r="AC486" s="11" t="str">
        <f t="shared" si="20"/>
        <v/>
      </c>
      <c r="AD486" s="73">
        <f t="shared" si="21"/>
        <v>0</v>
      </c>
      <c r="AE486" s="11" t="str">
        <f t="shared" si="22"/>
        <v/>
      </c>
      <c r="AF486" s="73">
        <f t="shared" si="23"/>
        <v>4.86E-4</v>
      </c>
      <c r="AG486" s="11" t="str">
        <f t="shared" si="24"/>
        <v/>
      </c>
      <c r="AH486" s="73">
        <f t="shared" si="25"/>
        <v>4.86E-4</v>
      </c>
    </row>
    <row r="487" spans="1:34" ht="14.25" customHeight="1">
      <c r="A487" s="11">
        <v>472</v>
      </c>
      <c r="B487" s="121" t="s">
        <v>24</v>
      </c>
      <c r="C487" s="67">
        <v>44438</v>
      </c>
      <c r="D487" s="67"/>
      <c r="E487" s="67"/>
      <c r="F487" s="67"/>
      <c r="G487" s="67"/>
      <c r="H487" s="67"/>
      <c r="I487" s="6" t="s">
        <v>1072</v>
      </c>
      <c r="J487" s="9">
        <v>2678101896</v>
      </c>
      <c r="K487" s="68">
        <v>44408</v>
      </c>
      <c r="L487" s="68">
        <v>46022</v>
      </c>
      <c r="M487" s="68">
        <v>46203</v>
      </c>
      <c r="N487" s="69">
        <f t="shared" si="13"/>
        <v>-5</v>
      </c>
      <c r="O487" s="69">
        <f t="shared" si="14"/>
        <v>-3</v>
      </c>
      <c r="P487" s="70">
        <v>5</v>
      </c>
      <c r="Q487" s="70">
        <v>3</v>
      </c>
      <c r="R487" s="70">
        <v>0</v>
      </c>
      <c r="S487" s="68">
        <f t="shared" si="15"/>
        <v>46198</v>
      </c>
      <c r="T487" s="68">
        <v>46198</v>
      </c>
      <c r="U487" s="68"/>
      <c r="V487" s="68"/>
      <c r="W487" s="9"/>
      <c r="X487" s="10"/>
      <c r="Y487" s="71">
        <f t="shared" si="16"/>
        <v>3</v>
      </c>
      <c r="Z487" s="73">
        <f t="shared" si="17"/>
        <v>0</v>
      </c>
      <c r="AA487" s="73">
        <f t="shared" si="18"/>
        <v>-5</v>
      </c>
      <c r="AB487" s="11" t="str">
        <f t="shared" si="19"/>
        <v/>
      </c>
      <c r="AC487" s="73">
        <f t="shared" si="20"/>
        <v>-3</v>
      </c>
      <c r="AD487" s="11" t="str">
        <f t="shared" si="21"/>
        <v/>
      </c>
      <c r="AE487" s="73">
        <f t="shared" si="22"/>
        <v>-4.9995130000000003</v>
      </c>
      <c r="AF487" s="11" t="str">
        <f t="shared" si="23"/>
        <v/>
      </c>
      <c r="AG487" s="73">
        <f t="shared" si="24"/>
        <v>-2.9995129999999999</v>
      </c>
      <c r="AH487" s="11" t="str">
        <f t="shared" si="25"/>
        <v/>
      </c>
    </row>
    <row r="488" spans="1:34" ht="14.25" customHeight="1">
      <c r="A488" s="11">
        <v>473</v>
      </c>
      <c r="B488" s="66"/>
      <c r="C488" s="67"/>
      <c r="D488" s="67"/>
      <c r="E488" s="67"/>
      <c r="F488" s="67"/>
      <c r="G488" s="67" t="s">
        <v>35</v>
      </c>
      <c r="H488" s="67">
        <v>44552</v>
      </c>
      <c r="I488" s="6" t="s">
        <v>1073</v>
      </c>
      <c r="J488" s="9">
        <v>2708101892</v>
      </c>
      <c r="K488" s="68">
        <v>44530</v>
      </c>
      <c r="L488" s="68">
        <v>46022</v>
      </c>
      <c r="M488" s="68">
        <v>46203</v>
      </c>
      <c r="N488" s="69">
        <f t="shared" si="13"/>
        <v>1</v>
      </c>
      <c r="O488" s="69">
        <f t="shared" si="14"/>
        <v>3</v>
      </c>
      <c r="P488" s="70">
        <v>12</v>
      </c>
      <c r="Q488" s="70">
        <v>10</v>
      </c>
      <c r="R488" s="70">
        <v>13</v>
      </c>
      <c r="S488" s="68" t="str">
        <f t="shared" si="15"/>
        <v/>
      </c>
      <c r="T488" s="68"/>
      <c r="U488" s="68"/>
      <c r="V488" s="68"/>
      <c r="W488" s="9"/>
      <c r="X488" s="10"/>
      <c r="Y488" s="71">
        <f t="shared" si="16"/>
        <v>10</v>
      </c>
      <c r="Z488" s="73">
        <f t="shared" si="17"/>
        <v>13</v>
      </c>
      <c r="AA488" s="11" t="str">
        <f t="shared" si="18"/>
        <v/>
      </c>
      <c r="AB488" s="73">
        <f t="shared" si="19"/>
        <v>1</v>
      </c>
      <c r="AC488" s="11" t="str">
        <f t="shared" si="20"/>
        <v/>
      </c>
      <c r="AD488" s="73">
        <f t="shared" si="21"/>
        <v>3</v>
      </c>
      <c r="AE488" s="11" t="str">
        <f t="shared" si="22"/>
        <v/>
      </c>
      <c r="AF488" s="73">
        <f t="shared" si="23"/>
        <v>1.000488</v>
      </c>
      <c r="AG488" s="11" t="str">
        <f t="shared" si="24"/>
        <v/>
      </c>
      <c r="AH488" s="73">
        <f t="shared" si="25"/>
        <v>3.0004879999999998</v>
      </c>
    </row>
    <row r="489" spans="1:34" ht="14.25" customHeight="1">
      <c r="A489" s="11">
        <v>474</v>
      </c>
      <c r="B489" s="66" t="s">
        <v>35</v>
      </c>
      <c r="C489" s="67">
        <v>44986</v>
      </c>
      <c r="D489" s="67"/>
      <c r="E489" s="67"/>
      <c r="F489" s="67"/>
      <c r="G489" s="67"/>
      <c r="H489" s="67"/>
      <c r="I489" s="6" t="s">
        <v>1074</v>
      </c>
      <c r="J489" s="9">
        <v>2708102168</v>
      </c>
      <c r="K489" s="68">
        <v>44985</v>
      </c>
      <c r="L489" s="68">
        <v>46022</v>
      </c>
      <c r="M489" s="68">
        <v>46203</v>
      </c>
      <c r="N489" s="69">
        <f t="shared" si="13"/>
        <v>3</v>
      </c>
      <c r="O489" s="69">
        <f t="shared" si="14"/>
        <v>1</v>
      </c>
      <c r="P489" s="70">
        <v>6</v>
      </c>
      <c r="Q489" s="70">
        <v>8</v>
      </c>
      <c r="R489" s="70">
        <v>9</v>
      </c>
      <c r="S489" s="68" t="str">
        <f t="shared" si="15"/>
        <v/>
      </c>
      <c r="T489" s="68"/>
      <c r="U489" s="68"/>
      <c r="V489" s="68"/>
      <c r="W489" s="9"/>
      <c r="X489" s="10"/>
      <c r="Y489" s="71">
        <f t="shared" si="16"/>
        <v>8</v>
      </c>
      <c r="Z489" s="73">
        <f t="shared" si="17"/>
        <v>9</v>
      </c>
      <c r="AA489" s="73">
        <f t="shared" si="18"/>
        <v>3</v>
      </c>
      <c r="AB489" s="11" t="str">
        <f t="shared" si="19"/>
        <v/>
      </c>
      <c r="AC489" s="73">
        <f t="shared" si="20"/>
        <v>1</v>
      </c>
      <c r="AD489" s="11" t="str">
        <f t="shared" si="21"/>
        <v/>
      </c>
      <c r="AE489" s="73">
        <f t="shared" si="22"/>
        <v>3.000489</v>
      </c>
      <c r="AF489" s="11" t="str">
        <f t="shared" si="23"/>
        <v/>
      </c>
      <c r="AG489" s="73">
        <f t="shared" si="24"/>
        <v>1.000489</v>
      </c>
      <c r="AH489" s="11" t="str">
        <f t="shared" si="25"/>
        <v/>
      </c>
    </row>
    <row r="490" spans="1:34" ht="14.25" customHeight="1">
      <c r="A490" s="11">
        <v>475</v>
      </c>
      <c r="B490" s="66"/>
      <c r="C490" s="67"/>
      <c r="D490" s="67"/>
      <c r="E490" s="67"/>
      <c r="F490" s="67"/>
      <c r="G490" s="67" t="s">
        <v>35</v>
      </c>
      <c r="H490" s="67">
        <v>45532</v>
      </c>
      <c r="I490" s="6" t="s">
        <v>1075</v>
      </c>
      <c r="J490" s="9">
        <v>2708701405</v>
      </c>
      <c r="K490" s="68">
        <v>45504</v>
      </c>
      <c r="L490" s="68">
        <v>46022</v>
      </c>
      <c r="M490" s="68">
        <v>46203</v>
      </c>
      <c r="N490" s="69">
        <f t="shared" si="13"/>
        <v>-10</v>
      </c>
      <c r="O490" s="69">
        <f t="shared" si="14"/>
        <v>-7</v>
      </c>
      <c r="P490" s="70">
        <v>22</v>
      </c>
      <c r="Q490" s="70">
        <v>19</v>
      </c>
      <c r="R490" s="70">
        <v>12</v>
      </c>
      <c r="S490" s="68" t="str">
        <f t="shared" si="15"/>
        <v/>
      </c>
      <c r="T490" s="68"/>
      <c r="U490" s="68"/>
      <c r="V490" s="68"/>
      <c r="W490" s="9"/>
      <c r="X490" s="10"/>
      <c r="Y490" s="71">
        <f t="shared" si="16"/>
        <v>19</v>
      </c>
      <c r="Z490" s="73">
        <f t="shared" si="17"/>
        <v>12</v>
      </c>
      <c r="AA490" s="11" t="str">
        <f t="shared" si="18"/>
        <v/>
      </c>
      <c r="AB490" s="73">
        <f t="shared" si="19"/>
        <v>-10</v>
      </c>
      <c r="AC490" s="11" t="str">
        <f t="shared" si="20"/>
        <v/>
      </c>
      <c r="AD490" s="73">
        <f t="shared" si="21"/>
        <v>-7</v>
      </c>
      <c r="AE490" s="11" t="str">
        <f t="shared" si="22"/>
        <v/>
      </c>
      <c r="AF490" s="73">
        <f t="shared" si="23"/>
        <v>-9.9995100000000008</v>
      </c>
      <c r="AG490" s="11" t="str">
        <f t="shared" si="24"/>
        <v/>
      </c>
      <c r="AH490" s="73">
        <f t="shared" si="25"/>
        <v>-6.9995099999999999</v>
      </c>
    </row>
    <row r="491" spans="1:34" ht="14.25" customHeight="1">
      <c r="A491" s="11">
        <v>476</v>
      </c>
      <c r="B491" s="66"/>
      <c r="C491" s="67"/>
      <c r="D491" s="67"/>
      <c r="E491" s="67"/>
      <c r="F491" s="67"/>
      <c r="G491" s="67" t="s">
        <v>35</v>
      </c>
      <c r="H491" s="67">
        <v>45975</v>
      </c>
      <c r="I491" s="6" t="s">
        <v>1076</v>
      </c>
      <c r="J491" s="94">
        <v>2708802376</v>
      </c>
      <c r="K491" s="68">
        <v>45961</v>
      </c>
      <c r="L491" s="68">
        <v>46022</v>
      </c>
      <c r="M491" s="68">
        <v>46203</v>
      </c>
      <c r="N491" s="69">
        <f t="shared" si="13"/>
        <v>3</v>
      </c>
      <c r="O491" s="69">
        <f t="shared" si="14"/>
        <v>0</v>
      </c>
      <c r="P491" s="70">
        <v>3</v>
      </c>
      <c r="Q491" s="70">
        <v>6</v>
      </c>
      <c r="R491" s="70">
        <v>6</v>
      </c>
      <c r="S491" s="68" t="str">
        <f t="shared" si="15"/>
        <v/>
      </c>
      <c r="T491" s="68"/>
      <c r="U491" s="95"/>
      <c r="V491" s="68"/>
      <c r="W491" s="6"/>
      <c r="X491" s="10"/>
      <c r="Y491" s="71">
        <f t="shared" si="16"/>
        <v>6</v>
      </c>
      <c r="Z491" s="73">
        <f t="shared" si="17"/>
        <v>6</v>
      </c>
      <c r="AA491" s="11" t="str">
        <f t="shared" si="18"/>
        <v/>
      </c>
      <c r="AB491" s="73">
        <f t="shared" si="19"/>
        <v>3</v>
      </c>
      <c r="AC491" s="11" t="str">
        <f t="shared" si="20"/>
        <v/>
      </c>
      <c r="AD491" s="73">
        <f t="shared" si="21"/>
        <v>0</v>
      </c>
      <c r="AE491" s="11" t="str">
        <f t="shared" si="22"/>
        <v/>
      </c>
      <c r="AF491" s="73">
        <f t="shared" si="23"/>
        <v>3.0004909999999998</v>
      </c>
      <c r="AG491" s="11" t="str">
        <f t="shared" si="24"/>
        <v/>
      </c>
      <c r="AH491" s="73">
        <f t="shared" si="25"/>
        <v>4.9100000000000001E-4</v>
      </c>
    </row>
    <row r="492" spans="1:34" ht="14.25" customHeight="1">
      <c r="A492" s="11">
        <v>477</v>
      </c>
      <c r="B492" s="66"/>
      <c r="C492" s="67"/>
      <c r="D492" s="67"/>
      <c r="E492" s="67"/>
      <c r="F492" s="67"/>
      <c r="G492" s="67" t="s">
        <v>24</v>
      </c>
      <c r="H492" s="67">
        <v>44474</v>
      </c>
      <c r="I492" s="6" t="s">
        <v>1077</v>
      </c>
      <c r="J492" s="9">
        <v>2728100389</v>
      </c>
      <c r="K492" s="68">
        <v>44469</v>
      </c>
      <c r="L492" s="68" t="s">
        <v>230</v>
      </c>
      <c r="M492" s="68">
        <v>45657</v>
      </c>
      <c r="N492" s="69">
        <f t="shared" si="13"/>
        <v>-8</v>
      </c>
      <c r="O492" s="69" t="str">
        <f t="shared" si="14"/>
        <v>N/A</v>
      </c>
      <c r="P492" s="70">
        <v>8</v>
      </c>
      <c r="Q492" s="70"/>
      <c r="R492" s="70">
        <v>0</v>
      </c>
      <c r="S492" s="68">
        <f t="shared" si="15"/>
        <v>45645</v>
      </c>
      <c r="T492" s="68">
        <v>45645</v>
      </c>
      <c r="U492" s="68"/>
      <c r="V492" s="68"/>
      <c r="W492" s="9"/>
      <c r="X492" s="10"/>
      <c r="Y492" s="65" t="str">
        <f t="shared" si="16"/>
        <v/>
      </c>
      <c r="Z492" s="11" t="str">
        <f t="shared" si="17"/>
        <v/>
      </c>
      <c r="AA492" s="11" t="str">
        <f t="shared" si="18"/>
        <v/>
      </c>
      <c r="AB492" s="73">
        <f t="shared" si="19"/>
        <v>-8</v>
      </c>
      <c r="AC492" s="11" t="str">
        <f t="shared" si="20"/>
        <v/>
      </c>
      <c r="AD492" s="11" t="str">
        <f t="shared" si="21"/>
        <v/>
      </c>
      <c r="AE492" s="11" t="str">
        <f t="shared" si="22"/>
        <v/>
      </c>
      <c r="AF492" s="73">
        <f t="shared" si="23"/>
        <v>-7.9995079999999996</v>
      </c>
      <c r="AG492" s="11" t="str">
        <f t="shared" si="24"/>
        <v/>
      </c>
      <c r="AH492" s="11" t="str">
        <f t="shared" si="25"/>
        <v/>
      </c>
    </row>
    <row r="493" spans="1:34" ht="14.25" customHeight="1">
      <c r="A493" s="11">
        <v>478</v>
      </c>
      <c r="B493" s="66"/>
      <c r="C493" s="67"/>
      <c r="D493" s="67"/>
      <c r="E493" s="67"/>
      <c r="F493" s="67"/>
      <c r="G493" s="67" t="s">
        <v>35</v>
      </c>
      <c r="H493" s="67">
        <v>45883</v>
      </c>
      <c r="I493" s="6" t="s">
        <v>1078</v>
      </c>
      <c r="J493" s="94">
        <v>2728103256</v>
      </c>
      <c r="K493" s="68">
        <v>45869</v>
      </c>
      <c r="L493" s="68">
        <v>46022</v>
      </c>
      <c r="M493" s="68">
        <v>46203</v>
      </c>
      <c r="N493" s="69">
        <f t="shared" si="13"/>
        <v>7</v>
      </c>
      <c r="O493" s="69">
        <f t="shared" si="14"/>
        <v>4</v>
      </c>
      <c r="P493" s="123">
        <v>0</v>
      </c>
      <c r="Q493" s="70">
        <v>3</v>
      </c>
      <c r="R493" s="70">
        <v>7</v>
      </c>
      <c r="S493" s="68" t="str">
        <f t="shared" si="15"/>
        <v/>
      </c>
      <c r="T493" s="68"/>
      <c r="U493" s="95"/>
      <c r="V493" s="68"/>
      <c r="W493" s="6"/>
      <c r="X493" s="10"/>
      <c r="Y493" s="71">
        <f t="shared" si="16"/>
        <v>3</v>
      </c>
      <c r="Z493" s="73">
        <f t="shared" si="17"/>
        <v>7</v>
      </c>
      <c r="AA493" s="11" t="str">
        <f t="shared" si="18"/>
        <v/>
      </c>
      <c r="AB493" s="73">
        <f t="shared" si="19"/>
        <v>7</v>
      </c>
      <c r="AC493" s="11" t="str">
        <f t="shared" si="20"/>
        <v/>
      </c>
      <c r="AD493" s="73">
        <f t="shared" si="21"/>
        <v>4</v>
      </c>
      <c r="AE493" s="11" t="str">
        <f t="shared" si="22"/>
        <v/>
      </c>
      <c r="AF493" s="73">
        <f t="shared" si="23"/>
        <v>7.0004929999999996</v>
      </c>
      <c r="AG493" s="11" t="str">
        <f t="shared" si="24"/>
        <v/>
      </c>
      <c r="AH493" s="73">
        <f t="shared" si="25"/>
        <v>4.0004929999999996</v>
      </c>
    </row>
    <row r="494" spans="1:34" ht="14.25" customHeight="1">
      <c r="A494" s="11">
        <v>479</v>
      </c>
      <c r="B494" s="66" t="s">
        <v>35</v>
      </c>
      <c r="C494" s="67"/>
      <c r="D494" s="67">
        <v>45177</v>
      </c>
      <c r="E494" s="67"/>
      <c r="F494" s="67"/>
      <c r="G494" s="67"/>
      <c r="H494" s="67"/>
      <c r="I494" s="6" t="s">
        <v>1079</v>
      </c>
      <c r="J494" s="9">
        <v>2728802616</v>
      </c>
      <c r="K494" s="68">
        <v>45169</v>
      </c>
      <c r="L494" s="68">
        <v>46022</v>
      </c>
      <c r="M494" s="68">
        <v>46203</v>
      </c>
      <c r="N494" s="69">
        <f t="shared" si="13"/>
        <v>-2</v>
      </c>
      <c r="O494" s="69">
        <f t="shared" si="14"/>
        <v>-1</v>
      </c>
      <c r="P494" s="70">
        <v>5</v>
      </c>
      <c r="Q494" s="70">
        <v>4</v>
      </c>
      <c r="R494" s="70">
        <v>3</v>
      </c>
      <c r="S494" s="68" t="str">
        <f t="shared" si="15"/>
        <v/>
      </c>
      <c r="T494" s="68"/>
      <c r="U494" s="68"/>
      <c r="V494" s="68"/>
      <c r="W494" s="9"/>
      <c r="X494" s="10"/>
      <c r="Y494" s="71">
        <f t="shared" si="16"/>
        <v>4</v>
      </c>
      <c r="Z494" s="73">
        <f t="shared" si="17"/>
        <v>3</v>
      </c>
      <c r="AA494" s="73">
        <f t="shared" si="18"/>
        <v>-2</v>
      </c>
      <c r="AB494" s="11" t="str">
        <f t="shared" si="19"/>
        <v/>
      </c>
      <c r="AC494" s="73">
        <f t="shared" si="20"/>
        <v>-1</v>
      </c>
      <c r="AD494" s="11" t="str">
        <f t="shared" si="21"/>
        <v/>
      </c>
      <c r="AE494" s="73">
        <f t="shared" si="22"/>
        <v>-1.999506</v>
      </c>
      <c r="AF494" s="11" t="str">
        <f t="shared" si="23"/>
        <v/>
      </c>
      <c r="AG494" s="73">
        <f t="shared" si="24"/>
        <v>-0.99950600000000001</v>
      </c>
      <c r="AH494" s="11" t="str">
        <f t="shared" si="25"/>
        <v/>
      </c>
    </row>
    <row r="495" spans="1:34" ht="14.25" customHeight="1">
      <c r="A495" s="11">
        <v>480</v>
      </c>
      <c r="B495" s="66" t="s">
        <v>24</v>
      </c>
      <c r="C495" s="67">
        <v>43192</v>
      </c>
      <c r="D495" s="67"/>
      <c r="E495" s="67"/>
      <c r="F495" s="67"/>
      <c r="G495" s="67"/>
      <c r="H495" s="67"/>
      <c r="I495" s="6" t="s">
        <v>1080</v>
      </c>
      <c r="J495" s="9">
        <v>2738801041</v>
      </c>
      <c r="K495" s="68">
        <v>43190</v>
      </c>
      <c r="L495" s="68" t="s">
        <v>230</v>
      </c>
      <c r="M495" s="68">
        <v>43769</v>
      </c>
      <c r="N495" s="69">
        <f t="shared" si="13"/>
        <v>0</v>
      </c>
      <c r="O495" s="69" t="str">
        <f t="shared" si="14"/>
        <v>N/A</v>
      </c>
      <c r="P495" s="70">
        <v>0</v>
      </c>
      <c r="Q495" s="70"/>
      <c r="R495" s="70">
        <v>0</v>
      </c>
      <c r="S495" s="68">
        <f t="shared" si="15"/>
        <v>43748</v>
      </c>
      <c r="T495" s="68">
        <v>43748</v>
      </c>
      <c r="U495" s="68"/>
      <c r="V495" s="68"/>
      <c r="W495" s="9"/>
      <c r="X495" s="10"/>
      <c r="Y495" s="65" t="str">
        <f t="shared" si="16"/>
        <v/>
      </c>
      <c r="Z495" s="11" t="str">
        <f t="shared" si="17"/>
        <v/>
      </c>
      <c r="AA495" s="73">
        <f t="shared" si="18"/>
        <v>0</v>
      </c>
      <c r="AB495" s="11" t="str">
        <f t="shared" si="19"/>
        <v/>
      </c>
      <c r="AC495" s="11" t="str">
        <f t="shared" si="20"/>
        <v/>
      </c>
      <c r="AD495" s="11" t="str">
        <f t="shared" si="21"/>
        <v/>
      </c>
      <c r="AE495" s="73">
        <f t="shared" si="22"/>
        <v>4.95E-4</v>
      </c>
      <c r="AF495" s="11" t="str">
        <f t="shared" si="23"/>
        <v/>
      </c>
      <c r="AG495" s="11" t="str">
        <f t="shared" si="24"/>
        <v/>
      </c>
      <c r="AH495" s="11" t="str">
        <f t="shared" si="25"/>
        <v/>
      </c>
    </row>
    <row r="496" spans="1:34" ht="14.25" customHeight="1">
      <c r="A496" s="11">
        <v>481</v>
      </c>
      <c r="B496" s="66" t="s">
        <v>24</v>
      </c>
      <c r="C496" s="67">
        <v>44445</v>
      </c>
      <c r="D496" s="67">
        <v>44796</v>
      </c>
      <c r="E496" s="67"/>
      <c r="F496" s="67"/>
      <c r="G496" s="67"/>
      <c r="H496" s="67"/>
      <c r="I496" s="6" t="s">
        <v>1081</v>
      </c>
      <c r="J496" s="9">
        <v>2748802252</v>
      </c>
      <c r="K496" s="68">
        <v>44439</v>
      </c>
      <c r="L496" s="68">
        <v>46022</v>
      </c>
      <c r="M496" s="68">
        <v>46022</v>
      </c>
      <c r="N496" s="69">
        <f t="shared" si="13"/>
        <v>-2</v>
      </c>
      <c r="O496" s="69" t="str">
        <f t="shared" si="14"/>
        <v>N/A</v>
      </c>
      <c r="P496" s="70">
        <v>2</v>
      </c>
      <c r="Q496" s="70">
        <v>0</v>
      </c>
      <c r="R496" s="70">
        <v>0</v>
      </c>
      <c r="S496" s="68">
        <f t="shared" si="15"/>
        <v>46022</v>
      </c>
      <c r="T496" s="68">
        <v>46022</v>
      </c>
      <c r="U496" s="68">
        <v>46022</v>
      </c>
      <c r="V496" s="68">
        <v>46028</v>
      </c>
      <c r="W496" s="9"/>
      <c r="X496" s="10"/>
      <c r="Y496" s="65" t="str">
        <f t="shared" si="16"/>
        <v/>
      </c>
      <c r="Z496" s="11" t="str">
        <f t="shared" si="17"/>
        <v/>
      </c>
      <c r="AA496" s="73">
        <f t="shared" si="18"/>
        <v>-2</v>
      </c>
      <c r="AB496" s="11" t="str">
        <f t="shared" si="19"/>
        <v/>
      </c>
      <c r="AC496" s="11" t="str">
        <f t="shared" si="20"/>
        <v/>
      </c>
      <c r="AD496" s="11" t="str">
        <f t="shared" si="21"/>
        <v/>
      </c>
      <c r="AE496" s="73">
        <f t="shared" si="22"/>
        <v>-1.9995039999999999</v>
      </c>
      <c r="AF496" s="11" t="str">
        <f t="shared" si="23"/>
        <v/>
      </c>
      <c r="AG496" s="11" t="str">
        <f t="shared" si="24"/>
        <v/>
      </c>
      <c r="AH496" s="11" t="str">
        <f t="shared" si="25"/>
        <v/>
      </c>
    </row>
    <row r="497" spans="1:34" ht="14.25" customHeight="1">
      <c r="A497" s="11">
        <v>482</v>
      </c>
      <c r="B497" s="66"/>
      <c r="C497" s="67"/>
      <c r="D497" s="67"/>
      <c r="E497" s="67"/>
      <c r="F497" s="67"/>
      <c r="G497" s="67" t="s">
        <v>35</v>
      </c>
      <c r="H497" s="67">
        <v>44804</v>
      </c>
      <c r="I497" s="6" t="s">
        <v>1082</v>
      </c>
      <c r="J497" s="9">
        <v>2758801727</v>
      </c>
      <c r="K497" s="68">
        <v>44773</v>
      </c>
      <c r="L497" s="68">
        <v>46022</v>
      </c>
      <c r="M497" s="68">
        <v>46203</v>
      </c>
      <c r="N497" s="69">
        <f t="shared" si="13"/>
        <v>44</v>
      </c>
      <c r="O497" s="69">
        <f t="shared" si="14"/>
        <v>10</v>
      </c>
      <c r="P497" s="70">
        <v>9</v>
      </c>
      <c r="Q497" s="70">
        <v>43</v>
      </c>
      <c r="R497" s="70">
        <v>53</v>
      </c>
      <c r="S497" s="68" t="str">
        <f t="shared" si="15"/>
        <v/>
      </c>
      <c r="T497" s="68"/>
      <c r="U497" s="68"/>
      <c r="V497" s="68"/>
      <c r="W497" s="9"/>
      <c r="X497" s="10"/>
      <c r="Y497" s="71">
        <f t="shared" si="16"/>
        <v>43</v>
      </c>
      <c r="Z497" s="73">
        <f t="shared" si="17"/>
        <v>53</v>
      </c>
      <c r="AA497" s="11" t="str">
        <f t="shared" si="18"/>
        <v/>
      </c>
      <c r="AB497" s="73">
        <f t="shared" si="19"/>
        <v>44</v>
      </c>
      <c r="AC497" s="11" t="str">
        <f t="shared" si="20"/>
        <v/>
      </c>
      <c r="AD497" s="73">
        <f t="shared" si="21"/>
        <v>10</v>
      </c>
      <c r="AE497" s="11" t="str">
        <f t="shared" si="22"/>
        <v/>
      </c>
      <c r="AF497" s="73">
        <f t="shared" si="23"/>
        <v>44.000497000000003</v>
      </c>
      <c r="AG497" s="11" t="str">
        <f t="shared" si="24"/>
        <v/>
      </c>
      <c r="AH497" s="73">
        <f t="shared" si="25"/>
        <v>10.000496999999999</v>
      </c>
    </row>
    <row r="498" spans="1:34" ht="14.25" customHeight="1">
      <c r="A498" s="11">
        <v>483</v>
      </c>
      <c r="B498" s="66"/>
      <c r="C498" s="67"/>
      <c r="D498" s="67"/>
      <c r="E498" s="67"/>
      <c r="F498" s="67"/>
      <c r="G498" s="67" t="s">
        <v>35</v>
      </c>
      <c r="H498" s="67">
        <v>44614</v>
      </c>
      <c r="I498" s="6" t="s">
        <v>1083</v>
      </c>
      <c r="J498" s="9">
        <v>2768800551</v>
      </c>
      <c r="K498" s="68">
        <v>44592</v>
      </c>
      <c r="L498" s="68">
        <v>46022</v>
      </c>
      <c r="M498" s="68">
        <v>46203</v>
      </c>
      <c r="N498" s="69">
        <f t="shared" si="13"/>
        <v>-44</v>
      </c>
      <c r="O498" s="69">
        <f t="shared" si="14"/>
        <v>1</v>
      </c>
      <c r="P498" s="70">
        <v>69</v>
      </c>
      <c r="Q498" s="70">
        <v>24</v>
      </c>
      <c r="R498" s="70">
        <v>25</v>
      </c>
      <c r="S498" s="68" t="str">
        <f t="shared" si="15"/>
        <v/>
      </c>
      <c r="T498" s="68"/>
      <c r="U498" s="68"/>
      <c r="V498" s="68"/>
      <c r="W498" s="9"/>
      <c r="X498" s="10"/>
      <c r="Y498" s="71">
        <f t="shared" si="16"/>
        <v>24</v>
      </c>
      <c r="Z498" s="73">
        <f t="shared" si="17"/>
        <v>25</v>
      </c>
      <c r="AA498" s="11" t="str">
        <f t="shared" si="18"/>
        <v/>
      </c>
      <c r="AB498" s="73">
        <f t="shared" si="19"/>
        <v>-44</v>
      </c>
      <c r="AC498" s="11" t="str">
        <f t="shared" si="20"/>
        <v/>
      </c>
      <c r="AD498" s="73">
        <f t="shared" si="21"/>
        <v>1</v>
      </c>
      <c r="AE498" s="11" t="str">
        <f t="shared" si="22"/>
        <v/>
      </c>
      <c r="AF498" s="73">
        <f t="shared" si="23"/>
        <v>-43.999502</v>
      </c>
      <c r="AG498" s="11" t="str">
        <f t="shared" si="24"/>
        <v/>
      </c>
      <c r="AH498" s="73">
        <f t="shared" si="25"/>
        <v>1.0004980000000001</v>
      </c>
    </row>
    <row r="499" spans="1:34" ht="14.25" customHeight="1">
      <c r="A499" s="11">
        <v>484</v>
      </c>
      <c r="B499" s="66" t="s">
        <v>35</v>
      </c>
      <c r="C499" s="67">
        <v>44713</v>
      </c>
      <c r="D499" s="67"/>
      <c r="E499" s="67"/>
      <c r="F499" s="67"/>
      <c r="G499" s="67"/>
      <c r="H499" s="67"/>
      <c r="I499" s="6" t="s">
        <v>1084</v>
      </c>
      <c r="J499" s="9">
        <v>2768801467</v>
      </c>
      <c r="K499" s="68">
        <v>44712</v>
      </c>
      <c r="L499" s="68">
        <v>46022</v>
      </c>
      <c r="M499" s="68">
        <v>46203</v>
      </c>
      <c r="N499" s="69">
        <f t="shared" si="13"/>
        <v>-9</v>
      </c>
      <c r="O499" s="69">
        <f t="shared" si="14"/>
        <v>-5</v>
      </c>
      <c r="P499" s="70">
        <v>10</v>
      </c>
      <c r="Q499" s="70">
        <v>6</v>
      </c>
      <c r="R499" s="70">
        <v>1</v>
      </c>
      <c r="S499" s="68" t="str">
        <f t="shared" si="15"/>
        <v/>
      </c>
      <c r="T499" s="68"/>
      <c r="U499" s="68"/>
      <c r="V499" s="68"/>
      <c r="W499" s="9"/>
      <c r="X499" s="10"/>
      <c r="Y499" s="71">
        <f t="shared" si="16"/>
        <v>6</v>
      </c>
      <c r="Z499" s="73">
        <f t="shared" si="17"/>
        <v>1</v>
      </c>
      <c r="AA499" s="73">
        <f t="shared" si="18"/>
        <v>-9</v>
      </c>
      <c r="AB499" s="11" t="str">
        <f t="shared" si="19"/>
        <v/>
      </c>
      <c r="AC499" s="73">
        <f t="shared" si="20"/>
        <v>-5</v>
      </c>
      <c r="AD499" s="11" t="str">
        <f t="shared" si="21"/>
        <v/>
      </c>
      <c r="AE499" s="73">
        <f t="shared" si="22"/>
        <v>-8.9995010000000004</v>
      </c>
      <c r="AF499" s="11" t="str">
        <f t="shared" si="23"/>
        <v/>
      </c>
      <c r="AG499" s="73">
        <f t="shared" si="24"/>
        <v>-4.9995010000000004</v>
      </c>
      <c r="AH499" s="11" t="str">
        <f t="shared" si="25"/>
        <v/>
      </c>
    </row>
    <row r="500" spans="1:34" ht="14.25" customHeight="1">
      <c r="A500" s="11">
        <v>485</v>
      </c>
      <c r="B500" s="66" t="s">
        <v>35</v>
      </c>
      <c r="C500" s="67">
        <v>44204</v>
      </c>
      <c r="D500" s="67"/>
      <c r="E500" s="67"/>
      <c r="F500" s="67"/>
      <c r="G500" s="67"/>
      <c r="H500" s="67"/>
      <c r="I500" s="6" t="s">
        <v>1085</v>
      </c>
      <c r="J500" s="9">
        <v>2778101684</v>
      </c>
      <c r="K500" s="68">
        <v>44196</v>
      </c>
      <c r="L500" s="68">
        <v>46022</v>
      </c>
      <c r="M500" s="68">
        <v>46203</v>
      </c>
      <c r="N500" s="69">
        <f t="shared" si="13"/>
        <v>-4</v>
      </c>
      <c r="O500" s="69">
        <f t="shared" si="14"/>
        <v>0</v>
      </c>
      <c r="P500" s="70">
        <v>4</v>
      </c>
      <c r="Q500" s="70">
        <v>0</v>
      </c>
      <c r="R500" s="70">
        <v>0</v>
      </c>
      <c r="S500" s="68" t="str">
        <f t="shared" si="15"/>
        <v/>
      </c>
      <c r="T500" s="68"/>
      <c r="U500" s="68"/>
      <c r="V500" s="68"/>
      <c r="W500" s="9"/>
      <c r="X500" s="10" t="s">
        <v>1086</v>
      </c>
      <c r="Y500" s="71">
        <f t="shared" si="16"/>
        <v>0</v>
      </c>
      <c r="Z500" s="73">
        <f t="shared" si="17"/>
        <v>0</v>
      </c>
      <c r="AA500" s="73">
        <f t="shared" si="18"/>
        <v>-4</v>
      </c>
      <c r="AB500" s="11" t="str">
        <f t="shared" si="19"/>
        <v/>
      </c>
      <c r="AC500" s="73">
        <f t="shared" si="20"/>
        <v>0</v>
      </c>
      <c r="AD500" s="11" t="str">
        <f t="shared" si="21"/>
        <v/>
      </c>
      <c r="AE500" s="73">
        <f t="shared" si="22"/>
        <v>-3.9994999999999998</v>
      </c>
      <c r="AF500" s="11" t="str">
        <f t="shared" si="23"/>
        <v/>
      </c>
      <c r="AG500" s="73">
        <f t="shared" si="24"/>
        <v>5.0000000000000001E-4</v>
      </c>
      <c r="AH500" s="11" t="str">
        <f t="shared" si="25"/>
        <v/>
      </c>
    </row>
    <row r="501" spans="1:34" ht="14.25" customHeight="1">
      <c r="A501" s="11">
        <v>486</v>
      </c>
      <c r="B501" s="66" t="s">
        <v>35</v>
      </c>
      <c r="C501" s="67">
        <v>45444</v>
      </c>
      <c r="D501" s="67"/>
      <c r="E501" s="67"/>
      <c r="F501" s="67"/>
      <c r="G501" s="67"/>
      <c r="H501" s="67"/>
      <c r="I501" s="6" t="s">
        <v>1087</v>
      </c>
      <c r="J501" s="9">
        <v>2778802697</v>
      </c>
      <c r="K501" s="68">
        <v>45443</v>
      </c>
      <c r="L501" s="68">
        <v>46022</v>
      </c>
      <c r="M501" s="68">
        <v>46203</v>
      </c>
      <c r="N501" s="69">
        <f t="shared" si="13"/>
        <v>-1</v>
      </c>
      <c r="O501" s="69">
        <f t="shared" si="14"/>
        <v>-3</v>
      </c>
      <c r="P501" s="70">
        <v>7</v>
      </c>
      <c r="Q501" s="70">
        <v>9</v>
      </c>
      <c r="R501" s="70">
        <v>6</v>
      </c>
      <c r="S501" s="68" t="str">
        <f t="shared" si="15"/>
        <v/>
      </c>
      <c r="T501" s="68"/>
      <c r="U501" s="68"/>
      <c r="V501" s="68"/>
      <c r="W501" s="9"/>
      <c r="X501" s="10"/>
      <c r="Y501" s="71">
        <f t="shared" si="16"/>
        <v>9</v>
      </c>
      <c r="Z501" s="73">
        <f t="shared" si="17"/>
        <v>6</v>
      </c>
      <c r="AA501" s="73">
        <f t="shared" si="18"/>
        <v>-1</v>
      </c>
      <c r="AB501" s="11" t="str">
        <f t="shared" si="19"/>
        <v/>
      </c>
      <c r="AC501" s="73">
        <f t="shared" si="20"/>
        <v>-3</v>
      </c>
      <c r="AD501" s="11" t="str">
        <f t="shared" si="21"/>
        <v/>
      </c>
      <c r="AE501" s="73">
        <f t="shared" si="22"/>
        <v>-0.99949900000000003</v>
      </c>
      <c r="AF501" s="11" t="str">
        <f t="shared" si="23"/>
        <v/>
      </c>
      <c r="AG501" s="73">
        <f t="shared" si="24"/>
        <v>-2.9994990000000001</v>
      </c>
      <c r="AH501" s="11" t="str">
        <f t="shared" si="25"/>
        <v/>
      </c>
    </row>
    <row r="502" spans="1:34" ht="14.25" customHeight="1">
      <c r="A502" s="11">
        <v>487</v>
      </c>
      <c r="B502" s="66"/>
      <c r="C502" s="67"/>
      <c r="D502" s="67"/>
      <c r="E502" s="67"/>
      <c r="F502" s="67"/>
      <c r="G502" s="67" t="s">
        <v>35</v>
      </c>
      <c r="H502" s="67">
        <v>45484</v>
      </c>
      <c r="I502" s="6" t="s">
        <v>1088</v>
      </c>
      <c r="J502" s="9">
        <v>2788600984</v>
      </c>
      <c r="K502" s="68">
        <v>45473</v>
      </c>
      <c r="L502" s="68">
        <v>46022</v>
      </c>
      <c r="M502" s="68">
        <v>46203</v>
      </c>
      <c r="N502" s="69">
        <f t="shared" si="13"/>
        <v>9</v>
      </c>
      <c r="O502" s="69">
        <f t="shared" si="14"/>
        <v>-1</v>
      </c>
      <c r="P502" s="70">
        <v>39</v>
      </c>
      <c r="Q502" s="70">
        <v>49</v>
      </c>
      <c r="R502" s="70">
        <v>48</v>
      </c>
      <c r="S502" s="68" t="str">
        <f t="shared" si="15"/>
        <v/>
      </c>
      <c r="T502" s="68"/>
      <c r="U502" s="68"/>
      <c r="V502" s="68"/>
      <c r="W502" s="9"/>
      <c r="X502" s="10"/>
      <c r="Y502" s="71">
        <f t="shared" si="16"/>
        <v>49</v>
      </c>
      <c r="Z502" s="73">
        <f t="shared" si="17"/>
        <v>48</v>
      </c>
      <c r="AA502" s="11" t="str">
        <f t="shared" si="18"/>
        <v/>
      </c>
      <c r="AB502" s="73">
        <f t="shared" si="19"/>
        <v>9</v>
      </c>
      <c r="AC502" s="11" t="str">
        <f t="shared" si="20"/>
        <v/>
      </c>
      <c r="AD502" s="73">
        <f t="shared" si="21"/>
        <v>-1</v>
      </c>
      <c r="AE502" s="11" t="str">
        <f t="shared" si="22"/>
        <v/>
      </c>
      <c r="AF502" s="73">
        <f t="shared" si="23"/>
        <v>9.0005019999999991</v>
      </c>
      <c r="AG502" s="11" t="str">
        <f t="shared" si="24"/>
        <v/>
      </c>
      <c r="AH502" s="73">
        <f t="shared" si="25"/>
        <v>-0.999498</v>
      </c>
    </row>
    <row r="503" spans="1:34" ht="14.25" customHeight="1">
      <c r="A503" s="11">
        <v>488</v>
      </c>
      <c r="B503" s="66"/>
      <c r="C503" s="67"/>
      <c r="D503" s="67"/>
      <c r="E503" s="67"/>
      <c r="F503" s="67"/>
      <c r="G503" s="67" t="s">
        <v>24</v>
      </c>
      <c r="H503" s="67">
        <v>43774</v>
      </c>
      <c r="I503" s="6" t="s">
        <v>1089</v>
      </c>
      <c r="J503" s="9">
        <v>2798700849</v>
      </c>
      <c r="K503" s="68">
        <v>43769</v>
      </c>
      <c r="L503" s="68" t="s">
        <v>230</v>
      </c>
      <c r="M503" s="68">
        <v>45838</v>
      </c>
      <c r="N503" s="69">
        <f t="shared" si="13"/>
        <v>-12</v>
      </c>
      <c r="O503" s="69" t="str">
        <f t="shared" si="14"/>
        <v>N/A</v>
      </c>
      <c r="P503" s="70">
        <v>12</v>
      </c>
      <c r="Q503" s="70"/>
      <c r="R503" s="70">
        <v>0</v>
      </c>
      <c r="S503" s="68">
        <f t="shared" si="15"/>
        <v>45824</v>
      </c>
      <c r="T503" s="68">
        <v>45824</v>
      </c>
      <c r="U503" s="68"/>
      <c r="V503" s="68"/>
      <c r="W503" s="9"/>
      <c r="X503" s="10"/>
      <c r="Y503" s="65" t="str">
        <f t="shared" si="16"/>
        <v/>
      </c>
      <c r="Z503" s="11" t="str">
        <f t="shared" si="17"/>
        <v/>
      </c>
      <c r="AA503" s="11" t="str">
        <f t="shared" si="18"/>
        <v/>
      </c>
      <c r="AB503" s="73">
        <f t="shared" si="19"/>
        <v>-12</v>
      </c>
      <c r="AC503" s="11" t="str">
        <f t="shared" si="20"/>
        <v/>
      </c>
      <c r="AD503" s="11" t="str">
        <f t="shared" si="21"/>
        <v/>
      </c>
      <c r="AE503" s="11" t="str">
        <f t="shared" si="22"/>
        <v/>
      </c>
      <c r="AF503" s="73">
        <f t="shared" si="23"/>
        <v>-11.999497</v>
      </c>
      <c r="AG503" s="11" t="str">
        <f t="shared" si="24"/>
        <v/>
      </c>
      <c r="AH503" s="11" t="str">
        <f t="shared" si="25"/>
        <v/>
      </c>
    </row>
    <row r="504" spans="1:34" ht="14.25" customHeight="1">
      <c r="A504" s="11">
        <v>489</v>
      </c>
      <c r="B504" s="66"/>
      <c r="C504" s="67"/>
      <c r="D504" s="67"/>
      <c r="E504" s="67"/>
      <c r="F504" s="67"/>
      <c r="G504" s="67" t="s">
        <v>283</v>
      </c>
      <c r="H504" s="67">
        <v>44328</v>
      </c>
      <c r="I504" s="6" t="s">
        <v>1090</v>
      </c>
      <c r="J504" s="9">
        <v>2798801452</v>
      </c>
      <c r="K504" s="68">
        <v>44316</v>
      </c>
      <c r="L504" s="68" t="s">
        <v>230</v>
      </c>
      <c r="M504" s="68">
        <v>45747</v>
      </c>
      <c r="N504" s="69">
        <f t="shared" si="13"/>
        <v>31</v>
      </c>
      <c r="O504" s="69" t="str">
        <f t="shared" si="14"/>
        <v>N/A</v>
      </c>
      <c r="P504" s="70">
        <v>13</v>
      </c>
      <c r="Q504" s="70"/>
      <c r="R504" s="70">
        <v>44</v>
      </c>
      <c r="S504" s="68">
        <f t="shared" si="15"/>
        <v>45721</v>
      </c>
      <c r="T504" s="68"/>
      <c r="U504" s="68"/>
      <c r="V504" s="68"/>
      <c r="W504" s="68">
        <v>45721</v>
      </c>
      <c r="X504" s="10"/>
      <c r="Y504" s="65" t="str">
        <f t="shared" si="16"/>
        <v/>
      </c>
      <c r="Z504" s="11" t="str">
        <f t="shared" si="17"/>
        <v/>
      </c>
      <c r="AA504" s="11" t="str">
        <f t="shared" si="18"/>
        <v/>
      </c>
      <c r="AB504" s="73">
        <f t="shared" si="19"/>
        <v>31</v>
      </c>
      <c r="AC504" s="11" t="str">
        <f t="shared" si="20"/>
        <v/>
      </c>
      <c r="AD504" s="11" t="str">
        <f t="shared" si="21"/>
        <v/>
      </c>
      <c r="AE504" s="11" t="str">
        <f t="shared" si="22"/>
        <v/>
      </c>
      <c r="AF504" s="73">
        <f t="shared" si="23"/>
        <v>31.000503999999999</v>
      </c>
      <c r="AG504" s="11" t="str">
        <f t="shared" si="24"/>
        <v/>
      </c>
      <c r="AH504" s="11" t="str">
        <f t="shared" si="25"/>
        <v/>
      </c>
    </row>
    <row r="505" spans="1:34" ht="14.25" customHeight="1">
      <c r="A505" s="11">
        <v>490</v>
      </c>
      <c r="B505" s="66"/>
      <c r="C505" s="67"/>
      <c r="D505" s="67"/>
      <c r="E505" s="67"/>
      <c r="F505" s="67"/>
      <c r="G505" s="67" t="s">
        <v>35</v>
      </c>
      <c r="H505" s="67">
        <v>45176</v>
      </c>
      <c r="I505" s="6" t="s">
        <v>1091</v>
      </c>
      <c r="J505" s="9">
        <v>2808701611</v>
      </c>
      <c r="K505" s="68">
        <v>45169</v>
      </c>
      <c r="L505" s="68">
        <v>46022</v>
      </c>
      <c r="M505" s="68">
        <v>46203</v>
      </c>
      <c r="N505" s="69">
        <f t="shared" si="13"/>
        <v>-7</v>
      </c>
      <c r="O505" s="69">
        <f t="shared" si="14"/>
        <v>1</v>
      </c>
      <c r="P505" s="70">
        <v>17</v>
      </c>
      <c r="Q505" s="70">
        <v>9</v>
      </c>
      <c r="R505" s="70">
        <v>10</v>
      </c>
      <c r="S505" s="68" t="str">
        <f t="shared" si="15"/>
        <v/>
      </c>
      <c r="T505" s="68"/>
      <c r="U505" s="68"/>
      <c r="V505" s="68"/>
      <c r="W505" s="9"/>
      <c r="X505" s="10"/>
      <c r="Y505" s="71">
        <f t="shared" si="16"/>
        <v>9</v>
      </c>
      <c r="Z505" s="73">
        <f t="shared" si="17"/>
        <v>10</v>
      </c>
      <c r="AA505" s="11" t="str">
        <f t="shared" si="18"/>
        <v/>
      </c>
      <c r="AB505" s="73">
        <f t="shared" si="19"/>
        <v>-7</v>
      </c>
      <c r="AC505" s="11" t="str">
        <f t="shared" si="20"/>
        <v/>
      </c>
      <c r="AD505" s="73">
        <f t="shared" si="21"/>
        <v>1</v>
      </c>
      <c r="AE505" s="11" t="str">
        <f t="shared" si="22"/>
        <v/>
      </c>
      <c r="AF505" s="73">
        <f t="shared" si="23"/>
        <v>-6.9994949999999996</v>
      </c>
      <c r="AG505" s="11" t="str">
        <f t="shared" si="24"/>
        <v/>
      </c>
      <c r="AH505" s="73">
        <f t="shared" si="25"/>
        <v>1.000505</v>
      </c>
    </row>
    <row r="506" spans="1:34" ht="14.25" customHeight="1">
      <c r="A506" s="11">
        <v>491</v>
      </c>
      <c r="B506" s="66" t="s">
        <v>35</v>
      </c>
      <c r="C506" s="67">
        <v>44531</v>
      </c>
      <c r="D506" s="67"/>
      <c r="E506" s="67"/>
      <c r="F506" s="67"/>
      <c r="G506" s="67"/>
      <c r="H506" s="67"/>
      <c r="I506" s="6" t="s">
        <v>1092</v>
      </c>
      <c r="J506" s="9">
        <v>2808702148</v>
      </c>
      <c r="K506" s="68">
        <v>44530</v>
      </c>
      <c r="L506" s="68">
        <v>46022</v>
      </c>
      <c r="M506" s="68">
        <v>46203</v>
      </c>
      <c r="N506" s="69">
        <f t="shared" si="13"/>
        <v>17</v>
      </c>
      <c r="O506" s="69">
        <f t="shared" si="14"/>
        <v>-3</v>
      </c>
      <c r="P506" s="70">
        <v>5</v>
      </c>
      <c r="Q506" s="70">
        <v>25</v>
      </c>
      <c r="R506" s="70">
        <v>22</v>
      </c>
      <c r="S506" s="68" t="str">
        <f t="shared" si="15"/>
        <v/>
      </c>
      <c r="T506" s="68"/>
      <c r="U506" s="68"/>
      <c r="V506" s="68"/>
      <c r="W506" s="9"/>
      <c r="X506" s="10"/>
      <c r="Y506" s="71">
        <f t="shared" si="16"/>
        <v>25</v>
      </c>
      <c r="Z506" s="73">
        <f t="shared" si="17"/>
        <v>22</v>
      </c>
      <c r="AA506" s="73">
        <f t="shared" si="18"/>
        <v>17</v>
      </c>
      <c r="AB506" s="11" t="str">
        <f t="shared" si="19"/>
        <v/>
      </c>
      <c r="AC506" s="73">
        <f t="shared" si="20"/>
        <v>-3</v>
      </c>
      <c r="AD506" s="11" t="str">
        <f t="shared" si="21"/>
        <v/>
      </c>
      <c r="AE506" s="73">
        <f t="shared" si="22"/>
        <v>17.000506000000001</v>
      </c>
      <c r="AF506" s="11" t="str">
        <f t="shared" si="23"/>
        <v/>
      </c>
      <c r="AG506" s="73">
        <f t="shared" si="24"/>
        <v>-2.9994939999999999</v>
      </c>
      <c r="AH506" s="11" t="str">
        <f t="shared" si="25"/>
        <v/>
      </c>
    </row>
    <row r="507" spans="1:34" ht="14.25" customHeight="1">
      <c r="A507" s="11">
        <v>492</v>
      </c>
      <c r="B507" s="66" t="s">
        <v>35</v>
      </c>
      <c r="C507" s="67">
        <v>44896</v>
      </c>
      <c r="D507" s="67"/>
      <c r="E507" s="67"/>
      <c r="F507" s="67"/>
      <c r="G507" s="67"/>
      <c r="H507" s="67"/>
      <c r="I507" s="6" t="s">
        <v>1093</v>
      </c>
      <c r="J507" s="9">
        <v>2818102815</v>
      </c>
      <c r="K507" s="68">
        <v>44895</v>
      </c>
      <c r="L507" s="68">
        <v>46022</v>
      </c>
      <c r="M507" s="68">
        <v>46203</v>
      </c>
      <c r="N507" s="69">
        <f t="shared" si="13"/>
        <v>2</v>
      </c>
      <c r="O507" s="69">
        <f t="shared" si="14"/>
        <v>0</v>
      </c>
      <c r="P507" s="70">
        <v>0</v>
      </c>
      <c r="Q507" s="70">
        <v>2</v>
      </c>
      <c r="R507" s="70">
        <v>2</v>
      </c>
      <c r="S507" s="68" t="str">
        <f t="shared" si="15"/>
        <v/>
      </c>
      <c r="T507" s="68"/>
      <c r="U507" s="68"/>
      <c r="V507" s="68"/>
      <c r="W507" s="9"/>
      <c r="X507" s="10"/>
      <c r="Y507" s="71">
        <f t="shared" si="16"/>
        <v>2</v>
      </c>
      <c r="Z507" s="73">
        <f t="shared" si="17"/>
        <v>2</v>
      </c>
      <c r="AA507" s="73">
        <f t="shared" si="18"/>
        <v>2</v>
      </c>
      <c r="AB507" s="11" t="str">
        <f t="shared" si="19"/>
        <v/>
      </c>
      <c r="AC507" s="73">
        <f t="shared" si="20"/>
        <v>0</v>
      </c>
      <c r="AD507" s="11" t="str">
        <f t="shared" si="21"/>
        <v/>
      </c>
      <c r="AE507" s="73">
        <f t="shared" si="22"/>
        <v>2.0005069999999998</v>
      </c>
      <c r="AF507" s="11" t="str">
        <f t="shared" si="23"/>
        <v/>
      </c>
      <c r="AG507" s="73">
        <f t="shared" si="24"/>
        <v>5.0699999999999996E-4</v>
      </c>
      <c r="AH507" s="11" t="str">
        <f t="shared" si="25"/>
        <v/>
      </c>
    </row>
    <row r="508" spans="1:34" ht="14.25" customHeight="1">
      <c r="A508" s="11">
        <v>493</v>
      </c>
      <c r="B508" s="66" t="s">
        <v>24</v>
      </c>
      <c r="C508" s="67">
        <v>43374</v>
      </c>
      <c r="D508" s="67"/>
      <c r="E508" s="67"/>
      <c r="F508" s="67"/>
      <c r="G508" s="67"/>
      <c r="H508" s="67"/>
      <c r="I508" s="6" t="s">
        <v>1094</v>
      </c>
      <c r="J508" s="9">
        <v>2818601086</v>
      </c>
      <c r="K508" s="68">
        <v>43373</v>
      </c>
      <c r="L508" s="68" t="s">
        <v>230</v>
      </c>
      <c r="M508" s="68">
        <v>43738</v>
      </c>
      <c r="N508" s="69">
        <f t="shared" si="13"/>
        <v>0</v>
      </c>
      <c r="O508" s="69" t="str">
        <f t="shared" si="14"/>
        <v>N/A</v>
      </c>
      <c r="P508" s="70">
        <v>0</v>
      </c>
      <c r="Q508" s="70"/>
      <c r="R508" s="70">
        <v>0</v>
      </c>
      <c r="S508" s="68">
        <f t="shared" si="15"/>
        <v>43735</v>
      </c>
      <c r="T508" s="68">
        <v>43735</v>
      </c>
      <c r="U508" s="68"/>
      <c r="V508" s="68"/>
      <c r="W508" s="9"/>
      <c r="X508" s="10"/>
      <c r="Y508" s="65" t="str">
        <f t="shared" si="16"/>
        <v/>
      </c>
      <c r="Z508" s="11" t="str">
        <f t="shared" si="17"/>
        <v/>
      </c>
      <c r="AA508" s="73">
        <f t="shared" si="18"/>
        <v>0</v>
      </c>
      <c r="AB508" s="11" t="str">
        <f t="shared" si="19"/>
        <v/>
      </c>
      <c r="AC508" s="11" t="str">
        <f t="shared" si="20"/>
        <v/>
      </c>
      <c r="AD508" s="11" t="str">
        <f t="shared" si="21"/>
        <v/>
      </c>
      <c r="AE508" s="73">
        <f t="shared" si="22"/>
        <v>5.0799999999999999E-4</v>
      </c>
      <c r="AF508" s="11" t="str">
        <f t="shared" si="23"/>
        <v/>
      </c>
      <c r="AG508" s="11" t="str">
        <f t="shared" si="24"/>
        <v/>
      </c>
      <c r="AH508" s="11" t="str">
        <f t="shared" si="25"/>
        <v/>
      </c>
    </row>
    <row r="509" spans="1:34" ht="14.25" customHeight="1">
      <c r="A509" s="11">
        <v>494</v>
      </c>
      <c r="B509" s="66"/>
      <c r="C509" s="67"/>
      <c r="D509" s="67"/>
      <c r="E509" s="67"/>
      <c r="F509" s="67"/>
      <c r="G509" s="67" t="s">
        <v>35</v>
      </c>
      <c r="H509" s="67">
        <v>44512</v>
      </c>
      <c r="I509" s="6" t="s">
        <v>1095</v>
      </c>
      <c r="J509" s="9">
        <v>2828601361</v>
      </c>
      <c r="K509" s="68">
        <v>44500</v>
      </c>
      <c r="L509" s="68">
        <v>46022</v>
      </c>
      <c r="M509" s="68">
        <v>46203</v>
      </c>
      <c r="N509" s="69">
        <f t="shared" si="13"/>
        <v>-5</v>
      </c>
      <c r="O509" s="69">
        <f t="shared" si="14"/>
        <v>0</v>
      </c>
      <c r="P509" s="70">
        <v>8</v>
      </c>
      <c r="Q509" s="70">
        <v>3</v>
      </c>
      <c r="R509" s="70">
        <v>3</v>
      </c>
      <c r="S509" s="68" t="str">
        <f t="shared" si="15"/>
        <v/>
      </c>
      <c r="T509" s="68"/>
      <c r="U509" s="68"/>
      <c r="V509" s="68"/>
      <c r="W509" s="9"/>
      <c r="X509" s="10"/>
      <c r="Y509" s="71">
        <f t="shared" si="16"/>
        <v>3</v>
      </c>
      <c r="Z509" s="73">
        <f t="shared" si="17"/>
        <v>3</v>
      </c>
      <c r="AA509" s="11" t="str">
        <f t="shared" si="18"/>
        <v/>
      </c>
      <c r="AB509" s="73">
        <f t="shared" si="19"/>
        <v>-5</v>
      </c>
      <c r="AC509" s="11" t="str">
        <f t="shared" si="20"/>
        <v/>
      </c>
      <c r="AD509" s="73">
        <f t="shared" si="21"/>
        <v>0</v>
      </c>
      <c r="AE509" s="11" t="str">
        <f t="shared" si="22"/>
        <v/>
      </c>
      <c r="AF509" s="73">
        <f t="shared" si="23"/>
        <v>-4.9994909999999999</v>
      </c>
      <c r="AG509" s="11" t="str">
        <f t="shared" si="24"/>
        <v/>
      </c>
      <c r="AH509" s="73">
        <f t="shared" si="25"/>
        <v>5.0900000000000001E-4</v>
      </c>
    </row>
    <row r="510" spans="1:34" ht="14.25" customHeight="1">
      <c r="A510" s="11">
        <v>495</v>
      </c>
      <c r="B510" s="66"/>
      <c r="C510" s="67"/>
      <c r="D510" s="67"/>
      <c r="E510" s="67"/>
      <c r="F510" s="67"/>
      <c r="G510" s="67" t="s">
        <v>35</v>
      </c>
      <c r="H510" s="67">
        <v>44449</v>
      </c>
      <c r="I510" s="6" t="s">
        <v>1096</v>
      </c>
      <c r="J510" s="9">
        <v>2838101767</v>
      </c>
      <c r="K510" s="68">
        <v>44439</v>
      </c>
      <c r="L510" s="68">
        <v>46022</v>
      </c>
      <c r="M510" s="68">
        <v>46203</v>
      </c>
      <c r="N510" s="69">
        <f t="shared" si="13"/>
        <v>-1</v>
      </c>
      <c r="O510" s="69">
        <f t="shared" si="14"/>
        <v>-3</v>
      </c>
      <c r="P510" s="70">
        <v>3</v>
      </c>
      <c r="Q510" s="70">
        <v>5</v>
      </c>
      <c r="R510" s="70">
        <v>2</v>
      </c>
      <c r="S510" s="68" t="str">
        <f t="shared" si="15"/>
        <v/>
      </c>
      <c r="T510" s="68"/>
      <c r="U510" s="68"/>
      <c r="V510" s="68"/>
      <c r="W510" s="9"/>
      <c r="X510" s="10"/>
      <c r="Y510" s="71">
        <f t="shared" si="16"/>
        <v>5</v>
      </c>
      <c r="Z510" s="73">
        <f t="shared" si="17"/>
        <v>2</v>
      </c>
      <c r="AA510" s="11" t="str">
        <f t="shared" si="18"/>
        <v/>
      </c>
      <c r="AB510" s="73">
        <f t="shared" si="19"/>
        <v>-1</v>
      </c>
      <c r="AC510" s="11" t="str">
        <f t="shared" si="20"/>
        <v/>
      </c>
      <c r="AD510" s="73">
        <f t="shared" si="21"/>
        <v>-3</v>
      </c>
      <c r="AE510" s="11" t="str">
        <f t="shared" si="22"/>
        <v/>
      </c>
      <c r="AF510" s="73">
        <f t="shared" si="23"/>
        <v>-0.99948999999999999</v>
      </c>
      <c r="AG510" s="11" t="str">
        <f t="shared" si="24"/>
        <v/>
      </c>
      <c r="AH510" s="73">
        <f t="shared" si="25"/>
        <v>-2.9994900000000002</v>
      </c>
    </row>
    <row r="511" spans="1:34" ht="14.25" customHeight="1">
      <c r="A511" s="11">
        <v>496</v>
      </c>
      <c r="B511" s="124" t="s">
        <v>24</v>
      </c>
      <c r="C511" s="67"/>
      <c r="D511" s="67"/>
      <c r="E511" s="67"/>
      <c r="F511" s="67">
        <v>45757</v>
      </c>
      <c r="G511" s="124" t="s">
        <v>24</v>
      </c>
      <c r="H511" s="67">
        <v>44399</v>
      </c>
      <c r="I511" s="6" t="s">
        <v>1097</v>
      </c>
      <c r="J511" s="9">
        <v>2848801930</v>
      </c>
      <c r="K511" s="68">
        <v>44377</v>
      </c>
      <c r="L511" s="68">
        <v>46022</v>
      </c>
      <c r="M511" s="68">
        <v>46053</v>
      </c>
      <c r="N511" s="69">
        <f t="shared" si="13"/>
        <v>0</v>
      </c>
      <c r="O511" s="69">
        <f t="shared" si="14"/>
        <v>-2</v>
      </c>
      <c r="P511" s="70">
        <v>0</v>
      </c>
      <c r="Q511" s="70">
        <v>2</v>
      </c>
      <c r="R511" s="70">
        <v>0</v>
      </c>
      <c r="S511" s="68">
        <f t="shared" si="15"/>
        <v>46045</v>
      </c>
      <c r="T511" s="68">
        <v>46045</v>
      </c>
      <c r="U511" s="68"/>
      <c r="V511" s="68"/>
      <c r="W511" s="9"/>
      <c r="X511" s="10"/>
      <c r="Y511" s="71">
        <f t="shared" si="16"/>
        <v>2</v>
      </c>
      <c r="Z511" s="73">
        <f t="shared" si="17"/>
        <v>0</v>
      </c>
      <c r="AA511" s="73">
        <f t="shared" si="18"/>
        <v>0</v>
      </c>
      <c r="AB511" s="73">
        <f t="shared" si="19"/>
        <v>0</v>
      </c>
      <c r="AC511" s="73">
        <f t="shared" si="20"/>
        <v>-2</v>
      </c>
      <c r="AD511" s="73">
        <f t="shared" si="21"/>
        <v>-2</v>
      </c>
      <c r="AE511" s="73">
        <f t="shared" si="22"/>
        <v>5.1099999999999995E-4</v>
      </c>
      <c r="AF511" s="73">
        <f t="shared" si="23"/>
        <v>5.1099999999999995E-4</v>
      </c>
      <c r="AG511" s="73">
        <f t="shared" si="24"/>
        <v>-1.9994890000000001</v>
      </c>
      <c r="AH511" s="73">
        <f t="shared" si="25"/>
        <v>-1.9994890000000001</v>
      </c>
    </row>
    <row r="512" spans="1:34" ht="14.25" customHeight="1">
      <c r="A512" s="11">
        <v>497</v>
      </c>
      <c r="B512" s="66"/>
      <c r="C512" s="67"/>
      <c r="D512" s="67"/>
      <c r="E512" s="67"/>
      <c r="F512" s="67"/>
      <c r="G512" s="67" t="s">
        <v>35</v>
      </c>
      <c r="H512" s="67">
        <v>45432</v>
      </c>
      <c r="I512" s="6" t="s">
        <v>1098</v>
      </c>
      <c r="J512" s="9">
        <v>2858703064</v>
      </c>
      <c r="K512" s="68">
        <v>45412</v>
      </c>
      <c r="L512" s="68">
        <v>46022</v>
      </c>
      <c r="M512" s="68">
        <v>46203</v>
      </c>
      <c r="N512" s="69">
        <f t="shared" si="13"/>
        <v>4</v>
      </c>
      <c r="O512" s="69">
        <f t="shared" si="14"/>
        <v>1</v>
      </c>
      <c r="P512" s="70">
        <v>4</v>
      </c>
      <c r="Q512" s="70">
        <v>7</v>
      </c>
      <c r="R512" s="70">
        <v>8</v>
      </c>
      <c r="S512" s="68" t="str">
        <f t="shared" si="15"/>
        <v/>
      </c>
      <c r="T512" s="68"/>
      <c r="U512" s="68"/>
      <c r="V512" s="68"/>
      <c r="W512" s="9"/>
      <c r="X512" s="10"/>
      <c r="Y512" s="71">
        <f t="shared" si="16"/>
        <v>7</v>
      </c>
      <c r="Z512" s="73">
        <f t="shared" si="17"/>
        <v>8</v>
      </c>
      <c r="AA512" s="11" t="str">
        <f t="shared" si="18"/>
        <v/>
      </c>
      <c r="AB512" s="73">
        <f t="shared" si="19"/>
        <v>4</v>
      </c>
      <c r="AC512" s="11" t="str">
        <f t="shared" si="20"/>
        <v/>
      </c>
      <c r="AD512" s="73">
        <f t="shared" si="21"/>
        <v>1</v>
      </c>
      <c r="AE512" s="11" t="str">
        <f t="shared" si="22"/>
        <v/>
      </c>
      <c r="AF512" s="73">
        <f t="shared" si="23"/>
        <v>4.0005119999999996</v>
      </c>
      <c r="AG512" s="11" t="str">
        <f t="shared" si="24"/>
        <v/>
      </c>
      <c r="AH512" s="73">
        <f t="shared" si="25"/>
        <v>1.0005120000000001</v>
      </c>
    </row>
    <row r="513" spans="1:34" ht="14.25" customHeight="1">
      <c r="A513" s="11">
        <v>498</v>
      </c>
      <c r="B513" s="66" t="s">
        <v>35</v>
      </c>
      <c r="C513" s="67">
        <v>43049</v>
      </c>
      <c r="D513" s="67"/>
      <c r="E513" s="67"/>
      <c r="F513" s="67"/>
      <c r="G513" s="67"/>
      <c r="H513" s="67"/>
      <c r="I513" s="6" t="s">
        <v>1099</v>
      </c>
      <c r="J513" s="9">
        <v>2868600253</v>
      </c>
      <c r="K513" s="68">
        <v>43039</v>
      </c>
      <c r="L513" s="68">
        <v>46022</v>
      </c>
      <c r="M513" s="68">
        <v>46203</v>
      </c>
      <c r="N513" s="69">
        <f t="shared" si="13"/>
        <v>0</v>
      </c>
      <c r="O513" s="69">
        <f t="shared" si="14"/>
        <v>0</v>
      </c>
      <c r="P513" s="70">
        <v>0</v>
      </c>
      <c r="Q513" s="70">
        <v>0</v>
      </c>
      <c r="R513" s="70">
        <v>0</v>
      </c>
      <c r="S513" s="68" t="str">
        <f t="shared" si="15"/>
        <v/>
      </c>
      <c r="T513" s="68"/>
      <c r="U513" s="68"/>
      <c r="V513" s="68"/>
      <c r="W513" s="9"/>
      <c r="X513" s="10" t="s">
        <v>1100</v>
      </c>
      <c r="Y513" s="71">
        <f t="shared" si="16"/>
        <v>0</v>
      </c>
      <c r="Z513" s="73">
        <f t="shared" si="17"/>
        <v>0</v>
      </c>
      <c r="AA513" s="73">
        <f t="shared" si="18"/>
        <v>0</v>
      </c>
      <c r="AB513" s="11" t="str">
        <f t="shared" si="19"/>
        <v/>
      </c>
      <c r="AC513" s="73">
        <f t="shared" si="20"/>
        <v>0</v>
      </c>
      <c r="AD513" s="11" t="str">
        <f t="shared" si="21"/>
        <v/>
      </c>
      <c r="AE513" s="73">
        <f t="shared" si="22"/>
        <v>5.13E-4</v>
      </c>
      <c r="AF513" s="11" t="str">
        <f t="shared" si="23"/>
        <v/>
      </c>
      <c r="AG513" s="73">
        <f t="shared" si="24"/>
        <v>5.13E-4</v>
      </c>
      <c r="AH513" s="11" t="str">
        <f t="shared" si="25"/>
        <v/>
      </c>
    </row>
    <row r="514" spans="1:34" ht="14.25" customHeight="1">
      <c r="A514" s="11">
        <v>499</v>
      </c>
      <c r="B514" s="66"/>
      <c r="C514" s="67"/>
      <c r="D514" s="67"/>
      <c r="E514" s="67"/>
      <c r="F514" s="67"/>
      <c r="G514" s="67" t="s">
        <v>35</v>
      </c>
      <c r="H514" s="67">
        <v>44463</v>
      </c>
      <c r="I514" s="6" t="s">
        <v>1101</v>
      </c>
      <c r="J514" s="9">
        <v>2868701787</v>
      </c>
      <c r="K514" s="68">
        <v>44439</v>
      </c>
      <c r="L514" s="68">
        <v>46022</v>
      </c>
      <c r="M514" s="68">
        <v>46203</v>
      </c>
      <c r="N514" s="69">
        <f t="shared" si="13"/>
        <v>0</v>
      </c>
      <c r="O514" s="69">
        <f t="shared" si="14"/>
        <v>0</v>
      </c>
      <c r="P514" s="70">
        <v>1</v>
      </c>
      <c r="Q514" s="70">
        <v>1</v>
      </c>
      <c r="R514" s="70">
        <v>1</v>
      </c>
      <c r="S514" s="68" t="str">
        <f t="shared" si="15"/>
        <v/>
      </c>
      <c r="T514" s="68"/>
      <c r="U514" s="68"/>
      <c r="V514" s="68"/>
      <c r="W514" s="9"/>
      <c r="X514" s="10"/>
      <c r="Y514" s="71">
        <f t="shared" si="16"/>
        <v>1</v>
      </c>
      <c r="Z514" s="73">
        <f t="shared" si="17"/>
        <v>1</v>
      </c>
      <c r="AA514" s="11" t="str">
        <f t="shared" si="18"/>
        <v/>
      </c>
      <c r="AB514" s="73">
        <f t="shared" si="19"/>
        <v>0</v>
      </c>
      <c r="AC514" s="11" t="str">
        <f t="shared" si="20"/>
        <v/>
      </c>
      <c r="AD514" s="73">
        <f t="shared" si="21"/>
        <v>0</v>
      </c>
      <c r="AE514" s="11" t="str">
        <f t="shared" si="22"/>
        <v/>
      </c>
      <c r="AF514" s="73">
        <f t="shared" si="23"/>
        <v>5.1400000000000003E-4</v>
      </c>
      <c r="AG514" s="11" t="str">
        <f t="shared" si="24"/>
        <v/>
      </c>
      <c r="AH514" s="73">
        <f t="shared" si="25"/>
        <v>5.1400000000000003E-4</v>
      </c>
    </row>
    <row r="515" spans="1:34" ht="14.25" customHeight="1">
      <c r="A515" s="11">
        <v>500</v>
      </c>
      <c r="B515" s="66"/>
      <c r="C515" s="67"/>
      <c r="D515" s="67"/>
      <c r="E515" s="67"/>
      <c r="F515" s="67"/>
      <c r="G515" s="67" t="s">
        <v>35</v>
      </c>
      <c r="H515" s="67">
        <v>43363</v>
      </c>
      <c r="I515" s="6" t="s">
        <v>1102</v>
      </c>
      <c r="J515" s="9">
        <v>2868800238</v>
      </c>
      <c r="K515" s="68">
        <v>43343</v>
      </c>
      <c r="L515" s="68">
        <v>46022</v>
      </c>
      <c r="M515" s="68">
        <v>46203</v>
      </c>
      <c r="N515" s="69">
        <f t="shared" si="13"/>
        <v>36</v>
      </c>
      <c r="O515" s="69">
        <f t="shared" si="14"/>
        <v>3</v>
      </c>
      <c r="P515" s="70">
        <v>7</v>
      </c>
      <c r="Q515" s="70">
        <v>40</v>
      </c>
      <c r="R515" s="70">
        <v>43</v>
      </c>
      <c r="S515" s="68" t="str">
        <f t="shared" si="15"/>
        <v/>
      </c>
      <c r="T515" s="68"/>
      <c r="U515" s="68"/>
      <c r="V515" s="68"/>
      <c r="W515" s="9"/>
      <c r="X515" s="10"/>
      <c r="Y515" s="71">
        <f t="shared" si="16"/>
        <v>40</v>
      </c>
      <c r="Z515" s="73">
        <f t="shared" si="17"/>
        <v>43</v>
      </c>
      <c r="AA515" s="11" t="str">
        <f t="shared" si="18"/>
        <v/>
      </c>
      <c r="AB515" s="73">
        <f t="shared" si="19"/>
        <v>36</v>
      </c>
      <c r="AC515" s="11" t="str">
        <f t="shared" si="20"/>
        <v/>
      </c>
      <c r="AD515" s="73">
        <f t="shared" si="21"/>
        <v>3</v>
      </c>
      <c r="AE515" s="11" t="str">
        <f t="shared" si="22"/>
        <v/>
      </c>
      <c r="AF515" s="73">
        <f t="shared" si="23"/>
        <v>36.000515</v>
      </c>
      <c r="AG515" s="11" t="str">
        <f t="shared" si="24"/>
        <v/>
      </c>
      <c r="AH515" s="73">
        <f t="shared" si="25"/>
        <v>3.000515</v>
      </c>
    </row>
    <row r="516" spans="1:34" ht="14.25" customHeight="1">
      <c r="A516" s="11">
        <v>501</v>
      </c>
      <c r="B516" s="66"/>
      <c r="C516" s="67"/>
      <c r="D516" s="67"/>
      <c r="E516" s="67"/>
      <c r="F516" s="67"/>
      <c r="G516" s="67" t="s">
        <v>35</v>
      </c>
      <c r="H516" s="67">
        <v>44671</v>
      </c>
      <c r="I516" s="6" t="s">
        <v>1103</v>
      </c>
      <c r="J516" s="9">
        <v>2878101847</v>
      </c>
      <c r="K516" s="68">
        <v>44651</v>
      </c>
      <c r="L516" s="68">
        <v>46022</v>
      </c>
      <c r="M516" s="68">
        <v>46203</v>
      </c>
      <c r="N516" s="69">
        <f t="shared" si="13"/>
        <v>-34</v>
      </c>
      <c r="O516" s="69">
        <f t="shared" si="14"/>
        <v>-3</v>
      </c>
      <c r="P516" s="70">
        <v>36</v>
      </c>
      <c r="Q516" s="70">
        <v>5</v>
      </c>
      <c r="R516" s="70">
        <v>2</v>
      </c>
      <c r="S516" s="68" t="str">
        <f t="shared" si="15"/>
        <v/>
      </c>
      <c r="T516" s="68"/>
      <c r="U516" s="68"/>
      <c r="V516" s="68"/>
      <c r="W516" s="9"/>
      <c r="X516" s="10"/>
      <c r="Y516" s="71">
        <f t="shared" si="16"/>
        <v>5</v>
      </c>
      <c r="Z516" s="73">
        <f t="shared" si="17"/>
        <v>2</v>
      </c>
      <c r="AA516" s="11" t="str">
        <f t="shared" si="18"/>
        <v/>
      </c>
      <c r="AB516" s="73">
        <f t="shared" si="19"/>
        <v>-34</v>
      </c>
      <c r="AC516" s="11" t="str">
        <f t="shared" si="20"/>
        <v/>
      </c>
      <c r="AD516" s="73">
        <f t="shared" si="21"/>
        <v>-3</v>
      </c>
      <c r="AE516" s="11" t="str">
        <f t="shared" si="22"/>
        <v/>
      </c>
      <c r="AF516" s="73">
        <f t="shared" si="23"/>
        <v>-33.999484000000002</v>
      </c>
      <c r="AG516" s="11" t="str">
        <f t="shared" si="24"/>
        <v/>
      </c>
      <c r="AH516" s="73">
        <f t="shared" si="25"/>
        <v>-2.9994839999999998</v>
      </c>
    </row>
    <row r="517" spans="1:34" ht="14.25" customHeight="1">
      <c r="A517" s="11">
        <v>502</v>
      </c>
      <c r="B517" s="66"/>
      <c r="C517" s="67"/>
      <c r="D517" s="67"/>
      <c r="E517" s="67"/>
      <c r="F517" s="67"/>
      <c r="G517" s="67" t="s">
        <v>35</v>
      </c>
      <c r="H517" s="67">
        <v>44530</v>
      </c>
      <c r="I517" s="6" t="s">
        <v>1104</v>
      </c>
      <c r="J517" s="9">
        <v>2878800245</v>
      </c>
      <c r="K517" s="68">
        <v>44500</v>
      </c>
      <c r="L517" s="68">
        <v>46022</v>
      </c>
      <c r="M517" s="68">
        <v>46203</v>
      </c>
      <c r="N517" s="69">
        <f t="shared" si="13"/>
        <v>23</v>
      </c>
      <c r="O517" s="69">
        <f t="shared" si="14"/>
        <v>-11</v>
      </c>
      <c r="P517" s="70">
        <v>19</v>
      </c>
      <c r="Q517" s="70">
        <v>53</v>
      </c>
      <c r="R517" s="70">
        <v>42</v>
      </c>
      <c r="S517" s="68" t="str">
        <f t="shared" si="15"/>
        <v/>
      </c>
      <c r="T517" s="68"/>
      <c r="U517" s="68"/>
      <c r="V517" s="68"/>
      <c r="W517" s="9"/>
      <c r="X517" s="10"/>
      <c r="Y517" s="71">
        <f t="shared" si="16"/>
        <v>53</v>
      </c>
      <c r="Z517" s="73">
        <f t="shared" si="17"/>
        <v>42</v>
      </c>
      <c r="AA517" s="11" t="str">
        <f t="shared" si="18"/>
        <v/>
      </c>
      <c r="AB517" s="73">
        <f t="shared" si="19"/>
        <v>23</v>
      </c>
      <c r="AC517" s="11" t="str">
        <f t="shared" si="20"/>
        <v/>
      </c>
      <c r="AD517" s="73">
        <f t="shared" si="21"/>
        <v>-11</v>
      </c>
      <c r="AE517" s="11" t="str">
        <f t="shared" si="22"/>
        <v/>
      </c>
      <c r="AF517" s="73">
        <f t="shared" si="23"/>
        <v>23.000516999999999</v>
      </c>
      <c r="AG517" s="11" t="str">
        <f t="shared" si="24"/>
        <v/>
      </c>
      <c r="AH517" s="73">
        <f t="shared" si="25"/>
        <v>-10.999483</v>
      </c>
    </row>
    <row r="518" spans="1:34" ht="14.25" customHeight="1">
      <c r="A518" s="11">
        <v>503</v>
      </c>
      <c r="B518" s="66" t="s">
        <v>35</v>
      </c>
      <c r="C518" s="67">
        <v>45352</v>
      </c>
      <c r="D518" s="67">
        <v>45470</v>
      </c>
      <c r="E518" s="67"/>
      <c r="F518" s="67"/>
      <c r="G518" s="67" t="s">
        <v>35</v>
      </c>
      <c r="H518" s="67">
        <v>45539</v>
      </c>
      <c r="I518" s="6" t="s">
        <v>1105</v>
      </c>
      <c r="J518" s="9">
        <v>2888103192</v>
      </c>
      <c r="K518" s="68">
        <v>45351</v>
      </c>
      <c r="L518" s="68">
        <v>46022</v>
      </c>
      <c r="M518" s="68">
        <v>46203</v>
      </c>
      <c r="N518" s="69">
        <f t="shared" si="13"/>
        <v>5</v>
      </c>
      <c r="O518" s="69">
        <f t="shared" si="14"/>
        <v>0</v>
      </c>
      <c r="P518" s="70">
        <v>3</v>
      </c>
      <c r="Q518" s="70">
        <v>8</v>
      </c>
      <c r="R518" s="70">
        <v>8</v>
      </c>
      <c r="S518" s="68" t="str">
        <f t="shared" si="15"/>
        <v/>
      </c>
      <c r="T518" s="68"/>
      <c r="U518" s="68"/>
      <c r="V518" s="68"/>
      <c r="W518" s="9"/>
      <c r="X518" s="10"/>
      <c r="Y518" s="71">
        <f t="shared" si="16"/>
        <v>8</v>
      </c>
      <c r="Z518" s="73">
        <f t="shared" si="17"/>
        <v>8</v>
      </c>
      <c r="AA518" s="73">
        <f t="shared" si="18"/>
        <v>5</v>
      </c>
      <c r="AB518" s="73">
        <f t="shared" si="19"/>
        <v>5</v>
      </c>
      <c r="AC518" s="73">
        <f t="shared" si="20"/>
        <v>0</v>
      </c>
      <c r="AD518" s="73">
        <f t="shared" si="21"/>
        <v>0</v>
      </c>
      <c r="AE518" s="73">
        <f t="shared" si="22"/>
        <v>5.0005179999999996</v>
      </c>
      <c r="AF518" s="73">
        <f t="shared" si="23"/>
        <v>5.0005179999999996</v>
      </c>
      <c r="AG518" s="73">
        <f t="shared" si="24"/>
        <v>5.1800000000000001E-4</v>
      </c>
      <c r="AH518" s="73">
        <f t="shared" si="25"/>
        <v>5.1800000000000001E-4</v>
      </c>
    </row>
    <row r="519" spans="1:34" ht="14.25" customHeight="1">
      <c r="A519" s="11">
        <v>504</v>
      </c>
      <c r="B519" s="66" t="s">
        <v>35</v>
      </c>
      <c r="C519" s="67"/>
      <c r="D519" s="67">
        <v>45035</v>
      </c>
      <c r="E519" s="67"/>
      <c r="F519" s="67"/>
      <c r="G519" s="67"/>
      <c r="H519" s="67"/>
      <c r="I519" s="6" t="s">
        <v>1106</v>
      </c>
      <c r="J519" s="9">
        <v>2898801105</v>
      </c>
      <c r="K519" s="68">
        <v>45016</v>
      </c>
      <c r="L519" s="68">
        <v>46022</v>
      </c>
      <c r="M519" s="68">
        <v>46203</v>
      </c>
      <c r="N519" s="69">
        <f t="shared" si="13"/>
        <v>-8</v>
      </c>
      <c r="O519" s="69">
        <f t="shared" si="14"/>
        <v>-1</v>
      </c>
      <c r="P519" s="70">
        <v>21</v>
      </c>
      <c r="Q519" s="70">
        <v>14</v>
      </c>
      <c r="R519" s="70">
        <v>13</v>
      </c>
      <c r="S519" s="68" t="str">
        <f t="shared" si="15"/>
        <v/>
      </c>
      <c r="T519" s="68"/>
      <c r="U519" s="68"/>
      <c r="V519" s="68"/>
      <c r="W519" s="9"/>
      <c r="X519" s="10"/>
      <c r="Y519" s="71">
        <f t="shared" si="16"/>
        <v>14</v>
      </c>
      <c r="Z519" s="73">
        <f t="shared" si="17"/>
        <v>13</v>
      </c>
      <c r="AA519" s="73">
        <f t="shared" si="18"/>
        <v>-8</v>
      </c>
      <c r="AB519" s="11" t="str">
        <f t="shared" si="19"/>
        <v/>
      </c>
      <c r="AC519" s="73">
        <f t="shared" si="20"/>
        <v>-1</v>
      </c>
      <c r="AD519" s="11" t="str">
        <f t="shared" si="21"/>
        <v/>
      </c>
      <c r="AE519" s="73">
        <f t="shared" si="22"/>
        <v>-7.9994810000000003</v>
      </c>
      <c r="AF519" s="11" t="str">
        <f t="shared" si="23"/>
        <v/>
      </c>
      <c r="AG519" s="73">
        <f t="shared" si="24"/>
        <v>-0.99948099999999995</v>
      </c>
      <c r="AH519" s="11" t="str">
        <f t="shared" si="25"/>
        <v/>
      </c>
    </row>
    <row r="520" spans="1:34" ht="14.25" customHeight="1">
      <c r="A520" s="11">
        <v>505</v>
      </c>
      <c r="B520" s="66"/>
      <c r="C520" s="67"/>
      <c r="D520" s="67"/>
      <c r="E520" s="67"/>
      <c r="F520" s="67"/>
      <c r="G520" s="67" t="s">
        <v>35</v>
      </c>
      <c r="H520" s="67">
        <v>45548</v>
      </c>
      <c r="I520" s="6" t="s">
        <v>1107</v>
      </c>
      <c r="J520" s="9">
        <v>2898801110</v>
      </c>
      <c r="K520" s="68">
        <v>45535</v>
      </c>
      <c r="L520" s="68">
        <v>46022</v>
      </c>
      <c r="M520" s="68">
        <v>46203</v>
      </c>
      <c r="N520" s="69">
        <f t="shared" si="13"/>
        <v>7</v>
      </c>
      <c r="O520" s="69">
        <f t="shared" si="14"/>
        <v>2</v>
      </c>
      <c r="P520" s="70">
        <v>7</v>
      </c>
      <c r="Q520" s="70">
        <v>12</v>
      </c>
      <c r="R520" s="70">
        <v>14</v>
      </c>
      <c r="S520" s="68" t="str">
        <f t="shared" si="15"/>
        <v/>
      </c>
      <c r="T520" s="68"/>
      <c r="U520" s="68"/>
      <c r="V520" s="68"/>
      <c r="W520" s="9"/>
      <c r="X520" s="10"/>
      <c r="Y520" s="71">
        <f t="shared" si="16"/>
        <v>12</v>
      </c>
      <c r="Z520" s="73">
        <f t="shared" si="17"/>
        <v>14</v>
      </c>
      <c r="AA520" s="11" t="str">
        <f t="shared" si="18"/>
        <v/>
      </c>
      <c r="AB520" s="73">
        <f t="shared" si="19"/>
        <v>7</v>
      </c>
      <c r="AC520" s="11" t="str">
        <f t="shared" si="20"/>
        <v/>
      </c>
      <c r="AD520" s="73">
        <f t="shared" si="21"/>
        <v>2</v>
      </c>
      <c r="AE520" s="11" t="str">
        <f t="shared" si="22"/>
        <v/>
      </c>
      <c r="AF520" s="73">
        <f t="shared" si="23"/>
        <v>7.0005199999999999</v>
      </c>
      <c r="AG520" s="11" t="str">
        <f t="shared" si="24"/>
        <v/>
      </c>
      <c r="AH520" s="73">
        <f t="shared" si="25"/>
        <v>2.0005199999999999</v>
      </c>
    </row>
    <row r="521" spans="1:34" ht="14.25" customHeight="1">
      <c r="A521" s="11">
        <v>506</v>
      </c>
      <c r="B521" s="66" t="s">
        <v>35</v>
      </c>
      <c r="C521" s="67">
        <v>42705</v>
      </c>
      <c r="D521" s="67"/>
      <c r="E521" s="67"/>
      <c r="F521" s="67"/>
      <c r="G521" s="67" t="s">
        <v>35</v>
      </c>
      <c r="H521" s="67">
        <v>43718</v>
      </c>
      <c r="I521" s="6" t="s">
        <v>1108</v>
      </c>
      <c r="J521" s="9">
        <v>2908100524</v>
      </c>
      <c r="K521" s="68">
        <v>42704</v>
      </c>
      <c r="L521" s="68">
        <v>46022</v>
      </c>
      <c r="M521" s="68">
        <v>46203</v>
      </c>
      <c r="N521" s="69">
        <f t="shared" si="13"/>
        <v>111</v>
      </c>
      <c r="O521" s="69">
        <f t="shared" si="14"/>
        <v>16</v>
      </c>
      <c r="P521" s="70">
        <v>3</v>
      </c>
      <c r="Q521" s="70">
        <v>98</v>
      </c>
      <c r="R521" s="70">
        <v>114</v>
      </c>
      <c r="S521" s="68" t="str">
        <f t="shared" si="15"/>
        <v/>
      </c>
      <c r="T521" s="68"/>
      <c r="U521" s="68"/>
      <c r="V521" s="68"/>
      <c r="W521" s="9"/>
      <c r="X521" s="10"/>
      <c r="Y521" s="71">
        <f t="shared" si="16"/>
        <v>98</v>
      </c>
      <c r="Z521" s="73">
        <f t="shared" si="17"/>
        <v>114</v>
      </c>
      <c r="AA521" s="73">
        <f t="shared" si="18"/>
        <v>111</v>
      </c>
      <c r="AB521" s="73">
        <f t="shared" si="19"/>
        <v>111</v>
      </c>
      <c r="AC521" s="73">
        <f t="shared" si="20"/>
        <v>16</v>
      </c>
      <c r="AD521" s="73">
        <f t="shared" si="21"/>
        <v>16</v>
      </c>
      <c r="AE521" s="73">
        <f t="shared" si="22"/>
        <v>111.00052100000001</v>
      </c>
      <c r="AF521" s="73">
        <f t="shared" si="23"/>
        <v>111.00052100000001</v>
      </c>
      <c r="AG521" s="73">
        <f t="shared" si="24"/>
        <v>16.000520999999999</v>
      </c>
      <c r="AH521" s="73">
        <f t="shared" si="25"/>
        <v>16.000520999999999</v>
      </c>
    </row>
    <row r="522" spans="1:34" ht="14.25" customHeight="1">
      <c r="A522" s="11">
        <v>507</v>
      </c>
      <c r="B522" s="66" t="s">
        <v>35</v>
      </c>
      <c r="C522" s="67">
        <v>44986</v>
      </c>
      <c r="D522" s="67"/>
      <c r="E522" s="67"/>
      <c r="F522" s="67"/>
      <c r="G522" s="67" t="s">
        <v>35</v>
      </c>
      <c r="H522" s="67">
        <v>44880</v>
      </c>
      <c r="I522" s="6" t="s">
        <v>1109</v>
      </c>
      <c r="J522" s="9">
        <v>2908802458</v>
      </c>
      <c r="K522" s="68">
        <v>44865</v>
      </c>
      <c r="L522" s="68">
        <v>46022</v>
      </c>
      <c r="M522" s="68">
        <v>46203</v>
      </c>
      <c r="N522" s="69">
        <f t="shared" si="13"/>
        <v>19</v>
      </c>
      <c r="O522" s="69">
        <f t="shared" si="14"/>
        <v>2</v>
      </c>
      <c r="P522" s="70">
        <v>4</v>
      </c>
      <c r="Q522" s="70">
        <v>21</v>
      </c>
      <c r="R522" s="70">
        <v>23</v>
      </c>
      <c r="S522" s="68" t="str">
        <f t="shared" si="15"/>
        <v/>
      </c>
      <c r="T522" s="68"/>
      <c r="U522" s="68"/>
      <c r="V522" s="68"/>
      <c r="W522" s="9"/>
      <c r="X522" s="10"/>
      <c r="Y522" s="71">
        <f t="shared" si="16"/>
        <v>21</v>
      </c>
      <c r="Z522" s="73">
        <f t="shared" si="17"/>
        <v>23</v>
      </c>
      <c r="AA522" s="73">
        <f t="shared" si="18"/>
        <v>19</v>
      </c>
      <c r="AB522" s="73">
        <f t="shared" si="19"/>
        <v>19</v>
      </c>
      <c r="AC522" s="73">
        <f t="shared" si="20"/>
        <v>2</v>
      </c>
      <c r="AD522" s="73">
        <f t="shared" si="21"/>
        <v>2</v>
      </c>
      <c r="AE522" s="73">
        <f t="shared" si="22"/>
        <v>19.000522</v>
      </c>
      <c r="AF522" s="73">
        <f t="shared" si="23"/>
        <v>19.000522</v>
      </c>
      <c r="AG522" s="73">
        <f t="shared" si="24"/>
        <v>2.0005220000000001</v>
      </c>
      <c r="AH522" s="73">
        <f t="shared" si="25"/>
        <v>2.0005220000000001</v>
      </c>
    </row>
    <row r="523" spans="1:34" ht="14.25" customHeight="1">
      <c r="A523" s="11">
        <v>508</v>
      </c>
      <c r="B523" s="66"/>
      <c r="C523" s="67"/>
      <c r="D523" s="67"/>
      <c r="E523" s="67"/>
      <c r="F523" s="67"/>
      <c r="G523" s="67" t="s">
        <v>35</v>
      </c>
      <c r="H523" s="67">
        <v>44959</v>
      </c>
      <c r="I523" s="6" t="s">
        <v>1110</v>
      </c>
      <c r="J523" s="9">
        <v>2918102210</v>
      </c>
      <c r="K523" s="68">
        <v>44957</v>
      </c>
      <c r="L523" s="68">
        <v>46022</v>
      </c>
      <c r="M523" s="68">
        <v>46203</v>
      </c>
      <c r="N523" s="69">
        <f t="shared" si="13"/>
        <v>3</v>
      </c>
      <c r="O523" s="69">
        <f t="shared" si="14"/>
        <v>-1</v>
      </c>
      <c r="P523" s="70">
        <v>2</v>
      </c>
      <c r="Q523" s="70">
        <v>6</v>
      </c>
      <c r="R523" s="70">
        <v>5</v>
      </c>
      <c r="S523" s="68" t="str">
        <f t="shared" si="15"/>
        <v/>
      </c>
      <c r="T523" s="68"/>
      <c r="U523" s="68"/>
      <c r="V523" s="68"/>
      <c r="W523" s="9"/>
      <c r="X523" s="10"/>
      <c r="Y523" s="71">
        <f t="shared" si="16"/>
        <v>6</v>
      </c>
      <c r="Z523" s="73">
        <f t="shared" si="17"/>
        <v>5</v>
      </c>
      <c r="AA523" s="11" t="str">
        <f t="shared" si="18"/>
        <v/>
      </c>
      <c r="AB523" s="73">
        <f t="shared" si="19"/>
        <v>3</v>
      </c>
      <c r="AC523" s="11" t="str">
        <f t="shared" si="20"/>
        <v/>
      </c>
      <c r="AD523" s="73">
        <f t="shared" si="21"/>
        <v>-1</v>
      </c>
      <c r="AE523" s="11" t="str">
        <f t="shared" si="22"/>
        <v/>
      </c>
      <c r="AF523" s="73">
        <f t="shared" si="23"/>
        <v>3.0005229999999998</v>
      </c>
      <c r="AG523" s="11" t="str">
        <f t="shared" si="24"/>
        <v/>
      </c>
      <c r="AH523" s="73">
        <f t="shared" si="25"/>
        <v>-0.99947699999999995</v>
      </c>
    </row>
    <row r="524" spans="1:34" ht="14.25" customHeight="1">
      <c r="A524" s="11">
        <v>509</v>
      </c>
      <c r="B524" s="66" t="s">
        <v>35</v>
      </c>
      <c r="C524" s="67">
        <v>45261</v>
      </c>
      <c r="D524" s="67">
        <v>45260</v>
      </c>
      <c r="E524" s="67"/>
      <c r="F524" s="67"/>
      <c r="G524" s="67" t="s">
        <v>35</v>
      </c>
      <c r="H524" s="67">
        <v>45428</v>
      </c>
      <c r="I524" s="6" t="s">
        <v>1111</v>
      </c>
      <c r="J524" s="9">
        <v>2948701037</v>
      </c>
      <c r="K524" s="68">
        <v>45230</v>
      </c>
      <c r="L524" s="68">
        <v>46022</v>
      </c>
      <c r="M524" s="68">
        <v>46203</v>
      </c>
      <c r="N524" s="69">
        <f t="shared" si="13"/>
        <v>5</v>
      </c>
      <c r="O524" s="69">
        <f t="shared" si="14"/>
        <v>3</v>
      </c>
      <c r="P524" s="70">
        <v>12</v>
      </c>
      <c r="Q524" s="70">
        <v>14</v>
      </c>
      <c r="R524" s="70">
        <v>17</v>
      </c>
      <c r="S524" s="68" t="str">
        <f t="shared" si="15"/>
        <v/>
      </c>
      <c r="T524" s="68"/>
      <c r="U524" s="68"/>
      <c r="V524" s="68"/>
      <c r="W524" s="9"/>
      <c r="X524" s="10"/>
      <c r="Y524" s="71">
        <f t="shared" si="16"/>
        <v>14</v>
      </c>
      <c r="Z524" s="73">
        <f t="shared" si="17"/>
        <v>17</v>
      </c>
      <c r="AA524" s="73">
        <f t="shared" si="18"/>
        <v>5</v>
      </c>
      <c r="AB524" s="73">
        <f t="shared" si="19"/>
        <v>5</v>
      </c>
      <c r="AC524" s="73">
        <f t="shared" si="20"/>
        <v>3</v>
      </c>
      <c r="AD524" s="73">
        <f t="shared" si="21"/>
        <v>3</v>
      </c>
      <c r="AE524" s="73">
        <f t="shared" si="22"/>
        <v>5.0005240000000004</v>
      </c>
      <c r="AF524" s="73">
        <f t="shared" si="23"/>
        <v>5.0005240000000004</v>
      </c>
      <c r="AG524" s="73">
        <f t="shared" si="24"/>
        <v>3.000524</v>
      </c>
      <c r="AH524" s="73">
        <f t="shared" si="25"/>
        <v>3.000524</v>
      </c>
    </row>
    <row r="525" spans="1:34" ht="14.25" customHeight="1">
      <c r="A525" s="11">
        <v>510</v>
      </c>
      <c r="B525" s="66"/>
      <c r="C525" s="67"/>
      <c r="D525" s="67"/>
      <c r="E525" s="67"/>
      <c r="F525" s="67"/>
      <c r="G525" s="67" t="s">
        <v>35</v>
      </c>
      <c r="H525" s="67">
        <v>42576</v>
      </c>
      <c r="I525" s="6" t="s">
        <v>1112</v>
      </c>
      <c r="J525" s="9">
        <v>2948800414</v>
      </c>
      <c r="K525" s="68">
        <v>42551</v>
      </c>
      <c r="L525" s="68">
        <v>46022</v>
      </c>
      <c r="M525" s="68">
        <v>46203</v>
      </c>
      <c r="N525" s="69">
        <f t="shared" si="13"/>
        <v>-5</v>
      </c>
      <c r="O525" s="69">
        <f t="shared" si="14"/>
        <v>0</v>
      </c>
      <c r="P525" s="70">
        <v>5</v>
      </c>
      <c r="Q525" s="70">
        <v>0</v>
      </c>
      <c r="R525" s="70">
        <v>0</v>
      </c>
      <c r="S525" s="68" t="str">
        <f t="shared" si="15"/>
        <v/>
      </c>
      <c r="T525" s="68"/>
      <c r="U525" s="68"/>
      <c r="V525" s="68"/>
      <c r="W525" s="9"/>
      <c r="X525" s="10"/>
      <c r="Y525" s="71">
        <f t="shared" si="16"/>
        <v>0</v>
      </c>
      <c r="Z525" s="73">
        <f t="shared" si="17"/>
        <v>0</v>
      </c>
      <c r="AA525" s="11" t="str">
        <f t="shared" si="18"/>
        <v/>
      </c>
      <c r="AB525" s="73">
        <f t="shared" si="19"/>
        <v>-5</v>
      </c>
      <c r="AC525" s="11" t="str">
        <f t="shared" si="20"/>
        <v/>
      </c>
      <c r="AD525" s="73">
        <f t="shared" si="21"/>
        <v>0</v>
      </c>
      <c r="AE525" s="11" t="str">
        <f t="shared" si="22"/>
        <v/>
      </c>
      <c r="AF525" s="73">
        <f t="shared" si="23"/>
        <v>-4.9994750000000003</v>
      </c>
      <c r="AG525" s="11" t="str">
        <f t="shared" si="24"/>
        <v/>
      </c>
      <c r="AH525" s="73">
        <f t="shared" si="25"/>
        <v>5.2499999999999997E-4</v>
      </c>
    </row>
    <row r="526" spans="1:34" ht="14.25" customHeight="1">
      <c r="A526" s="11">
        <v>511</v>
      </c>
      <c r="B526" s="66" t="s">
        <v>35</v>
      </c>
      <c r="C526" s="67">
        <v>45352</v>
      </c>
      <c r="D526" s="67"/>
      <c r="E526" s="67"/>
      <c r="F526" s="67"/>
      <c r="G526" s="67"/>
      <c r="H526" s="67"/>
      <c r="I526" s="6" t="s">
        <v>1113</v>
      </c>
      <c r="J526" s="9">
        <v>2958701724</v>
      </c>
      <c r="K526" s="68">
        <v>45351</v>
      </c>
      <c r="L526" s="68">
        <v>46022</v>
      </c>
      <c r="M526" s="68">
        <v>46203</v>
      </c>
      <c r="N526" s="69">
        <f t="shared" ref="N526:N780" si="26">R526-P526</f>
        <v>-5</v>
      </c>
      <c r="O526" s="69">
        <f t="shared" ref="O526:O780" si="27">IF(M526&lt;DATE(2026,1,1),"N/A",IF(K526&gt;=DATE(2026,1,1),R526-P526,R526-Q526))</f>
        <v>0</v>
      </c>
      <c r="P526" s="70">
        <v>5</v>
      </c>
      <c r="Q526" s="70">
        <v>0</v>
      </c>
      <c r="R526" s="70">
        <v>0</v>
      </c>
      <c r="S526" s="68" t="str">
        <f t="shared" ref="S526:S780" si="28">IF(OR(LEFT(B526,6)="Active",G526="Active"),"",IF(COUNT(C526,E526,F526)&gt;0,IF(COUNT(T526)=0,"",T526),IF(COUNT(T526:W526)=0,"",MIN(T526:W526))))</f>
        <v/>
      </c>
      <c r="T526" s="68"/>
      <c r="U526" s="68"/>
      <c r="V526" s="68"/>
      <c r="W526" s="9"/>
      <c r="X526" s="10" t="s">
        <v>1114</v>
      </c>
      <c r="Y526" s="71">
        <f t="shared" ref="Y526:Y780" si="29">IF($M526&lt;DATE(2026,1,1),"",IF($K526&gt;=DATE(2026,1,1),$P526,$Q526))</f>
        <v>0</v>
      </c>
      <c r="Z526" s="73">
        <f t="shared" ref="Z526:Z780" si="30">IF($M526&lt;DATE(2026,1,1),"",$R526)</f>
        <v>0</v>
      </c>
      <c r="AA526" s="73">
        <f t="shared" ref="AA526:AA780" si="31">IF($B526="","",IF(ISNUMBER($N526),$N526,""))</f>
        <v>-5</v>
      </c>
      <c r="AB526" s="11" t="str">
        <f t="shared" ref="AB526:AB780" si="32">IF($G526="","",IF(ISNUMBER($N526),$N526,""))</f>
        <v/>
      </c>
      <c r="AC526" s="73">
        <f t="shared" ref="AC526:AC780" si="33">IF($B526="","",IF(ISNUMBER($O526),$O526,""))</f>
        <v>0</v>
      </c>
      <c r="AD526" s="11" t="str">
        <f t="shared" ref="AD526:AD780" si="34">IF($G526="","",IF(ISNUMBER($O526),$O526,""))</f>
        <v/>
      </c>
      <c r="AE526" s="73">
        <f t="shared" ref="AE526:AE780" si="35">IF($AA526="","",$AA526+ROW()/1000000)</f>
        <v>-4.9994740000000002</v>
      </c>
      <c r="AF526" s="11" t="str">
        <f t="shared" ref="AF526:AF780" si="36">IF($AB526="","",$AB526+ROW()/1000000)</f>
        <v/>
      </c>
      <c r="AG526" s="73">
        <f t="shared" ref="AG526:AG780" si="37">IF($AC526="","",$AC526+ROW()/1000000)</f>
        <v>5.2599999999999999E-4</v>
      </c>
      <c r="AH526" s="11" t="str">
        <f t="shared" ref="AH526:AH780" si="38">IF($AD526="","",$AD526+ROW()/1000000)</f>
        <v/>
      </c>
    </row>
    <row r="527" spans="1:34" ht="14.25" customHeight="1">
      <c r="A527" s="11">
        <v>512</v>
      </c>
      <c r="B527" s="66" t="s">
        <v>35</v>
      </c>
      <c r="C527" s="67"/>
      <c r="D527" s="67"/>
      <c r="E527" s="67"/>
      <c r="F527" s="67">
        <v>46154</v>
      </c>
      <c r="G527" s="67"/>
      <c r="H527" s="67"/>
      <c r="I527" s="6" t="s">
        <v>1115</v>
      </c>
      <c r="J527" s="37">
        <v>2958801148</v>
      </c>
      <c r="K527" s="68">
        <v>46142</v>
      </c>
      <c r="L527" s="68" t="s">
        <v>230</v>
      </c>
      <c r="M527" s="68">
        <v>46203</v>
      </c>
      <c r="N527" s="69">
        <f t="shared" si="26"/>
        <v>0</v>
      </c>
      <c r="O527" s="69">
        <f t="shared" si="27"/>
        <v>0</v>
      </c>
      <c r="P527" s="70">
        <v>70</v>
      </c>
      <c r="Q527" s="70"/>
      <c r="R527" s="70">
        <v>70</v>
      </c>
      <c r="S527" s="68" t="str">
        <f t="shared" si="28"/>
        <v/>
      </c>
      <c r="T527" s="68"/>
      <c r="U527" s="95"/>
      <c r="V527" s="68"/>
      <c r="W527" s="6"/>
      <c r="X527" s="93"/>
      <c r="Y527" s="71">
        <f t="shared" si="29"/>
        <v>70</v>
      </c>
      <c r="Z527" s="73">
        <f t="shared" si="30"/>
        <v>70</v>
      </c>
      <c r="AA527" s="73">
        <f t="shared" si="31"/>
        <v>0</v>
      </c>
      <c r="AB527" s="11" t="str">
        <f t="shared" si="32"/>
        <v/>
      </c>
      <c r="AC527" s="73">
        <f t="shared" si="33"/>
        <v>0</v>
      </c>
      <c r="AD527" s="11" t="str">
        <f t="shared" si="34"/>
        <v/>
      </c>
      <c r="AE527" s="73">
        <f t="shared" si="35"/>
        <v>5.2700000000000002E-4</v>
      </c>
      <c r="AF527" s="11" t="str">
        <f t="shared" si="36"/>
        <v/>
      </c>
      <c r="AG527" s="73">
        <f t="shared" si="37"/>
        <v>5.2700000000000002E-4</v>
      </c>
      <c r="AH527" s="11" t="str">
        <f t="shared" si="38"/>
        <v/>
      </c>
    </row>
    <row r="528" spans="1:34" ht="14.25" customHeight="1">
      <c r="A528" s="11">
        <v>513</v>
      </c>
      <c r="B528" s="66"/>
      <c r="C528" s="67"/>
      <c r="D528" s="67"/>
      <c r="E528" s="67"/>
      <c r="F528" s="67"/>
      <c r="G528" s="67" t="s">
        <v>35</v>
      </c>
      <c r="H528" s="67">
        <v>45268</v>
      </c>
      <c r="I528" s="6" t="s">
        <v>1116</v>
      </c>
      <c r="J528" s="9">
        <v>2978802842</v>
      </c>
      <c r="K528" s="68">
        <v>45260</v>
      </c>
      <c r="L528" s="68">
        <v>46022</v>
      </c>
      <c r="M528" s="68">
        <v>46203</v>
      </c>
      <c r="N528" s="69">
        <f t="shared" si="26"/>
        <v>3</v>
      </c>
      <c r="O528" s="69">
        <f t="shared" si="27"/>
        <v>1</v>
      </c>
      <c r="P528" s="70">
        <v>5</v>
      </c>
      <c r="Q528" s="70">
        <v>7</v>
      </c>
      <c r="R528" s="70">
        <v>8</v>
      </c>
      <c r="S528" s="68" t="str">
        <f t="shared" si="28"/>
        <v/>
      </c>
      <c r="T528" s="68"/>
      <c r="U528" s="68"/>
      <c r="V528" s="68"/>
      <c r="W528" s="9"/>
      <c r="X528" s="10"/>
      <c r="Y528" s="71">
        <f t="shared" si="29"/>
        <v>7</v>
      </c>
      <c r="Z528" s="73">
        <f t="shared" si="30"/>
        <v>8</v>
      </c>
      <c r="AA528" s="11" t="str">
        <f t="shared" si="31"/>
        <v/>
      </c>
      <c r="AB528" s="73">
        <f t="shared" si="32"/>
        <v>3</v>
      </c>
      <c r="AC528" s="11" t="str">
        <f t="shared" si="33"/>
        <v/>
      </c>
      <c r="AD528" s="73">
        <f t="shared" si="34"/>
        <v>1</v>
      </c>
      <c r="AE528" s="11" t="str">
        <f t="shared" si="35"/>
        <v/>
      </c>
      <c r="AF528" s="73">
        <f t="shared" si="36"/>
        <v>3.0005280000000001</v>
      </c>
      <c r="AG528" s="11" t="str">
        <f t="shared" si="37"/>
        <v/>
      </c>
      <c r="AH528" s="73">
        <f t="shared" si="38"/>
        <v>1.0005280000000001</v>
      </c>
    </row>
    <row r="529" spans="1:34" ht="14.25" customHeight="1">
      <c r="A529" s="11">
        <v>514</v>
      </c>
      <c r="B529" s="66"/>
      <c r="C529" s="67"/>
      <c r="D529" s="67"/>
      <c r="E529" s="67"/>
      <c r="F529" s="67"/>
      <c r="G529" s="124" t="s">
        <v>24</v>
      </c>
      <c r="H529" s="67">
        <v>44791</v>
      </c>
      <c r="I529" s="6" t="s">
        <v>1117</v>
      </c>
      <c r="J529" s="9">
        <v>2988701121</v>
      </c>
      <c r="K529" s="68">
        <v>44773</v>
      </c>
      <c r="L529" s="68">
        <v>46022</v>
      </c>
      <c r="M529" s="68">
        <v>46142</v>
      </c>
      <c r="N529" s="69">
        <f t="shared" si="26"/>
        <v>-15</v>
      </c>
      <c r="O529" s="69">
        <f t="shared" si="27"/>
        <v>0</v>
      </c>
      <c r="P529" s="70">
        <v>15</v>
      </c>
      <c r="Q529" s="70">
        <v>0</v>
      </c>
      <c r="R529" s="70">
        <v>0</v>
      </c>
      <c r="S529" s="68">
        <f t="shared" si="28"/>
        <v>46141</v>
      </c>
      <c r="T529" s="68">
        <v>46141</v>
      </c>
      <c r="U529" s="68"/>
      <c r="V529" s="68"/>
      <c r="W529" s="9"/>
      <c r="X529" s="10"/>
      <c r="Y529" s="71">
        <f t="shared" si="29"/>
        <v>0</v>
      </c>
      <c r="Z529" s="73">
        <f t="shared" si="30"/>
        <v>0</v>
      </c>
      <c r="AA529" s="11" t="str">
        <f t="shared" si="31"/>
        <v/>
      </c>
      <c r="AB529" s="73">
        <f t="shared" si="32"/>
        <v>-15</v>
      </c>
      <c r="AC529" s="11" t="str">
        <f t="shared" si="33"/>
        <v/>
      </c>
      <c r="AD529" s="73">
        <f t="shared" si="34"/>
        <v>0</v>
      </c>
      <c r="AE529" s="11" t="str">
        <f t="shared" si="35"/>
        <v/>
      </c>
      <c r="AF529" s="73">
        <f t="shared" si="36"/>
        <v>-14.999471</v>
      </c>
      <c r="AG529" s="11" t="str">
        <f t="shared" si="37"/>
        <v/>
      </c>
      <c r="AH529" s="73">
        <f t="shared" si="38"/>
        <v>5.2899999999999996E-4</v>
      </c>
    </row>
    <row r="530" spans="1:34" ht="14.25" customHeight="1">
      <c r="A530" s="11">
        <v>515</v>
      </c>
      <c r="B530" s="66"/>
      <c r="C530" s="67"/>
      <c r="D530" s="67"/>
      <c r="E530" s="67"/>
      <c r="F530" s="67"/>
      <c r="G530" s="67" t="s">
        <v>35</v>
      </c>
      <c r="H530" s="67">
        <v>45531</v>
      </c>
      <c r="I530" s="6" t="s">
        <v>1118</v>
      </c>
      <c r="J530" s="9">
        <v>2988800677</v>
      </c>
      <c r="K530" s="68">
        <v>45504</v>
      </c>
      <c r="L530" s="68">
        <v>46022</v>
      </c>
      <c r="M530" s="68">
        <v>46203</v>
      </c>
      <c r="N530" s="69">
        <f t="shared" si="26"/>
        <v>-19</v>
      </c>
      <c r="O530" s="69">
        <f t="shared" si="27"/>
        <v>-21</v>
      </c>
      <c r="P530" s="70">
        <v>22</v>
      </c>
      <c r="Q530" s="70">
        <v>24</v>
      </c>
      <c r="R530" s="70">
        <v>3</v>
      </c>
      <c r="S530" s="68" t="str">
        <f t="shared" si="28"/>
        <v/>
      </c>
      <c r="T530" s="68"/>
      <c r="U530" s="68"/>
      <c r="V530" s="68"/>
      <c r="W530" s="9"/>
      <c r="X530" s="10"/>
      <c r="Y530" s="71">
        <f t="shared" si="29"/>
        <v>24</v>
      </c>
      <c r="Z530" s="73">
        <f t="shared" si="30"/>
        <v>3</v>
      </c>
      <c r="AA530" s="11" t="str">
        <f t="shared" si="31"/>
        <v/>
      </c>
      <c r="AB530" s="73">
        <f t="shared" si="32"/>
        <v>-19</v>
      </c>
      <c r="AC530" s="11" t="str">
        <f t="shared" si="33"/>
        <v/>
      </c>
      <c r="AD530" s="73">
        <f t="shared" si="34"/>
        <v>-21</v>
      </c>
      <c r="AE530" s="11" t="str">
        <f t="shared" si="35"/>
        <v/>
      </c>
      <c r="AF530" s="73">
        <f t="shared" si="36"/>
        <v>-18.999469999999999</v>
      </c>
      <c r="AG530" s="11" t="str">
        <f t="shared" si="37"/>
        <v/>
      </c>
      <c r="AH530" s="73">
        <f t="shared" si="38"/>
        <v>-20.999469999999999</v>
      </c>
    </row>
    <row r="531" spans="1:34" ht="14.25" customHeight="1">
      <c r="A531" s="11">
        <v>516</v>
      </c>
      <c r="B531" s="66"/>
      <c r="C531" s="67"/>
      <c r="D531" s="67"/>
      <c r="E531" s="67"/>
      <c r="F531" s="67"/>
      <c r="G531" s="67" t="s">
        <v>35</v>
      </c>
      <c r="H531" s="67">
        <v>43607</v>
      </c>
      <c r="I531" s="6" t="s">
        <v>1119</v>
      </c>
      <c r="J531" s="9">
        <v>2998801077</v>
      </c>
      <c r="K531" s="68">
        <v>43585</v>
      </c>
      <c r="L531" s="68">
        <v>46022</v>
      </c>
      <c r="M531" s="68">
        <v>46203</v>
      </c>
      <c r="N531" s="69">
        <f t="shared" si="26"/>
        <v>14</v>
      </c>
      <c r="O531" s="69">
        <f t="shared" si="27"/>
        <v>-3</v>
      </c>
      <c r="P531" s="70">
        <v>0</v>
      </c>
      <c r="Q531" s="70">
        <v>17</v>
      </c>
      <c r="R531" s="70">
        <v>14</v>
      </c>
      <c r="S531" s="68" t="str">
        <f t="shared" si="28"/>
        <v/>
      </c>
      <c r="T531" s="68"/>
      <c r="U531" s="68"/>
      <c r="V531" s="68"/>
      <c r="W531" s="9"/>
      <c r="X531" s="10"/>
      <c r="Y531" s="71">
        <f t="shared" si="29"/>
        <v>17</v>
      </c>
      <c r="Z531" s="73">
        <f t="shared" si="30"/>
        <v>14</v>
      </c>
      <c r="AA531" s="11" t="str">
        <f t="shared" si="31"/>
        <v/>
      </c>
      <c r="AB531" s="73">
        <f t="shared" si="32"/>
        <v>14</v>
      </c>
      <c r="AC531" s="11" t="str">
        <f t="shared" si="33"/>
        <v/>
      </c>
      <c r="AD531" s="73">
        <f t="shared" si="34"/>
        <v>-3</v>
      </c>
      <c r="AE531" s="11" t="str">
        <f t="shared" si="35"/>
        <v/>
      </c>
      <c r="AF531" s="73">
        <f t="shared" si="36"/>
        <v>14.000531000000001</v>
      </c>
      <c r="AG531" s="11" t="str">
        <f t="shared" si="37"/>
        <v/>
      </c>
      <c r="AH531" s="73">
        <f t="shared" si="38"/>
        <v>-2.9994689999999999</v>
      </c>
    </row>
    <row r="532" spans="1:34" ht="14.25" customHeight="1">
      <c r="A532" s="11">
        <v>517</v>
      </c>
      <c r="B532" s="66"/>
      <c r="C532" s="67"/>
      <c r="D532" s="67"/>
      <c r="E532" s="67"/>
      <c r="F532" s="67"/>
      <c r="G532" s="67" t="s">
        <v>35</v>
      </c>
      <c r="H532" s="67">
        <v>43978</v>
      </c>
      <c r="I532" s="6" t="s">
        <v>1120</v>
      </c>
      <c r="J532" s="9">
        <v>3018196131</v>
      </c>
      <c r="K532" s="68">
        <v>43951</v>
      </c>
      <c r="L532" s="68">
        <v>46022</v>
      </c>
      <c r="M532" s="68">
        <v>46203</v>
      </c>
      <c r="N532" s="69">
        <f t="shared" si="26"/>
        <v>-4</v>
      </c>
      <c r="O532" s="69">
        <f t="shared" si="27"/>
        <v>-1</v>
      </c>
      <c r="P532" s="70">
        <v>34</v>
      </c>
      <c r="Q532" s="70">
        <v>31</v>
      </c>
      <c r="R532" s="70">
        <v>30</v>
      </c>
      <c r="S532" s="68" t="str">
        <f t="shared" si="28"/>
        <v/>
      </c>
      <c r="T532" s="68"/>
      <c r="U532" s="68"/>
      <c r="V532" s="68"/>
      <c r="W532" s="9"/>
      <c r="X532" s="10"/>
      <c r="Y532" s="71">
        <f t="shared" si="29"/>
        <v>31</v>
      </c>
      <c r="Z532" s="73">
        <f t="shared" si="30"/>
        <v>30</v>
      </c>
      <c r="AA532" s="11" t="str">
        <f t="shared" si="31"/>
        <v/>
      </c>
      <c r="AB532" s="73">
        <f t="shared" si="32"/>
        <v>-4</v>
      </c>
      <c r="AC532" s="11" t="str">
        <f t="shared" si="33"/>
        <v/>
      </c>
      <c r="AD532" s="73">
        <f t="shared" si="34"/>
        <v>-1</v>
      </c>
      <c r="AE532" s="11" t="str">
        <f t="shared" si="35"/>
        <v/>
      </c>
      <c r="AF532" s="73">
        <f t="shared" si="36"/>
        <v>-3.9994679999999998</v>
      </c>
      <c r="AG532" s="11" t="str">
        <f t="shared" si="37"/>
        <v/>
      </c>
      <c r="AH532" s="73">
        <f t="shared" si="38"/>
        <v>-0.99946800000000002</v>
      </c>
    </row>
    <row r="533" spans="1:34" ht="14.25" customHeight="1">
      <c r="A533" s="11">
        <v>518</v>
      </c>
      <c r="B533" s="66" t="s">
        <v>35</v>
      </c>
      <c r="C533" s="67"/>
      <c r="D533" s="67">
        <v>46038</v>
      </c>
      <c r="E533" s="67">
        <v>46023</v>
      </c>
      <c r="F533" s="67"/>
      <c r="G533" s="67" t="s">
        <v>35</v>
      </c>
      <c r="H533" s="67">
        <v>45621</v>
      </c>
      <c r="I533" s="6" t="s">
        <v>1121</v>
      </c>
      <c r="J533" s="9">
        <v>3018802952</v>
      </c>
      <c r="K533" s="68">
        <v>45596</v>
      </c>
      <c r="L533" s="68">
        <v>46022</v>
      </c>
      <c r="M533" s="68">
        <v>46203</v>
      </c>
      <c r="N533" s="69">
        <f t="shared" si="26"/>
        <v>9</v>
      </c>
      <c r="O533" s="69">
        <f t="shared" si="27"/>
        <v>3</v>
      </c>
      <c r="P533" s="70">
        <v>9</v>
      </c>
      <c r="Q533" s="70">
        <v>15</v>
      </c>
      <c r="R533" s="70">
        <v>18</v>
      </c>
      <c r="S533" s="68" t="str">
        <f t="shared" si="28"/>
        <v/>
      </c>
      <c r="T533" s="68"/>
      <c r="U533" s="68"/>
      <c r="V533" s="68"/>
      <c r="W533" s="9"/>
      <c r="X533" s="10"/>
      <c r="Y533" s="71">
        <f t="shared" si="29"/>
        <v>15</v>
      </c>
      <c r="Z533" s="73">
        <f t="shared" si="30"/>
        <v>18</v>
      </c>
      <c r="AA533" s="73">
        <f t="shared" si="31"/>
        <v>9</v>
      </c>
      <c r="AB533" s="73">
        <f t="shared" si="32"/>
        <v>9</v>
      </c>
      <c r="AC533" s="73">
        <f t="shared" si="33"/>
        <v>3</v>
      </c>
      <c r="AD533" s="73">
        <f t="shared" si="34"/>
        <v>3</v>
      </c>
      <c r="AE533" s="73">
        <f t="shared" si="35"/>
        <v>9.0005330000000008</v>
      </c>
      <c r="AF533" s="73">
        <f t="shared" si="36"/>
        <v>9.0005330000000008</v>
      </c>
      <c r="AG533" s="73">
        <f t="shared" si="37"/>
        <v>3.0005329999999999</v>
      </c>
      <c r="AH533" s="73">
        <f t="shared" si="38"/>
        <v>3.0005329999999999</v>
      </c>
    </row>
    <row r="534" spans="1:34" ht="14.25" customHeight="1">
      <c r="A534" s="11">
        <v>519</v>
      </c>
      <c r="B534" s="66"/>
      <c r="C534" s="67"/>
      <c r="D534" s="67"/>
      <c r="E534" s="67"/>
      <c r="F534" s="67"/>
      <c r="G534" s="67" t="s">
        <v>35</v>
      </c>
      <c r="H534" s="67">
        <v>45534</v>
      </c>
      <c r="I534" s="6" t="s">
        <v>1122</v>
      </c>
      <c r="J534" s="94">
        <v>3028509641</v>
      </c>
      <c r="K534" s="68">
        <v>45930</v>
      </c>
      <c r="L534" s="68">
        <v>46022</v>
      </c>
      <c r="M534" s="68">
        <v>46203</v>
      </c>
      <c r="N534" s="69">
        <f t="shared" si="26"/>
        <v>-3</v>
      </c>
      <c r="O534" s="69">
        <f t="shared" si="27"/>
        <v>0</v>
      </c>
      <c r="P534" s="78">
        <v>3</v>
      </c>
      <c r="Q534" s="78">
        <v>0</v>
      </c>
      <c r="R534" s="78">
        <v>0</v>
      </c>
      <c r="S534" s="68" t="str">
        <f t="shared" si="28"/>
        <v/>
      </c>
      <c r="T534" s="68"/>
      <c r="U534" s="95"/>
      <c r="V534" s="68"/>
      <c r="W534" s="6"/>
      <c r="X534" s="93" t="s">
        <v>1123</v>
      </c>
      <c r="Y534" s="71">
        <f t="shared" si="29"/>
        <v>0</v>
      </c>
      <c r="Z534" s="73">
        <f t="shared" si="30"/>
        <v>0</v>
      </c>
      <c r="AA534" s="11" t="str">
        <f t="shared" si="31"/>
        <v/>
      </c>
      <c r="AB534" s="73">
        <f t="shared" si="32"/>
        <v>-3</v>
      </c>
      <c r="AC534" s="11" t="str">
        <f t="shared" si="33"/>
        <v/>
      </c>
      <c r="AD534" s="73">
        <f t="shared" si="34"/>
        <v>0</v>
      </c>
      <c r="AE534" s="11" t="str">
        <f t="shared" si="35"/>
        <v/>
      </c>
      <c r="AF534" s="73">
        <f t="shared" si="36"/>
        <v>-2.999466</v>
      </c>
      <c r="AG534" s="11" t="str">
        <f t="shared" si="37"/>
        <v/>
      </c>
      <c r="AH534" s="73">
        <f t="shared" si="38"/>
        <v>5.3399999999999997E-4</v>
      </c>
    </row>
    <row r="535" spans="1:34" ht="14.25" customHeight="1">
      <c r="A535" s="11">
        <v>520</v>
      </c>
      <c r="B535" s="66"/>
      <c r="C535" s="67"/>
      <c r="D535" s="67"/>
      <c r="E535" s="67"/>
      <c r="F535" s="67"/>
      <c r="G535" s="67" t="s">
        <v>35</v>
      </c>
      <c r="H535" s="67">
        <v>45069</v>
      </c>
      <c r="I535" s="6" t="s">
        <v>1124</v>
      </c>
      <c r="J535" s="9">
        <v>3028601952</v>
      </c>
      <c r="K535" s="68">
        <v>45046</v>
      </c>
      <c r="L535" s="68">
        <v>46022</v>
      </c>
      <c r="M535" s="68">
        <v>46203</v>
      </c>
      <c r="N535" s="69">
        <f t="shared" si="26"/>
        <v>11</v>
      </c>
      <c r="O535" s="69">
        <f t="shared" si="27"/>
        <v>0</v>
      </c>
      <c r="P535" s="70">
        <v>16</v>
      </c>
      <c r="Q535" s="70">
        <v>27</v>
      </c>
      <c r="R535" s="70">
        <v>27</v>
      </c>
      <c r="S535" s="68" t="str">
        <f t="shared" si="28"/>
        <v/>
      </c>
      <c r="T535" s="68"/>
      <c r="U535" s="68"/>
      <c r="V535" s="68"/>
      <c r="W535" s="9"/>
      <c r="X535" s="10"/>
      <c r="Y535" s="71">
        <f t="shared" si="29"/>
        <v>27</v>
      </c>
      <c r="Z535" s="73">
        <f t="shared" si="30"/>
        <v>27</v>
      </c>
      <c r="AA535" s="11" t="str">
        <f t="shared" si="31"/>
        <v/>
      </c>
      <c r="AB535" s="73">
        <f t="shared" si="32"/>
        <v>11</v>
      </c>
      <c r="AC535" s="11" t="str">
        <f t="shared" si="33"/>
        <v/>
      </c>
      <c r="AD535" s="73">
        <f t="shared" si="34"/>
        <v>0</v>
      </c>
      <c r="AE535" s="11" t="str">
        <f t="shared" si="35"/>
        <v/>
      </c>
      <c r="AF535" s="73">
        <f t="shared" si="36"/>
        <v>11.000534999999999</v>
      </c>
      <c r="AG535" s="11" t="str">
        <f t="shared" si="37"/>
        <v/>
      </c>
      <c r="AH535" s="73">
        <f t="shared" si="38"/>
        <v>5.3499999999999999E-4</v>
      </c>
    </row>
    <row r="536" spans="1:34" ht="14.25" customHeight="1">
      <c r="A536" s="11">
        <v>521</v>
      </c>
      <c r="B536" s="66"/>
      <c r="C536" s="67"/>
      <c r="D536" s="67"/>
      <c r="E536" s="67"/>
      <c r="F536" s="67"/>
      <c r="G536" s="67" t="s">
        <v>35</v>
      </c>
      <c r="H536" s="67">
        <v>43644</v>
      </c>
      <c r="I536" s="6" t="s">
        <v>1125</v>
      </c>
      <c r="J536" s="9">
        <v>3038134897</v>
      </c>
      <c r="K536" s="68">
        <v>43616</v>
      </c>
      <c r="L536" s="68">
        <v>46022</v>
      </c>
      <c r="M536" s="68">
        <v>46203</v>
      </c>
      <c r="N536" s="69">
        <f t="shared" si="26"/>
        <v>19</v>
      </c>
      <c r="O536" s="69">
        <f t="shared" si="27"/>
        <v>-8</v>
      </c>
      <c r="P536" s="70">
        <v>90</v>
      </c>
      <c r="Q536" s="70">
        <v>117</v>
      </c>
      <c r="R536" s="70">
        <v>109</v>
      </c>
      <c r="S536" s="68" t="str">
        <f t="shared" si="28"/>
        <v/>
      </c>
      <c r="T536" s="68"/>
      <c r="U536" s="68"/>
      <c r="V536" s="68"/>
      <c r="W536" s="9"/>
      <c r="X536" s="10"/>
      <c r="Y536" s="71">
        <f t="shared" si="29"/>
        <v>117</v>
      </c>
      <c r="Z536" s="73">
        <f t="shared" si="30"/>
        <v>109</v>
      </c>
      <c r="AA536" s="11" t="str">
        <f t="shared" si="31"/>
        <v/>
      </c>
      <c r="AB536" s="73">
        <f t="shared" si="32"/>
        <v>19</v>
      </c>
      <c r="AC536" s="11" t="str">
        <f t="shared" si="33"/>
        <v/>
      </c>
      <c r="AD536" s="73">
        <f t="shared" si="34"/>
        <v>-8</v>
      </c>
      <c r="AE536" s="11" t="str">
        <f t="shared" si="35"/>
        <v/>
      </c>
      <c r="AF536" s="73">
        <f t="shared" si="36"/>
        <v>19.000536</v>
      </c>
      <c r="AG536" s="11" t="str">
        <f t="shared" si="37"/>
        <v/>
      </c>
      <c r="AH536" s="73">
        <f t="shared" si="38"/>
        <v>-7.9994639999999997</v>
      </c>
    </row>
    <row r="537" spans="1:34" ht="14.25" customHeight="1">
      <c r="A537" s="11">
        <v>522</v>
      </c>
      <c r="B537" s="66"/>
      <c r="C537" s="67"/>
      <c r="D537" s="67"/>
      <c r="E537" s="67"/>
      <c r="F537" s="67"/>
      <c r="G537" s="67" t="s">
        <v>35</v>
      </c>
      <c r="H537" s="67">
        <v>41956</v>
      </c>
      <c r="I537" s="6" t="s">
        <v>1126</v>
      </c>
      <c r="J537" s="9">
        <v>3038145190</v>
      </c>
      <c r="K537" s="68">
        <v>41943</v>
      </c>
      <c r="L537" s="68">
        <v>46022</v>
      </c>
      <c r="M537" s="68">
        <v>46203</v>
      </c>
      <c r="N537" s="69">
        <f t="shared" si="26"/>
        <v>30</v>
      </c>
      <c r="O537" s="69">
        <f t="shared" si="27"/>
        <v>-2</v>
      </c>
      <c r="P537" s="70">
        <v>91</v>
      </c>
      <c r="Q537" s="70">
        <v>123</v>
      </c>
      <c r="R537" s="70">
        <v>121</v>
      </c>
      <c r="S537" s="68" t="str">
        <f t="shared" si="28"/>
        <v/>
      </c>
      <c r="T537" s="68"/>
      <c r="U537" s="68"/>
      <c r="V537" s="68"/>
      <c r="W537" s="9"/>
      <c r="X537" s="10"/>
      <c r="Y537" s="71">
        <f t="shared" si="29"/>
        <v>123</v>
      </c>
      <c r="Z537" s="73">
        <f t="shared" si="30"/>
        <v>121</v>
      </c>
      <c r="AA537" s="11" t="str">
        <f t="shared" si="31"/>
        <v/>
      </c>
      <c r="AB537" s="73">
        <f t="shared" si="32"/>
        <v>30</v>
      </c>
      <c r="AC537" s="11" t="str">
        <f t="shared" si="33"/>
        <v/>
      </c>
      <c r="AD537" s="73">
        <f t="shared" si="34"/>
        <v>-2</v>
      </c>
      <c r="AE537" s="11" t="str">
        <f t="shared" si="35"/>
        <v/>
      </c>
      <c r="AF537" s="73">
        <f t="shared" si="36"/>
        <v>30.000537000000001</v>
      </c>
      <c r="AG537" s="11" t="str">
        <f t="shared" si="37"/>
        <v/>
      </c>
      <c r="AH537" s="73">
        <f t="shared" si="38"/>
        <v>-1.999463</v>
      </c>
    </row>
    <row r="538" spans="1:34" ht="14.25" customHeight="1">
      <c r="A538" s="11">
        <v>523</v>
      </c>
      <c r="B538" s="66"/>
      <c r="C538" s="67"/>
      <c r="D538" s="67"/>
      <c r="E538" s="67"/>
      <c r="F538" s="67"/>
      <c r="G538" s="67" t="s">
        <v>35</v>
      </c>
      <c r="H538" s="67">
        <v>45723</v>
      </c>
      <c r="I538" s="6" t="s">
        <v>1127</v>
      </c>
      <c r="J538" s="9">
        <v>3038802619</v>
      </c>
      <c r="K538" s="68">
        <v>45716</v>
      </c>
      <c r="L538" s="68">
        <v>46022</v>
      </c>
      <c r="M538" s="68">
        <v>46203</v>
      </c>
      <c r="N538" s="69">
        <f t="shared" si="26"/>
        <v>7</v>
      </c>
      <c r="O538" s="69">
        <f t="shared" si="27"/>
        <v>4</v>
      </c>
      <c r="P538" s="70">
        <v>6</v>
      </c>
      <c r="Q538" s="70">
        <v>9</v>
      </c>
      <c r="R538" s="70">
        <v>13</v>
      </c>
      <c r="S538" s="68" t="str">
        <f t="shared" si="28"/>
        <v/>
      </c>
      <c r="T538" s="68"/>
      <c r="U538" s="68"/>
      <c r="V538" s="68"/>
      <c r="W538" s="9"/>
      <c r="X538" s="10"/>
      <c r="Y538" s="71">
        <f t="shared" si="29"/>
        <v>9</v>
      </c>
      <c r="Z538" s="73">
        <f t="shared" si="30"/>
        <v>13</v>
      </c>
      <c r="AA538" s="11" t="str">
        <f t="shared" si="31"/>
        <v/>
      </c>
      <c r="AB538" s="73">
        <f t="shared" si="32"/>
        <v>7</v>
      </c>
      <c r="AC538" s="11" t="str">
        <f t="shared" si="33"/>
        <v/>
      </c>
      <c r="AD538" s="73">
        <f t="shared" si="34"/>
        <v>4</v>
      </c>
      <c r="AE538" s="11" t="str">
        <f t="shared" si="35"/>
        <v/>
      </c>
      <c r="AF538" s="73">
        <f t="shared" si="36"/>
        <v>7.0005379999999997</v>
      </c>
      <c r="AG538" s="11" t="str">
        <f t="shared" si="37"/>
        <v/>
      </c>
      <c r="AH538" s="73">
        <f t="shared" si="38"/>
        <v>4.0005379999999997</v>
      </c>
    </row>
    <row r="539" spans="1:34" ht="14.25" customHeight="1">
      <c r="A539" s="11">
        <v>524</v>
      </c>
      <c r="B539" s="66"/>
      <c r="C539" s="67"/>
      <c r="D539" s="67"/>
      <c r="E539" s="67"/>
      <c r="F539" s="67"/>
      <c r="G539" s="67" t="s">
        <v>35</v>
      </c>
      <c r="H539" s="67">
        <v>45870</v>
      </c>
      <c r="I539" s="6" t="s">
        <v>1128</v>
      </c>
      <c r="J539" s="94">
        <v>3048133950</v>
      </c>
      <c r="K539" s="68">
        <v>45869</v>
      </c>
      <c r="L539" s="68">
        <v>46022</v>
      </c>
      <c r="M539" s="68">
        <v>46203</v>
      </c>
      <c r="N539" s="69">
        <f t="shared" si="26"/>
        <v>-1</v>
      </c>
      <c r="O539" s="69">
        <f t="shared" si="27"/>
        <v>-1</v>
      </c>
      <c r="P539" s="70">
        <v>11</v>
      </c>
      <c r="Q539" s="70">
        <v>11</v>
      </c>
      <c r="R539" s="70">
        <v>10</v>
      </c>
      <c r="S539" s="68" t="str">
        <f t="shared" si="28"/>
        <v/>
      </c>
      <c r="T539" s="68"/>
      <c r="U539" s="95"/>
      <c r="V539" s="68"/>
      <c r="W539" s="6"/>
      <c r="X539" s="10"/>
      <c r="Y539" s="71">
        <f t="shared" si="29"/>
        <v>11</v>
      </c>
      <c r="Z539" s="73">
        <f t="shared" si="30"/>
        <v>10</v>
      </c>
      <c r="AA539" s="11" t="str">
        <f t="shared" si="31"/>
        <v/>
      </c>
      <c r="AB539" s="73">
        <f t="shared" si="32"/>
        <v>-1</v>
      </c>
      <c r="AC539" s="11" t="str">
        <f t="shared" si="33"/>
        <v/>
      </c>
      <c r="AD539" s="73">
        <f t="shared" si="34"/>
        <v>-1</v>
      </c>
      <c r="AE539" s="11" t="str">
        <f t="shared" si="35"/>
        <v/>
      </c>
      <c r="AF539" s="73">
        <f t="shared" si="36"/>
        <v>-0.99946100000000004</v>
      </c>
      <c r="AG539" s="11" t="str">
        <f t="shared" si="37"/>
        <v/>
      </c>
      <c r="AH539" s="73">
        <f t="shared" si="38"/>
        <v>-0.99946100000000004</v>
      </c>
    </row>
    <row r="540" spans="1:34" ht="14.25" customHeight="1">
      <c r="A540" s="11">
        <v>525</v>
      </c>
      <c r="B540" s="66"/>
      <c r="C540" s="67"/>
      <c r="D540" s="67"/>
      <c r="E540" s="67"/>
      <c r="F540" s="67"/>
      <c r="G540" s="67" t="s">
        <v>35</v>
      </c>
      <c r="H540" s="67">
        <v>45499</v>
      </c>
      <c r="I540" s="6" t="s">
        <v>1129</v>
      </c>
      <c r="J540" s="9">
        <v>3048603223</v>
      </c>
      <c r="K540" s="68">
        <v>45473</v>
      </c>
      <c r="L540" s="68">
        <v>46022</v>
      </c>
      <c r="M540" s="68">
        <v>46203</v>
      </c>
      <c r="N540" s="69">
        <f t="shared" si="26"/>
        <v>40</v>
      </c>
      <c r="O540" s="69">
        <f t="shared" si="27"/>
        <v>18</v>
      </c>
      <c r="P540" s="70">
        <v>0</v>
      </c>
      <c r="Q540" s="70">
        <v>22</v>
      </c>
      <c r="R540" s="70">
        <v>40</v>
      </c>
      <c r="S540" s="68" t="str">
        <f t="shared" si="28"/>
        <v/>
      </c>
      <c r="T540" s="68"/>
      <c r="U540" s="68"/>
      <c r="V540" s="68"/>
      <c r="W540" s="9"/>
      <c r="X540" s="10"/>
      <c r="Y540" s="71">
        <f t="shared" si="29"/>
        <v>22</v>
      </c>
      <c r="Z540" s="73">
        <f t="shared" si="30"/>
        <v>40</v>
      </c>
      <c r="AA540" s="11" t="str">
        <f t="shared" si="31"/>
        <v/>
      </c>
      <c r="AB540" s="73">
        <f t="shared" si="32"/>
        <v>40</v>
      </c>
      <c r="AC540" s="11" t="str">
        <f t="shared" si="33"/>
        <v/>
      </c>
      <c r="AD540" s="73">
        <f t="shared" si="34"/>
        <v>18</v>
      </c>
      <c r="AE540" s="11" t="str">
        <f t="shared" si="35"/>
        <v/>
      </c>
      <c r="AF540" s="73">
        <f t="shared" si="36"/>
        <v>40.000540000000001</v>
      </c>
      <c r="AG540" s="11" t="str">
        <f t="shared" si="37"/>
        <v/>
      </c>
      <c r="AH540" s="73">
        <f t="shared" si="38"/>
        <v>18.000540000000001</v>
      </c>
    </row>
    <row r="541" spans="1:34" ht="14.25" customHeight="1">
      <c r="A541" s="11">
        <v>526</v>
      </c>
      <c r="B541" s="66" t="s">
        <v>35</v>
      </c>
      <c r="C541" s="67">
        <v>43110</v>
      </c>
      <c r="D541" s="67"/>
      <c r="E541" s="67"/>
      <c r="F541" s="67"/>
      <c r="G541" s="67"/>
      <c r="H541" s="67"/>
      <c r="I541" s="6" t="s">
        <v>1130</v>
      </c>
      <c r="J541" s="9">
        <v>3048800249</v>
      </c>
      <c r="K541" s="68">
        <v>43100</v>
      </c>
      <c r="L541" s="68">
        <v>46022</v>
      </c>
      <c r="M541" s="68">
        <v>46203</v>
      </c>
      <c r="N541" s="69">
        <f t="shared" si="26"/>
        <v>8</v>
      </c>
      <c r="O541" s="69">
        <f t="shared" si="27"/>
        <v>0</v>
      </c>
      <c r="P541" s="70">
        <v>5</v>
      </c>
      <c r="Q541" s="70">
        <v>13</v>
      </c>
      <c r="R541" s="70">
        <v>13</v>
      </c>
      <c r="S541" s="68" t="str">
        <f t="shared" si="28"/>
        <v/>
      </c>
      <c r="T541" s="68"/>
      <c r="U541" s="68"/>
      <c r="V541" s="68"/>
      <c r="W541" s="9"/>
      <c r="X541" s="10"/>
      <c r="Y541" s="71">
        <f t="shared" si="29"/>
        <v>13</v>
      </c>
      <c r="Z541" s="73">
        <f t="shared" si="30"/>
        <v>13</v>
      </c>
      <c r="AA541" s="73">
        <f t="shared" si="31"/>
        <v>8</v>
      </c>
      <c r="AB541" s="11" t="str">
        <f t="shared" si="32"/>
        <v/>
      </c>
      <c r="AC541" s="73">
        <f t="shared" si="33"/>
        <v>0</v>
      </c>
      <c r="AD541" s="11" t="str">
        <f t="shared" si="34"/>
        <v/>
      </c>
      <c r="AE541" s="73">
        <f t="shared" si="35"/>
        <v>8.0005410000000001</v>
      </c>
      <c r="AF541" s="11" t="str">
        <f t="shared" si="36"/>
        <v/>
      </c>
      <c r="AG541" s="73">
        <f t="shared" si="37"/>
        <v>5.4100000000000003E-4</v>
      </c>
      <c r="AH541" s="11" t="str">
        <f t="shared" si="38"/>
        <v/>
      </c>
    </row>
    <row r="542" spans="1:34" ht="14.25" customHeight="1">
      <c r="A542" s="11">
        <v>527</v>
      </c>
      <c r="B542" s="66"/>
      <c r="C542" s="67"/>
      <c r="D542" s="67"/>
      <c r="E542" s="67"/>
      <c r="F542" s="67"/>
      <c r="G542" s="124" t="s">
        <v>24</v>
      </c>
      <c r="H542" s="67">
        <v>43593</v>
      </c>
      <c r="I542" s="6" t="s">
        <v>1131</v>
      </c>
      <c r="J542" s="9">
        <v>3058639350</v>
      </c>
      <c r="K542" s="68">
        <v>43585</v>
      </c>
      <c r="L542" s="68" t="s">
        <v>230</v>
      </c>
      <c r="M542" s="68">
        <v>44926</v>
      </c>
      <c r="N542" s="69">
        <f t="shared" si="26"/>
        <v>-2</v>
      </c>
      <c r="O542" s="69" t="str">
        <f t="shared" si="27"/>
        <v>N/A</v>
      </c>
      <c r="P542" s="70">
        <v>2</v>
      </c>
      <c r="Q542" s="70"/>
      <c r="R542" s="70">
        <v>0</v>
      </c>
      <c r="S542" s="68">
        <f t="shared" si="28"/>
        <v>44923</v>
      </c>
      <c r="T542" s="68">
        <v>44923</v>
      </c>
      <c r="U542" s="68"/>
      <c r="V542" s="68"/>
      <c r="W542" s="68">
        <v>45721</v>
      </c>
      <c r="X542" s="10"/>
      <c r="Y542" s="65" t="str">
        <f t="shared" si="29"/>
        <v/>
      </c>
      <c r="Z542" s="11" t="str">
        <f t="shared" si="30"/>
        <v/>
      </c>
      <c r="AA542" s="11" t="str">
        <f t="shared" si="31"/>
        <v/>
      </c>
      <c r="AB542" s="73">
        <f t="shared" si="32"/>
        <v>-2</v>
      </c>
      <c r="AC542" s="11" t="str">
        <f t="shared" si="33"/>
        <v/>
      </c>
      <c r="AD542" s="11" t="str">
        <f t="shared" si="34"/>
        <v/>
      </c>
      <c r="AE542" s="11" t="str">
        <f t="shared" si="35"/>
        <v/>
      </c>
      <c r="AF542" s="73">
        <f t="shared" si="36"/>
        <v>-1.999458</v>
      </c>
      <c r="AG542" s="11" t="str">
        <f t="shared" si="37"/>
        <v/>
      </c>
      <c r="AH542" s="11" t="str">
        <f t="shared" si="38"/>
        <v/>
      </c>
    </row>
    <row r="543" spans="1:34" ht="14.25" customHeight="1">
      <c r="A543" s="11">
        <v>528</v>
      </c>
      <c r="B543" s="66"/>
      <c r="C543" s="67"/>
      <c r="D543" s="67"/>
      <c r="E543" s="67"/>
      <c r="F543" s="67"/>
      <c r="G543" s="67" t="s">
        <v>35</v>
      </c>
      <c r="H543" s="67">
        <v>45217</v>
      </c>
      <c r="I543" s="6" t="s">
        <v>1132</v>
      </c>
      <c r="J543" s="9">
        <v>3068137665</v>
      </c>
      <c r="K543" s="68">
        <v>45199</v>
      </c>
      <c r="L543" s="68">
        <v>46022</v>
      </c>
      <c r="M543" s="68">
        <v>46203</v>
      </c>
      <c r="N543" s="69">
        <f t="shared" si="26"/>
        <v>3</v>
      </c>
      <c r="O543" s="69">
        <f t="shared" si="27"/>
        <v>-1</v>
      </c>
      <c r="P543" s="70">
        <v>11</v>
      </c>
      <c r="Q543" s="70">
        <v>15</v>
      </c>
      <c r="R543" s="70">
        <v>14</v>
      </c>
      <c r="S543" s="68" t="str">
        <f t="shared" si="28"/>
        <v/>
      </c>
      <c r="T543" s="68"/>
      <c r="U543" s="68"/>
      <c r="V543" s="68"/>
      <c r="W543" s="9"/>
      <c r="X543" s="10"/>
      <c r="Y543" s="71">
        <f t="shared" si="29"/>
        <v>15</v>
      </c>
      <c r="Z543" s="73">
        <f t="shared" si="30"/>
        <v>14</v>
      </c>
      <c r="AA543" s="11" t="str">
        <f t="shared" si="31"/>
        <v/>
      </c>
      <c r="AB543" s="73">
        <f t="shared" si="32"/>
        <v>3</v>
      </c>
      <c r="AC543" s="11" t="str">
        <f t="shared" si="33"/>
        <v/>
      </c>
      <c r="AD543" s="73">
        <f t="shared" si="34"/>
        <v>-1</v>
      </c>
      <c r="AE543" s="11" t="str">
        <f t="shared" si="35"/>
        <v/>
      </c>
      <c r="AF543" s="73">
        <f t="shared" si="36"/>
        <v>3.000543</v>
      </c>
      <c r="AG543" s="11" t="str">
        <f t="shared" si="37"/>
        <v/>
      </c>
      <c r="AH543" s="73">
        <f t="shared" si="38"/>
        <v>-0.99945700000000004</v>
      </c>
    </row>
    <row r="544" spans="1:34" ht="14.25" customHeight="1">
      <c r="A544" s="11">
        <v>529</v>
      </c>
      <c r="B544" s="66"/>
      <c r="C544" s="67"/>
      <c r="D544" s="67"/>
      <c r="E544" s="67"/>
      <c r="F544" s="67"/>
      <c r="G544" s="67" t="s">
        <v>35</v>
      </c>
      <c r="H544" s="67">
        <v>44764</v>
      </c>
      <c r="I544" s="6" t="s">
        <v>1133</v>
      </c>
      <c r="J544" s="9">
        <v>3068802374</v>
      </c>
      <c r="K544" s="68">
        <v>44742</v>
      </c>
      <c r="L544" s="68">
        <v>46022</v>
      </c>
      <c r="M544" s="68">
        <v>46203</v>
      </c>
      <c r="N544" s="69">
        <f t="shared" si="26"/>
        <v>7</v>
      </c>
      <c r="O544" s="69">
        <f t="shared" si="27"/>
        <v>2</v>
      </c>
      <c r="P544" s="70">
        <v>2</v>
      </c>
      <c r="Q544" s="70">
        <v>7</v>
      </c>
      <c r="R544" s="70">
        <v>9</v>
      </c>
      <c r="S544" s="68" t="str">
        <f t="shared" si="28"/>
        <v/>
      </c>
      <c r="T544" s="68"/>
      <c r="U544" s="68"/>
      <c r="V544" s="68"/>
      <c r="W544" s="9"/>
      <c r="X544" s="10"/>
      <c r="Y544" s="71">
        <f t="shared" si="29"/>
        <v>7</v>
      </c>
      <c r="Z544" s="73">
        <f t="shared" si="30"/>
        <v>9</v>
      </c>
      <c r="AA544" s="11" t="str">
        <f t="shared" si="31"/>
        <v/>
      </c>
      <c r="AB544" s="73">
        <f t="shared" si="32"/>
        <v>7</v>
      </c>
      <c r="AC544" s="11" t="str">
        <f t="shared" si="33"/>
        <v/>
      </c>
      <c r="AD544" s="73">
        <f t="shared" si="34"/>
        <v>2</v>
      </c>
      <c r="AE544" s="11" t="str">
        <f t="shared" si="35"/>
        <v/>
      </c>
      <c r="AF544" s="73">
        <f t="shared" si="36"/>
        <v>7.0005439999999997</v>
      </c>
      <c r="AG544" s="11" t="str">
        <f t="shared" si="37"/>
        <v/>
      </c>
      <c r="AH544" s="73">
        <f t="shared" si="38"/>
        <v>2.0005440000000001</v>
      </c>
    </row>
    <row r="545" spans="1:34" ht="14.25" customHeight="1">
      <c r="A545" s="11">
        <v>530</v>
      </c>
      <c r="B545" s="66" t="s">
        <v>35</v>
      </c>
      <c r="C545" s="67">
        <v>42552</v>
      </c>
      <c r="D545" s="67"/>
      <c r="E545" s="67"/>
      <c r="F545" s="67"/>
      <c r="G545" s="67" t="s">
        <v>35</v>
      </c>
      <c r="H545" s="67">
        <v>42605</v>
      </c>
      <c r="I545" s="6" t="s">
        <v>1134</v>
      </c>
      <c r="J545" s="9">
        <v>3078147910</v>
      </c>
      <c r="K545" s="68">
        <v>42551</v>
      </c>
      <c r="L545" s="68">
        <v>46022</v>
      </c>
      <c r="M545" s="68">
        <v>46203</v>
      </c>
      <c r="N545" s="69">
        <f t="shared" si="26"/>
        <v>-5</v>
      </c>
      <c r="O545" s="69">
        <f t="shared" si="27"/>
        <v>-1</v>
      </c>
      <c r="P545" s="70">
        <v>8</v>
      </c>
      <c r="Q545" s="70">
        <v>4</v>
      </c>
      <c r="R545" s="70">
        <v>3</v>
      </c>
      <c r="S545" s="68" t="str">
        <f t="shared" si="28"/>
        <v/>
      </c>
      <c r="T545" s="68"/>
      <c r="U545" s="68"/>
      <c r="V545" s="68"/>
      <c r="W545" s="9"/>
      <c r="X545" s="10"/>
      <c r="Y545" s="71">
        <f t="shared" si="29"/>
        <v>4</v>
      </c>
      <c r="Z545" s="73">
        <f t="shared" si="30"/>
        <v>3</v>
      </c>
      <c r="AA545" s="73">
        <f t="shared" si="31"/>
        <v>-5</v>
      </c>
      <c r="AB545" s="73">
        <f t="shared" si="32"/>
        <v>-5</v>
      </c>
      <c r="AC545" s="73">
        <f t="shared" si="33"/>
        <v>-1</v>
      </c>
      <c r="AD545" s="73">
        <f t="shared" si="34"/>
        <v>-1</v>
      </c>
      <c r="AE545" s="73">
        <f t="shared" si="35"/>
        <v>-4.9994550000000002</v>
      </c>
      <c r="AF545" s="73">
        <f t="shared" si="36"/>
        <v>-4.9994550000000002</v>
      </c>
      <c r="AG545" s="73">
        <f t="shared" si="37"/>
        <v>-0.99945499999999998</v>
      </c>
      <c r="AH545" s="73">
        <f t="shared" si="38"/>
        <v>-0.99945499999999998</v>
      </c>
    </row>
    <row r="546" spans="1:34" ht="14.25" customHeight="1">
      <c r="A546" s="11">
        <v>531</v>
      </c>
      <c r="B546" s="66" t="s">
        <v>35</v>
      </c>
      <c r="C546" s="67">
        <v>45748</v>
      </c>
      <c r="D546" s="125">
        <v>45748</v>
      </c>
      <c r="E546" s="67">
        <v>45748</v>
      </c>
      <c r="F546" s="67"/>
      <c r="G546" s="67"/>
      <c r="H546" s="67"/>
      <c r="I546" s="6" t="s">
        <v>1135</v>
      </c>
      <c r="J546" s="9">
        <v>3078150598</v>
      </c>
      <c r="K546" s="68">
        <v>45747</v>
      </c>
      <c r="L546" s="68">
        <v>46022</v>
      </c>
      <c r="M546" s="68">
        <v>46203</v>
      </c>
      <c r="N546" s="69">
        <f t="shared" si="26"/>
        <v>13</v>
      </c>
      <c r="O546" s="69">
        <f t="shared" si="27"/>
        <v>6</v>
      </c>
      <c r="P546" s="70">
        <v>20</v>
      </c>
      <c r="Q546" s="70">
        <v>27</v>
      </c>
      <c r="R546" s="70">
        <v>33</v>
      </c>
      <c r="S546" s="68" t="str">
        <f t="shared" si="28"/>
        <v/>
      </c>
      <c r="T546" s="68"/>
      <c r="U546" s="68"/>
      <c r="V546" s="68"/>
      <c r="W546" s="9"/>
      <c r="X546" s="10"/>
      <c r="Y546" s="71">
        <f t="shared" si="29"/>
        <v>27</v>
      </c>
      <c r="Z546" s="73">
        <f t="shared" si="30"/>
        <v>33</v>
      </c>
      <c r="AA546" s="73">
        <f t="shared" si="31"/>
        <v>13</v>
      </c>
      <c r="AB546" s="11" t="str">
        <f t="shared" si="32"/>
        <v/>
      </c>
      <c r="AC546" s="73">
        <f t="shared" si="33"/>
        <v>6</v>
      </c>
      <c r="AD546" s="11" t="str">
        <f t="shared" si="34"/>
        <v/>
      </c>
      <c r="AE546" s="73">
        <f t="shared" si="35"/>
        <v>13.000546</v>
      </c>
      <c r="AF546" s="11" t="str">
        <f t="shared" si="36"/>
        <v/>
      </c>
      <c r="AG546" s="73">
        <f t="shared" si="37"/>
        <v>6.0005459999999999</v>
      </c>
      <c r="AH546" s="11" t="str">
        <f t="shared" si="38"/>
        <v/>
      </c>
    </row>
    <row r="547" spans="1:34" ht="14.25" customHeight="1">
      <c r="A547" s="11">
        <v>532</v>
      </c>
      <c r="B547" s="66"/>
      <c r="C547" s="67"/>
      <c r="D547" s="67"/>
      <c r="E547" s="67"/>
      <c r="F547" s="67"/>
      <c r="G547" s="67" t="s">
        <v>35</v>
      </c>
      <c r="H547" s="67">
        <v>44733</v>
      </c>
      <c r="I547" s="6" t="s">
        <v>1136</v>
      </c>
      <c r="J547" s="9">
        <v>3078151786</v>
      </c>
      <c r="K547" s="68">
        <v>44712</v>
      </c>
      <c r="L547" s="68">
        <v>46022</v>
      </c>
      <c r="M547" s="68">
        <v>46203</v>
      </c>
      <c r="N547" s="69">
        <f t="shared" si="26"/>
        <v>1</v>
      </c>
      <c r="O547" s="69">
        <f t="shared" si="27"/>
        <v>0</v>
      </c>
      <c r="P547" s="70">
        <v>0</v>
      </c>
      <c r="Q547" s="70">
        <v>1</v>
      </c>
      <c r="R547" s="70">
        <v>1</v>
      </c>
      <c r="S547" s="68" t="str">
        <f t="shared" si="28"/>
        <v/>
      </c>
      <c r="T547" s="68"/>
      <c r="U547" s="68"/>
      <c r="V547" s="68"/>
      <c r="W547" s="9"/>
      <c r="X547" s="10"/>
      <c r="Y547" s="71">
        <f t="shared" si="29"/>
        <v>1</v>
      </c>
      <c r="Z547" s="73">
        <f t="shared" si="30"/>
        <v>1</v>
      </c>
      <c r="AA547" s="11" t="str">
        <f t="shared" si="31"/>
        <v/>
      </c>
      <c r="AB547" s="73">
        <f t="shared" si="32"/>
        <v>1</v>
      </c>
      <c r="AC547" s="11" t="str">
        <f t="shared" si="33"/>
        <v/>
      </c>
      <c r="AD547" s="73">
        <f t="shared" si="34"/>
        <v>0</v>
      </c>
      <c r="AE547" s="11" t="str">
        <f t="shared" si="35"/>
        <v/>
      </c>
      <c r="AF547" s="73">
        <f t="shared" si="36"/>
        <v>1.0005470000000001</v>
      </c>
      <c r="AG547" s="11" t="str">
        <f t="shared" si="37"/>
        <v/>
      </c>
      <c r="AH547" s="73">
        <f t="shared" si="38"/>
        <v>5.4699999999999996E-4</v>
      </c>
    </row>
    <row r="548" spans="1:34" ht="14.25" customHeight="1">
      <c r="A548" s="11">
        <v>533</v>
      </c>
      <c r="B548" s="66" t="s">
        <v>24</v>
      </c>
      <c r="C548" s="67">
        <v>42706</v>
      </c>
      <c r="D548" s="67"/>
      <c r="E548" s="67"/>
      <c r="F548" s="67"/>
      <c r="G548" s="67"/>
      <c r="H548" s="67"/>
      <c r="I548" s="6" t="s">
        <v>1137</v>
      </c>
      <c r="J548" s="9">
        <v>3078700289</v>
      </c>
      <c r="K548" s="68">
        <v>42704</v>
      </c>
      <c r="L548" s="68" t="s">
        <v>230</v>
      </c>
      <c r="M548" s="68">
        <v>44926</v>
      </c>
      <c r="N548" s="69">
        <f t="shared" si="26"/>
        <v>0</v>
      </c>
      <c r="O548" s="69" t="str">
        <f t="shared" si="27"/>
        <v>N/A</v>
      </c>
      <c r="P548" s="70">
        <v>0</v>
      </c>
      <c r="Q548" s="70"/>
      <c r="R548" s="70">
        <v>0</v>
      </c>
      <c r="S548" s="68">
        <f t="shared" si="28"/>
        <v>44926</v>
      </c>
      <c r="T548" s="68">
        <v>44926</v>
      </c>
      <c r="U548" s="68"/>
      <c r="V548" s="68"/>
      <c r="W548" s="9"/>
      <c r="X548" s="10"/>
      <c r="Y548" s="65" t="str">
        <f t="shared" si="29"/>
        <v/>
      </c>
      <c r="Z548" s="11" t="str">
        <f t="shared" si="30"/>
        <v/>
      </c>
      <c r="AA548" s="73">
        <f t="shared" si="31"/>
        <v>0</v>
      </c>
      <c r="AB548" s="11" t="str">
        <f t="shared" si="32"/>
        <v/>
      </c>
      <c r="AC548" s="11" t="str">
        <f t="shared" si="33"/>
        <v/>
      </c>
      <c r="AD548" s="11" t="str">
        <f t="shared" si="34"/>
        <v/>
      </c>
      <c r="AE548" s="73">
        <f t="shared" si="35"/>
        <v>5.4799999999999998E-4</v>
      </c>
      <c r="AF548" s="11" t="str">
        <f t="shared" si="36"/>
        <v/>
      </c>
      <c r="AG548" s="11" t="str">
        <f t="shared" si="37"/>
        <v/>
      </c>
      <c r="AH548" s="11" t="str">
        <f t="shared" si="38"/>
        <v/>
      </c>
    </row>
    <row r="549" spans="1:34" ht="14.25" customHeight="1">
      <c r="A549" s="11">
        <v>534</v>
      </c>
      <c r="B549" s="66" t="s">
        <v>35</v>
      </c>
      <c r="C549" s="67"/>
      <c r="D549" s="67">
        <v>46112</v>
      </c>
      <c r="E549" s="67"/>
      <c r="F549" s="67"/>
      <c r="G549" s="67" t="s">
        <v>35</v>
      </c>
      <c r="H549" s="67">
        <v>45558</v>
      </c>
      <c r="I549" s="6" t="s">
        <v>1138</v>
      </c>
      <c r="J549" s="9">
        <v>3078802775</v>
      </c>
      <c r="K549" s="68">
        <v>45535</v>
      </c>
      <c r="L549" s="68">
        <v>46022</v>
      </c>
      <c r="M549" s="68">
        <v>46203</v>
      </c>
      <c r="N549" s="69">
        <f t="shared" si="26"/>
        <v>9</v>
      </c>
      <c r="O549" s="69">
        <f t="shared" si="27"/>
        <v>5</v>
      </c>
      <c r="P549" s="70">
        <v>5</v>
      </c>
      <c r="Q549" s="70">
        <v>9</v>
      </c>
      <c r="R549" s="70">
        <v>14</v>
      </c>
      <c r="S549" s="68" t="str">
        <f t="shared" si="28"/>
        <v/>
      </c>
      <c r="T549" s="68"/>
      <c r="U549" s="68"/>
      <c r="V549" s="68"/>
      <c r="W549" s="9"/>
      <c r="X549" s="10"/>
      <c r="Y549" s="71">
        <f t="shared" si="29"/>
        <v>9</v>
      </c>
      <c r="Z549" s="73">
        <f t="shared" si="30"/>
        <v>14</v>
      </c>
      <c r="AA549" s="73">
        <f t="shared" si="31"/>
        <v>9</v>
      </c>
      <c r="AB549" s="73">
        <f t="shared" si="32"/>
        <v>9</v>
      </c>
      <c r="AC549" s="73">
        <f t="shared" si="33"/>
        <v>5</v>
      </c>
      <c r="AD549" s="73">
        <f t="shared" si="34"/>
        <v>5</v>
      </c>
      <c r="AE549" s="73">
        <f t="shared" si="35"/>
        <v>9.0005489999999995</v>
      </c>
      <c r="AF549" s="73">
        <f t="shared" si="36"/>
        <v>9.0005489999999995</v>
      </c>
      <c r="AG549" s="73">
        <f t="shared" si="37"/>
        <v>5.0005490000000004</v>
      </c>
      <c r="AH549" s="73">
        <f t="shared" si="38"/>
        <v>5.0005490000000004</v>
      </c>
    </row>
    <row r="550" spans="1:34" ht="14.25" customHeight="1">
      <c r="A550" s="11">
        <v>535</v>
      </c>
      <c r="B550" s="66"/>
      <c r="C550" s="67"/>
      <c r="D550" s="67"/>
      <c r="E550" s="67"/>
      <c r="F550" s="67"/>
      <c r="G550" s="67" t="s">
        <v>24</v>
      </c>
      <c r="H550" s="67">
        <v>44484</v>
      </c>
      <c r="I550" s="6" t="s">
        <v>1139</v>
      </c>
      <c r="J550" s="9">
        <v>3088602319</v>
      </c>
      <c r="K550" s="68">
        <v>44469</v>
      </c>
      <c r="L550" s="68" t="s">
        <v>230</v>
      </c>
      <c r="M550" s="68">
        <v>45382</v>
      </c>
      <c r="N550" s="69">
        <f t="shared" si="26"/>
        <v>0</v>
      </c>
      <c r="O550" s="69" t="str">
        <f t="shared" si="27"/>
        <v>N/A</v>
      </c>
      <c r="P550" s="70">
        <v>0</v>
      </c>
      <c r="Q550" s="70"/>
      <c r="R550" s="70">
        <v>0</v>
      </c>
      <c r="S550" s="68">
        <f t="shared" si="28"/>
        <v>45380</v>
      </c>
      <c r="T550" s="68">
        <v>45380</v>
      </c>
      <c r="U550" s="68"/>
      <c r="V550" s="68"/>
      <c r="W550" s="9"/>
      <c r="X550" s="10"/>
      <c r="Y550" s="65" t="str">
        <f t="shared" si="29"/>
        <v/>
      </c>
      <c r="Z550" s="11" t="str">
        <f t="shared" si="30"/>
        <v/>
      </c>
      <c r="AA550" s="11" t="str">
        <f t="shared" si="31"/>
        <v/>
      </c>
      <c r="AB550" s="73">
        <f t="shared" si="32"/>
        <v>0</v>
      </c>
      <c r="AC550" s="11" t="str">
        <f t="shared" si="33"/>
        <v/>
      </c>
      <c r="AD550" s="11" t="str">
        <f t="shared" si="34"/>
        <v/>
      </c>
      <c r="AE550" s="11" t="str">
        <f t="shared" si="35"/>
        <v/>
      </c>
      <c r="AF550" s="73">
        <f t="shared" si="36"/>
        <v>5.5000000000000003E-4</v>
      </c>
      <c r="AG550" s="11" t="str">
        <f t="shared" si="37"/>
        <v/>
      </c>
      <c r="AH550" s="11" t="str">
        <f t="shared" si="38"/>
        <v/>
      </c>
    </row>
    <row r="551" spans="1:34" ht="14.25" customHeight="1">
      <c r="A551" s="11">
        <v>536</v>
      </c>
      <c r="B551" s="66"/>
      <c r="C551" s="67"/>
      <c r="D551" s="67"/>
      <c r="E551" s="67"/>
      <c r="F551" s="67"/>
      <c r="G551" s="67" t="s">
        <v>35</v>
      </c>
      <c r="H551" s="67">
        <v>45019</v>
      </c>
      <c r="I551" s="6" t="s">
        <v>1140</v>
      </c>
      <c r="J551" s="9">
        <v>3088701689</v>
      </c>
      <c r="K551" s="68">
        <v>45016</v>
      </c>
      <c r="L551" s="68">
        <v>46022</v>
      </c>
      <c r="M551" s="68">
        <v>46203</v>
      </c>
      <c r="N551" s="69">
        <f t="shared" si="26"/>
        <v>4</v>
      </c>
      <c r="O551" s="69">
        <f t="shared" si="27"/>
        <v>1</v>
      </c>
      <c r="P551" s="70">
        <v>5</v>
      </c>
      <c r="Q551" s="70">
        <v>8</v>
      </c>
      <c r="R551" s="70">
        <v>9</v>
      </c>
      <c r="S551" s="68" t="str">
        <f t="shared" si="28"/>
        <v/>
      </c>
      <c r="T551" s="68"/>
      <c r="U551" s="68"/>
      <c r="V551" s="68"/>
      <c r="W551" s="9"/>
      <c r="X551" s="10"/>
      <c r="Y551" s="71">
        <f t="shared" si="29"/>
        <v>8</v>
      </c>
      <c r="Z551" s="73">
        <f t="shared" si="30"/>
        <v>9</v>
      </c>
      <c r="AA551" s="11" t="str">
        <f t="shared" si="31"/>
        <v/>
      </c>
      <c r="AB551" s="73">
        <f t="shared" si="32"/>
        <v>4</v>
      </c>
      <c r="AC551" s="11" t="str">
        <f t="shared" si="33"/>
        <v/>
      </c>
      <c r="AD551" s="73">
        <f t="shared" si="34"/>
        <v>1</v>
      </c>
      <c r="AE551" s="11" t="str">
        <f t="shared" si="35"/>
        <v/>
      </c>
      <c r="AF551" s="73">
        <f t="shared" si="36"/>
        <v>4.0005509999999997</v>
      </c>
      <c r="AG551" s="11" t="str">
        <f t="shared" si="37"/>
        <v/>
      </c>
      <c r="AH551" s="73">
        <f t="shared" si="38"/>
        <v>1.000551</v>
      </c>
    </row>
    <row r="552" spans="1:34" ht="14.25" customHeight="1">
      <c r="A552" s="11">
        <v>537</v>
      </c>
      <c r="B552" s="66" t="s">
        <v>35</v>
      </c>
      <c r="C552" s="67">
        <v>45352</v>
      </c>
      <c r="D552" s="67"/>
      <c r="E552" s="67"/>
      <c r="F552" s="67"/>
      <c r="G552" s="67"/>
      <c r="H552" s="67"/>
      <c r="I552" s="6" t="s">
        <v>1141</v>
      </c>
      <c r="J552" s="9">
        <v>3088702790</v>
      </c>
      <c r="K552" s="68">
        <v>45351</v>
      </c>
      <c r="L552" s="68">
        <v>46022</v>
      </c>
      <c r="M552" s="68">
        <v>46203</v>
      </c>
      <c r="N552" s="69">
        <f t="shared" si="26"/>
        <v>2</v>
      </c>
      <c r="O552" s="69">
        <f t="shared" si="27"/>
        <v>3</v>
      </c>
      <c r="P552" s="70">
        <v>7</v>
      </c>
      <c r="Q552" s="70">
        <v>6</v>
      </c>
      <c r="R552" s="70">
        <v>9</v>
      </c>
      <c r="S552" s="68" t="str">
        <f t="shared" si="28"/>
        <v/>
      </c>
      <c r="T552" s="68"/>
      <c r="U552" s="68"/>
      <c r="V552" s="68"/>
      <c r="W552" s="9"/>
      <c r="X552" s="10"/>
      <c r="Y552" s="71">
        <f t="shared" si="29"/>
        <v>6</v>
      </c>
      <c r="Z552" s="73">
        <f t="shared" si="30"/>
        <v>9</v>
      </c>
      <c r="AA552" s="73">
        <f t="shared" si="31"/>
        <v>2</v>
      </c>
      <c r="AB552" s="11" t="str">
        <f t="shared" si="32"/>
        <v/>
      </c>
      <c r="AC552" s="73">
        <f t="shared" si="33"/>
        <v>3</v>
      </c>
      <c r="AD552" s="11" t="str">
        <f t="shared" si="34"/>
        <v/>
      </c>
      <c r="AE552" s="73">
        <f t="shared" si="35"/>
        <v>2.0005519999999999</v>
      </c>
      <c r="AF552" s="11" t="str">
        <f t="shared" si="36"/>
        <v/>
      </c>
      <c r="AG552" s="73">
        <f t="shared" si="37"/>
        <v>3.0005519999999999</v>
      </c>
      <c r="AH552" s="11" t="str">
        <f t="shared" si="38"/>
        <v/>
      </c>
    </row>
    <row r="553" spans="1:34" ht="14.25" customHeight="1">
      <c r="A553" s="11">
        <v>538</v>
      </c>
      <c r="B553" s="66"/>
      <c r="C553" s="67"/>
      <c r="D553" s="67"/>
      <c r="E553" s="67"/>
      <c r="F553" s="67"/>
      <c r="G553" s="67" t="s">
        <v>35</v>
      </c>
      <c r="H553" s="67">
        <v>45863</v>
      </c>
      <c r="I553" s="6" t="s">
        <v>1142</v>
      </c>
      <c r="J553" s="94">
        <v>3088801949</v>
      </c>
      <c r="K553" s="68">
        <v>45838</v>
      </c>
      <c r="L553" s="68">
        <v>46022</v>
      </c>
      <c r="M553" s="68">
        <v>46203</v>
      </c>
      <c r="N553" s="69">
        <f t="shared" si="26"/>
        <v>0</v>
      </c>
      <c r="O553" s="69">
        <f t="shared" si="27"/>
        <v>0</v>
      </c>
      <c r="P553" s="70">
        <v>5</v>
      </c>
      <c r="Q553" s="70">
        <v>5</v>
      </c>
      <c r="R553" s="70">
        <v>5</v>
      </c>
      <c r="S553" s="68" t="str">
        <f t="shared" si="28"/>
        <v/>
      </c>
      <c r="T553" s="68"/>
      <c r="U553" s="95"/>
      <c r="V553" s="68"/>
      <c r="W553" s="6"/>
      <c r="X553" s="10"/>
      <c r="Y553" s="71">
        <f t="shared" si="29"/>
        <v>5</v>
      </c>
      <c r="Z553" s="73">
        <f t="shared" si="30"/>
        <v>5</v>
      </c>
      <c r="AA553" s="11" t="str">
        <f t="shared" si="31"/>
        <v/>
      </c>
      <c r="AB553" s="73">
        <f t="shared" si="32"/>
        <v>0</v>
      </c>
      <c r="AC553" s="11" t="str">
        <f t="shared" si="33"/>
        <v/>
      </c>
      <c r="AD553" s="73">
        <f t="shared" si="34"/>
        <v>0</v>
      </c>
      <c r="AE553" s="11" t="str">
        <f t="shared" si="35"/>
        <v/>
      </c>
      <c r="AF553" s="73">
        <f t="shared" si="36"/>
        <v>5.53E-4</v>
      </c>
      <c r="AG553" s="11" t="str">
        <f t="shared" si="37"/>
        <v/>
      </c>
      <c r="AH553" s="73">
        <f t="shared" si="38"/>
        <v>5.53E-4</v>
      </c>
    </row>
    <row r="554" spans="1:34" ht="14.25" customHeight="1">
      <c r="A554" s="11">
        <v>539</v>
      </c>
      <c r="B554" s="66"/>
      <c r="C554" s="67"/>
      <c r="D554" s="67"/>
      <c r="E554" s="67"/>
      <c r="F554" s="67"/>
      <c r="G554" s="67" t="s">
        <v>35</v>
      </c>
      <c r="H554" s="67">
        <v>43544</v>
      </c>
      <c r="I554" s="6" t="s">
        <v>1143</v>
      </c>
      <c r="J554" s="9">
        <v>3118700503</v>
      </c>
      <c r="K554" s="68">
        <v>43524</v>
      </c>
      <c r="L554" s="68">
        <v>46022</v>
      </c>
      <c r="M554" s="68">
        <v>46203</v>
      </c>
      <c r="N554" s="69">
        <f t="shared" si="26"/>
        <v>-4</v>
      </c>
      <c r="O554" s="69">
        <f t="shared" si="27"/>
        <v>-1</v>
      </c>
      <c r="P554" s="70">
        <v>8</v>
      </c>
      <c r="Q554" s="70">
        <v>5</v>
      </c>
      <c r="R554" s="70">
        <v>4</v>
      </c>
      <c r="S554" s="68" t="str">
        <f t="shared" si="28"/>
        <v/>
      </c>
      <c r="T554" s="68"/>
      <c r="U554" s="68"/>
      <c r="V554" s="68"/>
      <c r="W554" s="9"/>
      <c r="X554" s="10"/>
      <c r="Y554" s="71">
        <f t="shared" si="29"/>
        <v>5</v>
      </c>
      <c r="Z554" s="73">
        <f t="shared" si="30"/>
        <v>4</v>
      </c>
      <c r="AA554" s="11" t="str">
        <f t="shared" si="31"/>
        <v/>
      </c>
      <c r="AB554" s="73">
        <f t="shared" si="32"/>
        <v>-4</v>
      </c>
      <c r="AC554" s="11" t="str">
        <f t="shared" si="33"/>
        <v/>
      </c>
      <c r="AD554" s="73">
        <f t="shared" si="34"/>
        <v>-1</v>
      </c>
      <c r="AE554" s="11" t="str">
        <f t="shared" si="35"/>
        <v/>
      </c>
      <c r="AF554" s="73">
        <f t="shared" si="36"/>
        <v>-3.9994459999999998</v>
      </c>
      <c r="AG554" s="11" t="str">
        <f t="shared" si="37"/>
        <v/>
      </c>
      <c r="AH554" s="73">
        <f t="shared" si="38"/>
        <v>-0.99944599999999995</v>
      </c>
    </row>
    <row r="555" spans="1:34" ht="14.25" customHeight="1">
      <c r="A555" s="11">
        <v>540</v>
      </c>
      <c r="B555" s="66" t="s">
        <v>35</v>
      </c>
      <c r="C555" s="67">
        <v>44260</v>
      </c>
      <c r="D555" s="67">
        <v>44642</v>
      </c>
      <c r="E555" s="67"/>
      <c r="F555" s="67"/>
      <c r="G555" s="67" t="s">
        <v>35</v>
      </c>
      <c r="H555" s="67">
        <v>44627</v>
      </c>
      <c r="I555" s="6" t="s">
        <v>1144</v>
      </c>
      <c r="J555" s="9">
        <v>3118701220</v>
      </c>
      <c r="K555" s="68">
        <v>44255</v>
      </c>
      <c r="L555" s="68">
        <v>46022</v>
      </c>
      <c r="M555" s="68">
        <v>46203</v>
      </c>
      <c r="N555" s="69">
        <f t="shared" si="26"/>
        <v>-6</v>
      </c>
      <c r="O555" s="69">
        <f t="shared" si="27"/>
        <v>-3</v>
      </c>
      <c r="P555" s="70">
        <v>10</v>
      </c>
      <c r="Q555" s="70">
        <v>7</v>
      </c>
      <c r="R555" s="70">
        <v>4</v>
      </c>
      <c r="S555" s="68" t="str">
        <f t="shared" si="28"/>
        <v/>
      </c>
      <c r="T555" s="68"/>
      <c r="U555" s="68"/>
      <c r="V555" s="68"/>
      <c r="W555" s="9"/>
      <c r="X555" s="10"/>
      <c r="Y555" s="71">
        <f t="shared" si="29"/>
        <v>7</v>
      </c>
      <c r="Z555" s="73">
        <f t="shared" si="30"/>
        <v>4</v>
      </c>
      <c r="AA555" s="73">
        <f t="shared" si="31"/>
        <v>-6</v>
      </c>
      <c r="AB555" s="73">
        <f t="shared" si="32"/>
        <v>-6</v>
      </c>
      <c r="AC555" s="73">
        <f t="shared" si="33"/>
        <v>-3</v>
      </c>
      <c r="AD555" s="73">
        <f t="shared" si="34"/>
        <v>-3</v>
      </c>
      <c r="AE555" s="73">
        <f t="shared" si="35"/>
        <v>-5.9994449999999997</v>
      </c>
      <c r="AF555" s="73">
        <f t="shared" si="36"/>
        <v>-5.9994449999999997</v>
      </c>
      <c r="AG555" s="73">
        <f t="shared" si="37"/>
        <v>-2.9994450000000001</v>
      </c>
      <c r="AH555" s="73">
        <f t="shared" si="38"/>
        <v>-2.9994450000000001</v>
      </c>
    </row>
    <row r="556" spans="1:34" ht="14.25" customHeight="1">
      <c r="A556" s="11">
        <v>541</v>
      </c>
      <c r="B556" s="66"/>
      <c r="C556" s="67"/>
      <c r="D556" s="67"/>
      <c r="E556" s="67"/>
      <c r="F556" s="67"/>
      <c r="G556" s="67" t="s">
        <v>35</v>
      </c>
      <c r="H556" s="67">
        <v>45323</v>
      </c>
      <c r="I556" s="6" t="s">
        <v>1145</v>
      </c>
      <c r="J556" s="9">
        <v>3128135906</v>
      </c>
      <c r="K556" s="68">
        <v>45322</v>
      </c>
      <c r="L556" s="68">
        <v>46022</v>
      </c>
      <c r="M556" s="68">
        <v>46203</v>
      </c>
      <c r="N556" s="69">
        <f t="shared" si="26"/>
        <v>-10</v>
      </c>
      <c r="O556" s="69">
        <f t="shared" si="27"/>
        <v>-18</v>
      </c>
      <c r="P556" s="70">
        <v>49</v>
      </c>
      <c r="Q556" s="70">
        <v>57</v>
      </c>
      <c r="R556" s="70">
        <v>39</v>
      </c>
      <c r="S556" s="68" t="str">
        <f t="shared" si="28"/>
        <v/>
      </c>
      <c r="T556" s="68"/>
      <c r="U556" s="68"/>
      <c r="V556" s="68"/>
      <c r="W556" s="9"/>
      <c r="X556" s="10"/>
      <c r="Y556" s="71">
        <f t="shared" si="29"/>
        <v>57</v>
      </c>
      <c r="Z556" s="73">
        <f t="shared" si="30"/>
        <v>39</v>
      </c>
      <c r="AA556" s="11" t="str">
        <f t="shared" si="31"/>
        <v/>
      </c>
      <c r="AB556" s="73">
        <f t="shared" si="32"/>
        <v>-10</v>
      </c>
      <c r="AC556" s="11" t="str">
        <f t="shared" si="33"/>
        <v/>
      </c>
      <c r="AD556" s="73">
        <f t="shared" si="34"/>
        <v>-18</v>
      </c>
      <c r="AE556" s="11" t="str">
        <f t="shared" si="35"/>
        <v/>
      </c>
      <c r="AF556" s="73">
        <f t="shared" si="36"/>
        <v>-9.9994440000000004</v>
      </c>
      <c r="AG556" s="11" t="str">
        <f t="shared" si="37"/>
        <v/>
      </c>
      <c r="AH556" s="73">
        <f t="shared" si="38"/>
        <v>-17.999444</v>
      </c>
    </row>
    <row r="557" spans="1:34" ht="14.25" customHeight="1">
      <c r="A557" s="11">
        <v>542</v>
      </c>
      <c r="B557" s="66"/>
      <c r="C557" s="67"/>
      <c r="D557" s="67"/>
      <c r="E557" s="67"/>
      <c r="F557" s="67"/>
      <c r="G557" s="67" t="s">
        <v>35</v>
      </c>
      <c r="H557" s="67">
        <v>45181</v>
      </c>
      <c r="I557" s="6" t="s">
        <v>1146</v>
      </c>
      <c r="J557" s="9">
        <v>3128188266</v>
      </c>
      <c r="K557" s="68">
        <v>45169</v>
      </c>
      <c r="L557" s="68">
        <v>46022</v>
      </c>
      <c r="M557" s="68">
        <v>46203</v>
      </c>
      <c r="N557" s="69">
        <f t="shared" si="26"/>
        <v>3</v>
      </c>
      <c r="O557" s="69">
        <f t="shared" si="27"/>
        <v>5</v>
      </c>
      <c r="P557" s="70">
        <v>28</v>
      </c>
      <c r="Q557" s="70">
        <v>26</v>
      </c>
      <c r="R557" s="70">
        <v>31</v>
      </c>
      <c r="S557" s="68" t="str">
        <f t="shared" si="28"/>
        <v/>
      </c>
      <c r="T557" s="68"/>
      <c r="U557" s="68"/>
      <c r="V557" s="68"/>
      <c r="W557" s="9"/>
      <c r="X557" s="10"/>
      <c r="Y557" s="71">
        <f t="shared" si="29"/>
        <v>26</v>
      </c>
      <c r="Z557" s="73">
        <f t="shared" si="30"/>
        <v>31</v>
      </c>
      <c r="AA557" s="11" t="str">
        <f t="shared" si="31"/>
        <v/>
      </c>
      <c r="AB557" s="73">
        <f t="shared" si="32"/>
        <v>3</v>
      </c>
      <c r="AC557" s="11" t="str">
        <f t="shared" si="33"/>
        <v/>
      </c>
      <c r="AD557" s="73">
        <f t="shared" si="34"/>
        <v>5</v>
      </c>
      <c r="AE557" s="11" t="str">
        <f t="shared" si="35"/>
        <v/>
      </c>
      <c r="AF557" s="73">
        <f t="shared" si="36"/>
        <v>3.0005570000000001</v>
      </c>
      <c r="AG557" s="11" t="str">
        <f t="shared" si="37"/>
        <v/>
      </c>
      <c r="AH557" s="73">
        <f t="shared" si="38"/>
        <v>5.0005569999999997</v>
      </c>
    </row>
    <row r="558" spans="1:34" ht="14.25" customHeight="1">
      <c r="A558" s="11">
        <v>543</v>
      </c>
      <c r="B558" s="66"/>
      <c r="C558" s="67"/>
      <c r="D558" s="67"/>
      <c r="E558" s="67"/>
      <c r="F558" s="67"/>
      <c r="G558" s="67" t="s">
        <v>35</v>
      </c>
      <c r="H558" s="67">
        <v>43959</v>
      </c>
      <c r="I558" s="6" t="s">
        <v>1147</v>
      </c>
      <c r="J558" s="9">
        <v>3128674302</v>
      </c>
      <c r="K558" s="68">
        <v>43951</v>
      </c>
      <c r="L558" s="68">
        <v>46022</v>
      </c>
      <c r="M558" s="68">
        <v>46203</v>
      </c>
      <c r="N558" s="69">
        <f t="shared" si="26"/>
        <v>7</v>
      </c>
      <c r="O558" s="69">
        <f t="shared" si="27"/>
        <v>0</v>
      </c>
      <c r="P558" s="70">
        <v>11</v>
      </c>
      <c r="Q558" s="70">
        <v>18</v>
      </c>
      <c r="R558" s="70">
        <v>18</v>
      </c>
      <c r="S558" s="68" t="str">
        <f t="shared" si="28"/>
        <v/>
      </c>
      <c r="T558" s="68"/>
      <c r="U558" s="68"/>
      <c r="V558" s="68"/>
      <c r="W558" s="9"/>
      <c r="X558" s="10"/>
      <c r="Y558" s="71">
        <f t="shared" si="29"/>
        <v>18</v>
      </c>
      <c r="Z558" s="73">
        <f t="shared" si="30"/>
        <v>18</v>
      </c>
      <c r="AA558" s="11" t="str">
        <f t="shared" si="31"/>
        <v/>
      </c>
      <c r="AB558" s="73">
        <f t="shared" si="32"/>
        <v>7</v>
      </c>
      <c r="AC558" s="11" t="str">
        <f t="shared" si="33"/>
        <v/>
      </c>
      <c r="AD558" s="73">
        <f t="shared" si="34"/>
        <v>0</v>
      </c>
      <c r="AE558" s="11" t="str">
        <f t="shared" si="35"/>
        <v/>
      </c>
      <c r="AF558" s="73">
        <f t="shared" si="36"/>
        <v>7.0005579999999998</v>
      </c>
      <c r="AG558" s="11" t="str">
        <f t="shared" si="37"/>
        <v/>
      </c>
      <c r="AH558" s="73">
        <f t="shared" si="38"/>
        <v>5.5800000000000001E-4</v>
      </c>
    </row>
    <row r="559" spans="1:34" ht="14.25" customHeight="1">
      <c r="A559" s="11">
        <v>544</v>
      </c>
      <c r="B559" s="66"/>
      <c r="C559" s="67"/>
      <c r="D559" s="67"/>
      <c r="E559" s="67"/>
      <c r="F559" s="67"/>
      <c r="G559" s="67" t="s">
        <v>35</v>
      </c>
      <c r="H559" s="67">
        <v>45244</v>
      </c>
      <c r="I559" s="6" t="s">
        <v>1148</v>
      </c>
      <c r="J559" s="94">
        <v>3131802345</v>
      </c>
      <c r="K559" s="68">
        <v>45930</v>
      </c>
      <c r="L559" s="68">
        <v>46022</v>
      </c>
      <c r="M559" s="68">
        <v>46203</v>
      </c>
      <c r="N559" s="69">
        <f t="shared" si="26"/>
        <v>0</v>
      </c>
      <c r="O559" s="69">
        <f t="shared" si="27"/>
        <v>0</v>
      </c>
      <c r="P559" s="78">
        <v>0</v>
      </c>
      <c r="Q559" s="78">
        <v>0</v>
      </c>
      <c r="R559" s="78">
        <v>0</v>
      </c>
      <c r="S559" s="68" t="str">
        <f t="shared" si="28"/>
        <v/>
      </c>
      <c r="T559" s="68"/>
      <c r="U559" s="95"/>
      <c r="V559" s="68"/>
      <c r="W559" s="6"/>
      <c r="X559" s="93" t="s">
        <v>1149</v>
      </c>
      <c r="Y559" s="71">
        <f t="shared" si="29"/>
        <v>0</v>
      </c>
      <c r="Z559" s="73">
        <f t="shared" si="30"/>
        <v>0</v>
      </c>
      <c r="AA559" s="11" t="str">
        <f t="shared" si="31"/>
        <v/>
      </c>
      <c r="AB559" s="73">
        <f t="shared" si="32"/>
        <v>0</v>
      </c>
      <c r="AC559" s="11" t="str">
        <f t="shared" si="33"/>
        <v/>
      </c>
      <c r="AD559" s="73">
        <f t="shared" si="34"/>
        <v>0</v>
      </c>
      <c r="AE559" s="11" t="str">
        <f t="shared" si="35"/>
        <v/>
      </c>
      <c r="AF559" s="73">
        <f t="shared" si="36"/>
        <v>5.5900000000000004E-4</v>
      </c>
      <c r="AG559" s="11" t="str">
        <f t="shared" si="37"/>
        <v/>
      </c>
      <c r="AH559" s="73">
        <f t="shared" si="38"/>
        <v>5.5900000000000004E-4</v>
      </c>
    </row>
    <row r="560" spans="1:34" ht="14.25" customHeight="1">
      <c r="A560" s="11">
        <v>545</v>
      </c>
      <c r="B560" s="66"/>
      <c r="C560" s="67"/>
      <c r="D560" s="67"/>
      <c r="E560" s="67"/>
      <c r="F560" s="67"/>
      <c r="G560" s="67" t="s">
        <v>35</v>
      </c>
      <c r="H560" s="67">
        <v>45931</v>
      </c>
      <c r="I560" s="6" t="s">
        <v>1150</v>
      </c>
      <c r="J560" s="94">
        <v>3138135476</v>
      </c>
      <c r="K560" s="68">
        <v>45930</v>
      </c>
      <c r="L560" s="68">
        <v>46022</v>
      </c>
      <c r="M560" s="68">
        <v>46203</v>
      </c>
      <c r="N560" s="69">
        <f t="shared" si="26"/>
        <v>7</v>
      </c>
      <c r="O560" s="69">
        <f t="shared" si="27"/>
        <v>4</v>
      </c>
      <c r="P560" s="70">
        <v>12</v>
      </c>
      <c r="Q560" s="70">
        <v>15</v>
      </c>
      <c r="R560" s="70">
        <v>19</v>
      </c>
      <c r="S560" s="68" t="str">
        <f t="shared" si="28"/>
        <v/>
      </c>
      <c r="T560" s="68"/>
      <c r="U560" s="95"/>
      <c r="V560" s="68"/>
      <c r="W560" s="6"/>
      <c r="X560" s="10"/>
      <c r="Y560" s="71">
        <f t="shared" si="29"/>
        <v>15</v>
      </c>
      <c r="Z560" s="73">
        <f t="shared" si="30"/>
        <v>19</v>
      </c>
      <c r="AA560" s="11" t="str">
        <f t="shared" si="31"/>
        <v/>
      </c>
      <c r="AB560" s="73">
        <f t="shared" si="32"/>
        <v>7</v>
      </c>
      <c r="AC560" s="11" t="str">
        <f t="shared" si="33"/>
        <v/>
      </c>
      <c r="AD560" s="73">
        <f t="shared" si="34"/>
        <v>4</v>
      </c>
      <c r="AE560" s="11" t="str">
        <f t="shared" si="35"/>
        <v/>
      </c>
      <c r="AF560" s="73">
        <f t="shared" si="36"/>
        <v>7.0005600000000001</v>
      </c>
      <c r="AG560" s="11" t="str">
        <f t="shared" si="37"/>
        <v/>
      </c>
      <c r="AH560" s="73">
        <f t="shared" si="38"/>
        <v>4.0005600000000001</v>
      </c>
    </row>
    <row r="561" spans="1:34" ht="14.25" customHeight="1">
      <c r="A561" s="11">
        <v>546</v>
      </c>
      <c r="B561" s="66"/>
      <c r="C561" s="67"/>
      <c r="D561" s="67"/>
      <c r="E561" s="67"/>
      <c r="F561" s="67"/>
      <c r="G561" s="67" t="s">
        <v>35</v>
      </c>
      <c r="H561" s="67">
        <v>43920</v>
      </c>
      <c r="I561" s="6" t="s">
        <v>1151</v>
      </c>
      <c r="J561" s="9">
        <v>3138600797</v>
      </c>
      <c r="K561" s="68">
        <v>43890</v>
      </c>
      <c r="L561" s="68">
        <v>46022</v>
      </c>
      <c r="M561" s="68">
        <v>46203</v>
      </c>
      <c r="N561" s="69">
        <f t="shared" si="26"/>
        <v>130</v>
      </c>
      <c r="O561" s="69">
        <f t="shared" si="27"/>
        <v>27</v>
      </c>
      <c r="P561" s="70">
        <v>22</v>
      </c>
      <c r="Q561" s="70">
        <v>125</v>
      </c>
      <c r="R561" s="70">
        <v>152</v>
      </c>
      <c r="S561" s="68" t="str">
        <f t="shared" si="28"/>
        <v/>
      </c>
      <c r="T561" s="68"/>
      <c r="U561" s="68"/>
      <c r="V561" s="68"/>
      <c r="W561" s="9"/>
      <c r="X561" s="10"/>
      <c r="Y561" s="71">
        <f t="shared" si="29"/>
        <v>125</v>
      </c>
      <c r="Z561" s="73">
        <f t="shared" si="30"/>
        <v>152</v>
      </c>
      <c r="AA561" s="11" t="str">
        <f t="shared" si="31"/>
        <v/>
      </c>
      <c r="AB561" s="73">
        <f t="shared" si="32"/>
        <v>130</v>
      </c>
      <c r="AC561" s="11" t="str">
        <f t="shared" si="33"/>
        <v/>
      </c>
      <c r="AD561" s="73">
        <f t="shared" si="34"/>
        <v>27</v>
      </c>
      <c r="AE561" s="11" t="str">
        <f t="shared" si="35"/>
        <v/>
      </c>
      <c r="AF561" s="73">
        <f t="shared" si="36"/>
        <v>130.000561</v>
      </c>
      <c r="AG561" s="11" t="str">
        <f t="shared" si="37"/>
        <v/>
      </c>
      <c r="AH561" s="73">
        <f t="shared" si="38"/>
        <v>27.000561000000001</v>
      </c>
    </row>
    <row r="562" spans="1:34" ht="14.25" customHeight="1">
      <c r="A562" s="11">
        <v>547</v>
      </c>
      <c r="B562" s="66"/>
      <c r="C562" s="67"/>
      <c r="D562" s="67"/>
      <c r="E562" s="67"/>
      <c r="F562" s="67"/>
      <c r="G562" s="67" t="s">
        <v>35</v>
      </c>
      <c r="H562" s="67">
        <v>45805</v>
      </c>
      <c r="I562" s="6" t="s">
        <v>1152</v>
      </c>
      <c r="J562" s="9">
        <v>3138602984</v>
      </c>
      <c r="K562" s="68">
        <v>45777</v>
      </c>
      <c r="L562" s="68">
        <v>46022</v>
      </c>
      <c r="M562" s="68">
        <v>46203</v>
      </c>
      <c r="N562" s="69">
        <f t="shared" si="26"/>
        <v>3</v>
      </c>
      <c r="O562" s="69">
        <f t="shared" si="27"/>
        <v>1</v>
      </c>
      <c r="P562" s="70">
        <v>6</v>
      </c>
      <c r="Q562" s="70">
        <v>8</v>
      </c>
      <c r="R562" s="70">
        <v>9</v>
      </c>
      <c r="S562" s="68" t="str">
        <f t="shared" si="28"/>
        <v/>
      </c>
      <c r="T562" s="68"/>
      <c r="U562" s="68"/>
      <c r="V562" s="68"/>
      <c r="W562" s="9"/>
      <c r="X562" s="10"/>
      <c r="Y562" s="71">
        <f t="shared" si="29"/>
        <v>8</v>
      </c>
      <c r="Z562" s="73">
        <f t="shared" si="30"/>
        <v>9</v>
      </c>
      <c r="AA562" s="11" t="str">
        <f t="shared" si="31"/>
        <v/>
      </c>
      <c r="AB562" s="73">
        <f t="shared" si="32"/>
        <v>3</v>
      </c>
      <c r="AC562" s="11" t="str">
        <f t="shared" si="33"/>
        <v/>
      </c>
      <c r="AD562" s="73">
        <f t="shared" si="34"/>
        <v>1</v>
      </c>
      <c r="AE562" s="11" t="str">
        <f t="shared" si="35"/>
        <v/>
      </c>
      <c r="AF562" s="73">
        <f t="shared" si="36"/>
        <v>3.000562</v>
      </c>
      <c r="AG562" s="11" t="str">
        <f t="shared" si="37"/>
        <v/>
      </c>
      <c r="AH562" s="73">
        <f t="shared" si="38"/>
        <v>1.000562</v>
      </c>
    </row>
    <row r="563" spans="1:34" ht="14.25" customHeight="1">
      <c r="A563" s="11">
        <v>548</v>
      </c>
      <c r="B563" s="66" t="s">
        <v>35</v>
      </c>
      <c r="C563" s="67">
        <v>44378</v>
      </c>
      <c r="D563" s="67"/>
      <c r="E563" s="67"/>
      <c r="F563" s="67"/>
      <c r="G563" s="67"/>
      <c r="H563" s="67"/>
      <c r="I563" s="6" t="s">
        <v>1153</v>
      </c>
      <c r="J563" s="9">
        <v>3138801733</v>
      </c>
      <c r="K563" s="68">
        <v>44377</v>
      </c>
      <c r="L563" s="68">
        <v>46022</v>
      </c>
      <c r="M563" s="68">
        <v>46203</v>
      </c>
      <c r="N563" s="69">
        <f t="shared" si="26"/>
        <v>-15</v>
      </c>
      <c r="O563" s="69">
        <f t="shared" si="27"/>
        <v>-3</v>
      </c>
      <c r="P563" s="70">
        <v>19</v>
      </c>
      <c r="Q563" s="70">
        <v>7</v>
      </c>
      <c r="R563" s="70">
        <v>4</v>
      </c>
      <c r="S563" s="68" t="str">
        <f t="shared" si="28"/>
        <v/>
      </c>
      <c r="T563" s="68"/>
      <c r="U563" s="68"/>
      <c r="V563" s="68"/>
      <c r="W563" s="9"/>
      <c r="X563" s="10"/>
      <c r="Y563" s="71">
        <f t="shared" si="29"/>
        <v>7</v>
      </c>
      <c r="Z563" s="73">
        <f t="shared" si="30"/>
        <v>4</v>
      </c>
      <c r="AA563" s="73">
        <f t="shared" si="31"/>
        <v>-15</v>
      </c>
      <c r="AB563" s="11" t="str">
        <f t="shared" si="32"/>
        <v/>
      </c>
      <c r="AC563" s="73">
        <f t="shared" si="33"/>
        <v>-3</v>
      </c>
      <c r="AD563" s="11" t="str">
        <f t="shared" si="34"/>
        <v/>
      </c>
      <c r="AE563" s="73">
        <f t="shared" si="35"/>
        <v>-14.999437</v>
      </c>
      <c r="AF563" s="11" t="str">
        <f t="shared" si="36"/>
        <v/>
      </c>
      <c r="AG563" s="73">
        <f t="shared" si="37"/>
        <v>-2.9994369999999999</v>
      </c>
      <c r="AH563" s="11" t="str">
        <f t="shared" si="38"/>
        <v/>
      </c>
    </row>
    <row r="564" spans="1:34" ht="14.25" customHeight="1">
      <c r="A564" s="11">
        <v>549</v>
      </c>
      <c r="B564" s="66"/>
      <c r="C564" s="67"/>
      <c r="D564" s="67"/>
      <c r="E564" s="67"/>
      <c r="F564" s="67"/>
      <c r="G564" s="67" t="s">
        <v>35</v>
      </c>
      <c r="H564" s="67">
        <v>46014</v>
      </c>
      <c r="I564" s="6" t="s">
        <v>1154</v>
      </c>
      <c r="J564" s="94">
        <v>3148124273</v>
      </c>
      <c r="K564" s="68">
        <v>45991</v>
      </c>
      <c r="L564" s="68">
        <v>46022</v>
      </c>
      <c r="M564" s="68">
        <v>46203</v>
      </c>
      <c r="N564" s="69">
        <f t="shared" si="26"/>
        <v>13</v>
      </c>
      <c r="O564" s="69">
        <f t="shared" si="27"/>
        <v>9</v>
      </c>
      <c r="P564" s="70">
        <v>101</v>
      </c>
      <c r="Q564" s="70">
        <v>105</v>
      </c>
      <c r="R564" s="70">
        <v>114</v>
      </c>
      <c r="S564" s="68" t="str">
        <f t="shared" si="28"/>
        <v/>
      </c>
      <c r="T564" s="68"/>
      <c r="U564" s="95"/>
      <c r="V564" s="68"/>
      <c r="W564" s="6"/>
      <c r="X564" s="10"/>
      <c r="Y564" s="71">
        <f t="shared" si="29"/>
        <v>105</v>
      </c>
      <c r="Z564" s="73">
        <f t="shared" si="30"/>
        <v>114</v>
      </c>
      <c r="AA564" s="11" t="str">
        <f t="shared" si="31"/>
        <v/>
      </c>
      <c r="AB564" s="73">
        <f t="shared" si="32"/>
        <v>13</v>
      </c>
      <c r="AC564" s="11" t="str">
        <f t="shared" si="33"/>
        <v/>
      </c>
      <c r="AD564" s="73">
        <f t="shared" si="34"/>
        <v>9</v>
      </c>
      <c r="AE564" s="11" t="str">
        <f t="shared" si="35"/>
        <v/>
      </c>
      <c r="AF564" s="73">
        <f t="shared" si="36"/>
        <v>13.000564000000001</v>
      </c>
      <c r="AG564" s="11" t="str">
        <f t="shared" si="37"/>
        <v/>
      </c>
      <c r="AH564" s="73">
        <f t="shared" si="38"/>
        <v>9.0005640000000007</v>
      </c>
    </row>
    <row r="565" spans="1:34" ht="14.25" customHeight="1">
      <c r="A565" s="11">
        <v>550</v>
      </c>
      <c r="B565" s="66"/>
      <c r="C565" s="67"/>
      <c r="D565" s="67"/>
      <c r="E565" s="67"/>
      <c r="F565" s="67"/>
      <c r="G565" s="67" t="s">
        <v>35</v>
      </c>
      <c r="H565" s="67">
        <v>45869</v>
      </c>
      <c r="I565" s="6" t="s">
        <v>1155</v>
      </c>
      <c r="J565" s="94">
        <v>3148139908</v>
      </c>
      <c r="K565" s="68">
        <v>45838</v>
      </c>
      <c r="L565" s="68">
        <v>46022</v>
      </c>
      <c r="M565" s="68">
        <v>46203</v>
      </c>
      <c r="N565" s="69">
        <f t="shared" si="26"/>
        <v>-2</v>
      </c>
      <c r="O565" s="69">
        <f t="shared" si="27"/>
        <v>0</v>
      </c>
      <c r="P565" s="70">
        <v>28</v>
      </c>
      <c r="Q565" s="70">
        <v>26</v>
      </c>
      <c r="R565" s="70">
        <v>26</v>
      </c>
      <c r="S565" s="68" t="str">
        <f t="shared" si="28"/>
        <v/>
      </c>
      <c r="T565" s="68"/>
      <c r="U565" s="95"/>
      <c r="V565" s="68"/>
      <c r="W565" s="6"/>
      <c r="X565" s="10"/>
      <c r="Y565" s="71">
        <f t="shared" si="29"/>
        <v>26</v>
      </c>
      <c r="Z565" s="73">
        <f t="shared" si="30"/>
        <v>26</v>
      </c>
      <c r="AA565" s="11" t="str">
        <f t="shared" si="31"/>
        <v/>
      </c>
      <c r="AB565" s="73">
        <f t="shared" si="32"/>
        <v>-2</v>
      </c>
      <c r="AC565" s="11" t="str">
        <f t="shared" si="33"/>
        <v/>
      </c>
      <c r="AD565" s="73">
        <f t="shared" si="34"/>
        <v>0</v>
      </c>
      <c r="AE565" s="11" t="str">
        <f t="shared" si="35"/>
        <v/>
      </c>
      <c r="AF565" s="73">
        <f t="shared" si="36"/>
        <v>-1.9994350000000001</v>
      </c>
      <c r="AG565" s="11" t="str">
        <f t="shared" si="37"/>
        <v/>
      </c>
      <c r="AH565" s="73">
        <f t="shared" si="38"/>
        <v>5.6499999999999996E-4</v>
      </c>
    </row>
    <row r="566" spans="1:34" ht="14.25" customHeight="1">
      <c r="A566" s="11">
        <v>551</v>
      </c>
      <c r="B566" s="66"/>
      <c r="C566" s="67"/>
      <c r="D566" s="67"/>
      <c r="E566" s="67"/>
      <c r="F566" s="67"/>
      <c r="G566" s="67" t="s">
        <v>35</v>
      </c>
      <c r="H566" s="67">
        <v>43789</v>
      </c>
      <c r="I566" s="6" t="s">
        <v>1156</v>
      </c>
      <c r="J566" s="9">
        <v>3148192320</v>
      </c>
      <c r="K566" s="68">
        <v>43769</v>
      </c>
      <c r="L566" s="68">
        <v>46022</v>
      </c>
      <c r="M566" s="68">
        <v>46203</v>
      </c>
      <c r="N566" s="69">
        <f t="shared" si="26"/>
        <v>22</v>
      </c>
      <c r="O566" s="69">
        <f t="shared" si="27"/>
        <v>-1</v>
      </c>
      <c r="P566" s="70">
        <v>15</v>
      </c>
      <c r="Q566" s="70">
        <v>38</v>
      </c>
      <c r="R566" s="70">
        <v>37</v>
      </c>
      <c r="S566" s="68" t="str">
        <f t="shared" si="28"/>
        <v/>
      </c>
      <c r="T566" s="68"/>
      <c r="U566" s="68"/>
      <c r="V566" s="68"/>
      <c r="W566" s="9"/>
      <c r="X566" s="10"/>
      <c r="Y566" s="71">
        <f t="shared" si="29"/>
        <v>38</v>
      </c>
      <c r="Z566" s="73">
        <f t="shared" si="30"/>
        <v>37</v>
      </c>
      <c r="AA566" s="11" t="str">
        <f t="shared" si="31"/>
        <v/>
      </c>
      <c r="AB566" s="73">
        <f t="shared" si="32"/>
        <v>22</v>
      </c>
      <c r="AC566" s="11" t="str">
        <f t="shared" si="33"/>
        <v/>
      </c>
      <c r="AD566" s="73">
        <f t="shared" si="34"/>
        <v>-1</v>
      </c>
      <c r="AE566" s="11" t="str">
        <f t="shared" si="35"/>
        <v/>
      </c>
      <c r="AF566" s="73">
        <f t="shared" si="36"/>
        <v>22.000565999999999</v>
      </c>
      <c r="AG566" s="11" t="str">
        <f t="shared" si="37"/>
        <v/>
      </c>
      <c r="AH566" s="73">
        <f t="shared" si="38"/>
        <v>-0.99943400000000004</v>
      </c>
    </row>
    <row r="567" spans="1:34" ht="14.25" customHeight="1">
      <c r="A567" s="11">
        <v>552</v>
      </c>
      <c r="B567" s="66"/>
      <c r="C567" s="67"/>
      <c r="D567" s="67"/>
      <c r="E567" s="67"/>
      <c r="F567" s="67"/>
      <c r="G567" s="67" t="s">
        <v>35</v>
      </c>
      <c r="H567" s="67">
        <v>44127</v>
      </c>
      <c r="I567" s="6" t="s">
        <v>1157</v>
      </c>
      <c r="J567" s="9">
        <v>3148622590</v>
      </c>
      <c r="K567" s="68">
        <v>44104</v>
      </c>
      <c r="L567" s="68">
        <v>46022</v>
      </c>
      <c r="M567" s="68">
        <v>46203</v>
      </c>
      <c r="N567" s="69">
        <f t="shared" si="26"/>
        <v>30</v>
      </c>
      <c r="O567" s="69">
        <f t="shared" si="27"/>
        <v>3</v>
      </c>
      <c r="P567" s="70">
        <v>16</v>
      </c>
      <c r="Q567" s="70">
        <v>43</v>
      </c>
      <c r="R567" s="70">
        <v>46</v>
      </c>
      <c r="S567" s="68" t="str">
        <f t="shared" si="28"/>
        <v/>
      </c>
      <c r="T567" s="68"/>
      <c r="U567" s="68"/>
      <c r="V567" s="68"/>
      <c r="W567" s="9"/>
      <c r="X567" s="10"/>
      <c r="Y567" s="71">
        <f t="shared" si="29"/>
        <v>43</v>
      </c>
      <c r="Z567" s="73">
        <f t="shared" si="30"/>
        <v>46</v>
      </c>
      <c r="AA567" s="11" t="str">
        <f t="shared" si="31"/>
        <v/>
      </c>
      <c r="AB567" s="73">
        <f t="shared" si="32"/>
        <v>30</v>
      </c>
      <c r="AC567" s="11" t="str">
        <f t="shared" si="33"/>
        <v/>
      </c>
      <c r="AD567" s="73">
        <f t="shared" si="34"/>
        <v>3</v>
      </c>
      <c r="AE567" s="11" t="str">
        <f t="shared" si="35"/>
        <v/>
      </c>
      <c r="AF567" s="73">
        <f t="shared" si="36"/>
        <v>30.000567</v>
      </c>
      <c r="AG567" s="11" t="str">
        <f t="shared" si="37"/>
        <v/>
      </c>
      <c r="AH567" s="73">
        <f t="shared" si="38"/>
        <v>3.0005670000000002</v>
      </c>
    </row>
    <row r="568" spans="1:34" ht="14.25" customHeight="1">
      <c r="A568" s="11">
        <v>553</v>
      </c>
      <c r="B568" s="66"/>
      <c r="C568" s="67"/>
      <c r="D568" s="67"/>
      <c r="E568" s="67"/>
      <c r="F568" s="67"/>
      <c r="G568" s="67" t="s">
        <v>35</v>
      </c>
      <c r="H568" s="67">
        <v>41971</v>
      </c>
      <c r="I568" s="6" t="s">
        <v>1158</v>
      </c>
      <c r="J568" s="9">
        <v>3148630542</v>
      </c>
      <c r="K568" s="68">
        <v>41943</v>
      </c>
      <c r="L568" s="68">
        <v>46022</v>
      </c>
      <c r="M568" s="68">
        <v>46203</v>
      </c>
      <c r="N568" s="69">
        <f t="shared" si="26"/>
        <v>132</v>
      </c>
      <c r="O568" s="69">
        <f t="shared" si="27"/>
        <v>5</v>
      </c>
      <c r="P568" s="70">
        <v>18</v>
      </c>
      <c r="Q568" s="70">
        <v>145</v>
      </c>
      <c r="R568" s="70">
        <v>150</v>
      </c>
      <c r="S568" s="68" t="str">
        <f t="shared" si="28"/>
        <v/>
      </c>
      <c r="T568" s="68"/>
      <c r="U568" s="68"/>
      <c r="V568" s="68"/>
      <c r="W568" s="9"/>
      <c r="X568" s="10"/>
      <c r="Y568" s="71">
        <f t="shared" si="29"/>
        <v>145</v>
      </c>
      <c r="Z568" s="73">
        <f t="shared" si="30"/>
        <v>150</v>
      </c>
      <c r="AA568" s="11" t="str">
        <f t="shared" si="31"/>
        <v/>
      </c>
      <c r="AB568" s="73">
        <f t="shared" si="32"/>
        <v>132</v>
      </c>
      <c r="AC568" s="11" t="str">
        <f t="shared" si="33"/>
        <v/>
      </c>
      <c r="AD568" s="73">
        <f t="shared" si="34"/>
        <v>5</v>
      </c>
      <c r="AE568" s="11" t="str">
        <f t="shared" si="35"/>
        <v/>
      </c>
      <c r="AF568" s="73">
        <f t="shared" si="36"/>
        <v>132.00056799999999</v>
      </c>
      <c r="AG568" s="11" t="str">
        <f t="shared" si="37"/>
        <v/>
      </c>
      <c r="AH568" s="73">
        <f t="shared" si="38"/>
        <v>5.0005680000000003</v>
      </c>
    </row>
    <row r="569" spans="1:34" ht="14.25" customHeight="1">
      <c r="A569" s="11">
        <v>554</v>
      </c>
      <c r="B569" s="66"/>
      <c r="C569" s="67"/>
      <c r="D569" s="67"/>
      <c r="E569" s="67"/>
      <c r="F569" s="67"/>
      <c r="G569" s="67" t="s">
        <v>35</v>
      </c>
      <c r="H569" s="67">
        <v>42037</v>
      </c>
      <c r="I569" s="6" t="s">
        <v>1159</v>
      </c>
      <c r="J569" s="9">
        <v>3148656009</v>
      </c>
      <c r="K569" s="68">
        <v>42035</v>
      </c>
      <c r="L569" s="68">
        <v>46022</v>
      </c>
      <c r="M569" s="68">
        <v>46203</v>
      </c>
      <c r="N569" s="69">
        <f t="shared" si="26"/>
        <v>7</v>
      </c>
      <c r="O569" s="69">
        <f t="shared" si="27"/>
        <v>-1</v>
      </c>
      <c r="P569" s="70">
        <v>3</v>
      </c>
      <c r="Q569" s="70">
        <v>11</v>
      </c>
      <c r="R569" s="70">
        <v>10</v>
      </c>
      <c r="S569" s="68" t="str">
        <f t="shared" si="28"/>
        <v/>
      </c>
      <c r="T569" s="68"/>
      <c r="U569" s="68"/>
      <c r="V569" s="68"/>
      <c r="W569" s="9"/>
      <c r="X569" s="10"/>
      <c r="Y569" s="71">
        <f t="shared" si="29"/>
        <v>11</v>
      </c>
      <c r="Z569" s="73">
        <f t="shared" si="30"/>
        <v>10</v>
      </c>
      <c r="AA569" s="11" t="str">
        <f t="shared" si="31"/>
        <v/>
      </c>
      <c r="AB569" s="73">
        <f t="shared" si="32"/>
        <v>7</v>
      </c>
      <c r="AC569" s="11" t="str">
        <f t="shared" si="33"/>
        <v/>
      </c>
      <c r="AD569" s="73">
        <f t="shared" si="34"/>
        <v>-1</v>
      </c>
      <c r="AE569" s="11" t="str">
        <f t="shared" si="35"/>
        <v/>
      </c>
      <c r="AF569" s="73">
        <f t="shared" si="36"/>
        <v>7.0005689999999996</v>
      </c>
      <c r="AG569" s="11" t="str">
        <f t="shared" si="37"/>
        <v/>
      </c>
      <c r="AH569" s="73">
        <f t="shared" si="38"/>
        <v>-0.99943099999999996</v>
      </c>
    </row>
    <row r="570" spans="1:34" ht="14.25" customHeight="1">
      <c r="A570" s="11">
        <v>555</v>
      </c>
      <c r="B570" s="66"/>
      <c r="C570" s="67"/>
      <c r="D570" s="67"/>
      <c r="E570" s="67"/>
      <c r="F570" s="67"/>
      <c r="G570" s="67" t="s">
        <v>35</v>
      </c>
      <c r="H570" s="67">
        <v>43560</v>
      </c>
      <c r="I570" s="6" t="s">
        <v>1160</v>
      </c>
      <c r="J570" s="9">
        <v>3148656654</v>
      </c>
      <c r="K570" s="68">
        <v>43555</v>
      </c>
      <c r="L570" s="68">
        <v>46022</v>
      </c>
      <c r="M570" s="68">
        <v>46203</v>
      </c>
      <c r="N570" s="69">
        <f t="shared" si="26"/>
        <v>0</v>
      </c>
      <c r="O570" s="69">
        <f t="shared" si="27"/>
        <v>-1</v>
      </c>
      <c r="P570" s="70">
        <v>6</v>
      </c>
      <c r="Q570" s="70">
        <v>7</v>
      </c>
      <c r="R570" s="70">
        <v>6</v>
      </c>
      <c r="S570" s="68" t="str">
        <f t="shared" si="28"/>
        <v/>
      </c>
      <c r="T570" s="68"/>
      <c r="U570" s="68"/>
      <c r="V570" s="68"/>
      <c r="W570" s="9"/>
      <c r="X570" s="10"/>
      <c r="Y570" s="71">
        <f t="shared" si="29"/>
        <v>7</v>
      </c>
      <c r="Z570" s="73">
        <f t="shared" si="30"/>
        <v>6</v>
      </c>
      <c r="AA570" s="11" t="str">
        <f t="shared" si="31"/>
        <v/>
      </c>
      <c r="AB570" s="73">
        <f t="shared" si="32"/>
        <v>0</v>
      </c>
      <c r="AC570" s="11" t="str">
        <f t="shared" si="33"/>
        <v/>
      </c>
      <c r="AD570" s="73">
        <f t="shared" si="34"/>
        <v>-1</v>
      </c>
      <c r="AE570" s="11" t="str">
        <f t="shared" si="35"/>
        <v/>
      </c>
      <c r="AF570" s="73">
        <f t="shared" si="36"/>
        <v>5.6999999999999998E-4</v>
      </c>
      <c r="AG570" s="11" t="str">
        <f t="shared" si="37"/>
        <v/>
      </c>
      <c r="AH570" s="73">
        <f t="shared" si="38"/>
        <v>-0.99943000000000004</v>
      </c>
    </row>
    <row r="571" spans="1:34" ht="14.25" customHeight="1">
      <c r="A571" s="11">
        <v>556</v>
      </c>
      <c r="B571" s="66"/>
      <c r="C571" s="67"/>
      <c r="D571" s="67"/>
      <c r="E571" s="67"/>
      <c r="F571" s="67"/>
      <c r="G571" s="67" t="s">
        <v>35</v>
      </c>
      <c r="H571" s="67">
        <v>45862</v>
      </c>
      <c r="I571" s="6" t="s">
        <v>1161</v>
      </c>
      <c r="J571" s="94">
        <v>3148702271</v>
      </c>
      <c r="K571" s="68">
        <v>45838</v>
      </c>
      <c r="L571" s="68">
        <v>46022</v>
      </c>
      <c r="M571" s="68">
        <v>46203</v>
      </c>
      <c r="N571" s="69">
        <f t="shared" si="26"/>
        <v>7</v>
      </c>
      <c r="O571" s="69">
        <f t="shared" si="27"/>
        <v>8</v>
      </c>
      <c r="P571" s="70">
        <v>24</v>
      </c>
      <c r="Q571" s="70">
        <v>23</v>
      </c>
      <c r="R571" s="70">
        <v>31</v>
      </c>
      <c r="S571" s="68" t="str">
        <f t="shared" si="28"/>
        <v/>
      </c>
      <c r="T571" s="68"/>
      <c r="U571" s="95"/>
      <c r="V571" s="68"/>
      <c r="W571" s="6"/>
      <c r="X571" s="10"/>
      <c r="Y571" s="71">
        <f t="shared" si="29"/>
        <v>23</v>
      </c>
      <c r="Z571" s="73">
        <f t="shared" si="30"/>
        <v>31</v>
      </c>
      <c r="AA571" s="11" t="str">
        <f t="shared" si="31"/>
        <v/>
      </c>
      <c r="AB571" s="73">
        <f t="shared" si="32"/>
        <v>7</v>
      </c>
      <c r="AC571" s="11" t="str">
        <f t="shared" si="33"/>
        <v/>
      </c>
      <c r="AD571" s="73">
        <f t="shared" si="34"/>
        <v>8</v>
      </c>
      <c r="AE571" s="11" t="str">
        <f t="shared" si="35"/>
        <v/>
      </c>
      <c r="AF571" s="73">
        <f t="shared" si="36"/>
        <v>7.0005709999999999</v>
      </c>
      <c r="AG571" s="11" t="str">
        <f t="shared" si="37"/>
        <v/>
      </c>
      <c r="AH571" s="73">
        <f t="shared" si="38"/>
        <v>8.0005710000000008</v>
      </c>
    </row>
    <row r="572" spans="1:34" ht="14.25" customHeight="1">
      <c r="A572" s="11">
        <v>557</v>
      </c>
      <c r="B572" s="66"/>
      <c r="C572" s="67"/>
      <c r="D572" s="67"/>
      <c r="E572" s="67"/>
      <c r="F572" s="67"/>
      <c r="G572" s="67" t="s">
        <v>35</v>
      </c>
      <c r="H572" s="67">
        <v>45377</v>
      </c>
      <c r="I572" s="6" t="s">
        <v>1162</v>
      </c>
      <c r="J572" s="9">
        <v>3158139352</v>
      </c>
      <c r="K572" s="68">
        <v>45351</v>
      </c>
      <c r="L572" s="68">
        <v>46022</v>
      </c>
      <c r="M572" s="68">
        <v>46203</v>
      </c>
      <c r="N572" s="69">
        <f t="shared" si="26"/>
        <v>4</v>
      </c>
      <c r="O572" s="69">
        <f t="shared" si="27"/>
        <v>1</v>
      </c>
      <c r="P572" s="70">
        <v>4</v>
      </c>
      <c r="Q572" s="70">
        <v>7</v>
      </c>
      <c r="R572" s="70">
        <v>8</v>
      </c>
      <c r="S572" s="68" t="str">
        <f t="shared" si="28"/>
        <v/>
      </c>
      <c r="T572" s="68"/>
      <c r="U572" s="68"/>
      <c r="V572" s="68"/>
      <c r="W572" s="9"/>
      <c r="X572" s="10"/>
      <c r="Y572" s="71">
        <f t="shared" si="29"/>
        <v>7</v>
      </c>
      <c r="Z572" s="73">
        <f t="shared" si="30"/>
        <v>8</v>
      </c>
      <c r="AA572" s="11" t="str">
        <f t="shared" si="31"/>
        <v/>
      </c>
      <c r="AB572" s="73">
        <f t="shared" si="32"/>
        <v>4</v>
      </c>
      <c r="AC572" s="11" t="str">
        <f t="shared" si="33"/>
        <v/>
      </c>
      <c r="AD572" s="73">
        <f t="shared" si="34"/>
        <v>1</v>
      </c>
      <c r="AE572" s="11" t="str">
        <f t="shared" si="35"/>
        <v/>
      </c>
      <c r="AF572" s="73">
        <f t="shared" si="36"/>
        <v>4.000572</v>
      </c>
      <c r="AG572" s="11" t="str">
        <f t="shared" si="37"/>
        <v/>
      </c>
      <c r="AH572" s="73">
        <f t="shared" si="38"/>
        <v>1.000572</v>
      </c>
    </row>
    <row r="573" spans="1:34" ht="14.25" customHeight="1">
      <c r="A573" s="11">
        <v>558</v>
      </c>
      <c r="B573" s="66" t="s">
        <v>35</v>
      </c>
      <c r="C573" s="67">
        <v>43735</v>
      </c>
      <c r="D573" s="67"/>
      <c r="E573" s="67"/>
      <c r="F573" s="67"/>
      <c r="G573" s="67"/>
      <c r="H573" s="67"/>
      <c r="I573" s="6" t="s">
        <v>1163</v>
      </c>
      <c r="J573" s="9">
        <v>3178147616</v>
      </c>
      <c r="K573" s="68">
        <v>43708</v>
      </c>
      <c r="L573" s="68">
        <v>46022</v>
      </c>
      <c r="M573" s="68">
        <v>46203</v>
      </c>
      <c r="N573" s="69">
        <f t="shared" si="26"/>
        <v>7</v>
      </c>
      <c r="O573" s="69">
        <f t="shared" si="27"/>
        <v>-1</v>
      </c>
      <c r="P573" s="70">
        <v>14</v>
      </c>
      <c r="Q573" s="70">
        <v>22</v>
      </c>
      <c r="R573" s="70">
        <v>21</v>
      </c>
      <c r="S573" s="68" t="str">
        <f t="shared" si="28"/>
        <v/>
      </c>
      <c r="T573" s="68"/>
      <c r="U573" s="68"/>
      <c r="V573" s="68"/>
      <c r="W573" s="9"/>
      <c r="X573" s="10"/>
      <c r="Y573" s="71">
        <f t="shared" si="29"/>
        <v>22</v>
      </c>
      <c r="Z573" s="73">
        <f t="shared" si="30"/>
        <v>21</v>
      </c>
      <c r="AA573" s="73">
        <f t="shared" si="31"/>
        <v>7</v>
      </c>
      <c r="AB573" s="11" t="str">
        <f t="shared" si="32"/>
        <v/>
      </c>
      <c r="AC573" s="73">
        <f t="shared" si="33"/>
        <v>-1</v>
      </c>
      <c r="AD573" s="11" t="str">
        <f t="shared" si="34"/>
        <v/>
      </c>
      <c r="AE573" s="73">
        <f t="shared" si="35"/>
        <v>7.0005730000000002</v>
      </c>
      <c r="AF573" s="11" t="str">
        <f t="shared" si="36"/>
        <v/>
      </c>
      <c r="AG573" s="73">
        <f t="shared" si="37"/>
        <v>-0.99942699999999995</v>
      </c>
      <c r="AH573" s="11" t="str">
        <f t="shared" si="38"/>
        <v/>
      </c>
    </row>
    <row r="574" spans="1:34" ht="14.25" customHeight="1">
      <c r="A574" s="11">
        <v>559</v>
      </c>
      <c r="B574" s="66"/>
      <c r="C574" s="67"/>
      <c r="D574" s="67"/>
      <c r="E574" s="67"/>
      <c r="F574" s="67"/>
      <c r="G574" s="67" t="s">
        <v>24</v>
      </c>
      <c r="H574" s="67">
        <v>44516</v>
      </c>
      <c r="I574" s="6" t="s">
        <v>1164</v>
      </c>
      <c r="J574" s="9">
        <v>3178701363</v>
      </c>
      <c r="K574" s="68">
        <v>44500</v>
      </c>
      <c r="L574" s="68" t="s">
        <v>230</v>
      </c>
      <c r="M574" s="68">
        <v>45657</v>
      </c>
      <c r="N574" s="69">
        <f t="shared" si="26"/>
        <v>-7</v>
      </c>
      <c r="O574" s="69" t="str">
        <f t="shared" si="27"/>
        <v>N/A</v>
      </c>
      <c r="P574" s="70">
        <v>7</v>
      </c>
      <c r="Q574" s="70"/>
      <c r="R574" s="70">
        <v>0</v>
      </c>
      <c r="S574" s="68">
        <f t="shared" si="28"/>
        <v>45657</v>
      </c>
      <c r="T574" s="68">
        <v>45657</v>
      </c>
      <c r="U574" s="68"/>
      <c r="V574" s="68"/>
      <c r="W574" s="9"/>
      <c r="X574" s="10"/>
      <c r="Y574" s="65" t="str">
        <f t="shared" si="29"/>
        <v/>
      </c>
      <c r="Z574" s="11" t="str">
        <f t="shared" si="30"/>
        <v/>
      </c>
      <c r="AA574" s="11" t="str">
        <f t="shared" si="31"/>
        <v/>
      </c>
      <c r="AB574" s="73">
        <f t="shared" si="32"/>
        <v>-7</v>
      </c>
      <c r="AC574" s="11" t="str">
        <f t="shared" si="33"/>
        <v/>
      </c>
      <c r="AD574" s="11" t="str">
        <f t="shared" si="34"/>
        <v/>
      </c>
      <c r="AE574" s="11" t="str">
        <f t="shared" si="35"/>
        <v/>
      </c>
      <c r="AF574" s="73">
        <f t="shared" si="36"/>
        <v>-6.9994259999999997</v>
      </c>
      <c r="AG574" s="11" t="str">
        <f t="shared" si="37"/>
        <v/>
      </c>
      <c r="AH574" s="11" t="str">
        <f t="shared" si="38"/>
        <v/>
      </c>
    </row>
    <row r="575" spans="1:34" ht="14.25" customHeight="1">
      <c r="A575" s="11">
        <v>560</v>
      </c>
      <c r="B575" s="66"/>
      <c r="C575" s="67"/>
      <c r="D575" s="67"/>
      <c r="E575" s="67"/>
      <c r="F575" s="67"/>
      <c r="G575" s="67" t="s">
        <v>24</v>
      </c>
      <c r="H575" s="67">
        <v>42268</v>
      </c>
      <c r="I575" s="6" t="s">
        <v>1165</v>
      </c>
      <c r="J575" s="9">
        <v>3188100803</v>
      </c>
      <c r="K575" s="68">
        <v>42247</v>
      </c>
      <c r="L575" s="68" t="s">
        <v>230</v>
      </c>
      <c r="M575" s="68">
        <v>43281</v>
      </c>
      <c r="N575" s="69">
        <f t="shared" si="26"/>
        <v>-7</v>
      </c>
      <c r="O575" s="69" t="str">
        <f t="shared" si="27"/>
        <v>N/A</v>
      </c>
      <c r="P575" s="70">
        <v>7</v>
      </c>
      <c r="Q575" s="70"/>
      <c r="R575" s="70">
        <v>0</v>
      </c>
      <c r="S575" s="68">
        <f t="shared" si="28"/>
        <v>43258</v>
      </c>
      <c r="T575" s="68">
        <v>43258</v>
      </c>
      <c r="U575" s="68"/>
      <c r="V575" s="68"/>
      <c r="W575" s="9"/>
      <c r="X575" s="10"/>
      <c r="Y575" s="65" t="str">
        <f t="shared" si="29"/>
        <v/>
      </c>
      <c r="Z575" s="11" t="str">
        <f t="shared" si="30"/>
        <v/>
      </c>
      <c r="AA575" s="11" t="str">
        <f t="shared" si="31"/>
        <v/>
      </c>
      <c r="AB575" s="73">
        <f t="shared" si="32"/>
        <v>-7</v>
      </c>
      <c r="AC575" s="11" t="str">
        <f t="shared" si="33"/>
        <v/>
      </c>
      <c r="AD575" s="11" t="str">
        <f t="shared" si="34"/>
        <v/>
      </c>
      <c r="AE575" s="11" t="str">
        <f t="shared" si="35"/>
        <v/>
      </c>
      <c r="AF575" s="73">
        <f t="shared" si="36"/>
        <v>-6.9994249999999996</v>
      </c>
      <c r="AG575" s="11" t="str">
        <f t="shared" si="37"/>
        <v/>
      </c>
      <c r="AH575" s="11" t="str">
        <f t="shared" si="38"/>
        <v/>
      </c>
    </row>
    <row r="576" spans="1:34" ht="14.25" customHeight="1">
      <c r="A576" s="11">
        <v>561</v>
      </c>
      <c r="B576" s="66" t="s">
        <v>35</v>
      </c>
      <c r="C576" s="67"/>
      <c r="D576" s="67">
        <v>46141</v>
      </c>
      <c r="E576" s="67"/>
      <c r="F576" s="67"/>
      <c r="G576" s="67"/>
      <c r="H576" s="67"/>
      <c r="I576" s="6" t="s">
        <v>1166</v>
      </c>
      <c r="J576" s="37">
        <v>3188102567</v>
      </c>
      <c r="K576" s="68">
        <v>46112</v>
      </c>
      <c r="L576" s="68" t="s">
        <v>230</v>
      </c>
      <c r="M576" s="68">
        <v>46203</v>
      </c>
      <c r="N576" s="69">
        <f t="shared" si="26"/>
        <v>4</v>
      </c>
      <c r="O576" s="69">
        <f t="shared" si="27"/>
        <v>4</v>
      </c>
      <c r="P576" s="70">
        <v>29</v>
      </c>
      <c r="Q576" s="70"/>
      <c r="R576" s="70">
        <v>33</v>
      </c>
      <c r="S576" s="68" t="str">
        <f t="shared" si="28"/>
        <v/>
      </c>
      <c r="T576" s="68"/>
      <c r="U576" s="95"/>
      <c r="V576" s="68"/>
      <c r="W576" s="6"/>
      <c r="X576" s="10"/>
      <c r="Y576" s="71">
        <f t="shared" si="29"/>
        <v>29</v>
      </c>
      <c r="Z576" s="73">
        <f t="shared" si="30"/>
        <v>33</v>
      </c>
      <c r="AA576" s="73">
        <f t="shared" si="31"/>
        <v>4</v>
      </c>
      <c r="AB576" s="11" t="str">
        <f t="shared" si="32"/>
        <v/>
      </c>
      <c r="AC576" s="73">
        <f t="shared" si="33"/>
        <v>4</v>
      </c>
      <c r="AD576" s="11" t="str">
        <f t="shared" si="34"/>
        <v/>
      </c>
      <c r="AE576" s="73">
        <f t="shared" si="35"/>
        <v>4.0005759999999997</v>
      </c>
      <c r="AF576" s="11" t="str">
        <f t="shared" si="36"/>
        <v/>
      </c>
      <c r="AG576" s="73">
        <f t="shared" si="37"/>
        <v>4.0005759999999997</v>
      </c>
      <c r="AH576" s="11" t="str">
        <f t="shared" si="38"/>
        <v/>
      </c>
    </row>
    <row r="577" spans="1:34" ht="14.25" customHeight="1">
      <c r="A577" s="11">
        <v>562</v>
      </c>
      <c r="B577" s="66" t="s">
        <v>24</v>
      </c>
      <c r="C577" s="67">
        <v>42248</v>
      </c>
      <c r="D577" s="67"/>
      <c r="E577" s="67"/>
      <c r="F577" s="67"/>
      <c r="G577" s="67"/>
      <c r="H577" s="67"/>
      <c r="I577" s="6" t="s">
        <v>1167</v>
      </c>
      <c r="J577" s="9">
        <v>3188103722</v>
      </c>
      <c r="K577" s="68">
        <v>42247</v>
      </c>
      <c r="L577" s="68" t="s">
        <v>230</v>
      </c>
      <c r="M577" s="68">
        <v>43830</v>
      </c>
      <c r="N577" s="69">
        <f t="shared" si="26"/>
        <v>0</v>
      </c>
      <c r="O577" s="69" t="str">
        <f t="shared" si="27"/>
        <v>N/A</v>
      </c>
      <c r="P577" s="70">
        <v>0</v>
      </c>
      <c r="Q577" s="70"/>
      <c r="R577" s="70">
        <v>0</v>
      </c>
      <c r="S577" s="68">
        <f t="shared" si="28"/>
        <v>43830</v>
      </c>
      <c r="T577" s="68">
        <v>43830</v>
      </c>
      <c r="U577" s="68"/>
      <c r="V577" s="68"/>
      <c r="W577" s="9"/>
      <c r="X577" s="10"/>
      <c r="Y577" s="65" t="str">
        <f t="shared" si="29"/>
        <v/>
      </c>
      <c r="Z577" s="11" t="str">
        <f t="shared" si="30"/>
        <v/>
      </c>
      <c r="AA577" s="73">
        <f t="shared" si="31"/>
        <v>0</v>
      </c>
      <c r="AB577" s="11" t="str">
        <f t="shared" si="32"/>
        <v/>
      </c>
      <c r="AC577" s="11" t="str">
        <f t="shared" si="33"/>
        <v/>
      </c>
      <c r="AD577" s="11" t="str">
        <f t="shared" si="34"/>
        <v/>
      </c>
      <c r="AE577" s="73">
        <f t="shared" si="35"/>
        <v>5.7700000000000004E-4</v>
      </c>
      <c r="AF577" s="11" t="str">
        <f t="shared" si="36"/>
        <v/>
      </c>
      <c r="AG577" s="11" t="str">
        <f t="shared" si="37"/>
        <v/>
      </c>
      <c r="AH577" s="11" t="str">
        <f t="shared" si="38"/>
        <v/>
      </c>
    </row>
    <row r="578" spans="1:34" ht="14.25" customHeight="1">
      <c r="A578" s="11">
        <v>563</v>
      </c>
      <c r="B578" s="66"/>
      <c r="C578" s="67"/>
      <c r="D578" s="67"/>
      <c r="E578" s="67"/>
      <c r="F578" s="67"/>
      <c r="G578" s="67" t="s">
        <v>35</v>
      </c>
      <c r="H578" s="67">
        <v>43237</v>
      </c>
      <c r="I578" s="6" t="s">
        <v>1168</v>
      </c>
      <c r="J578" s="9">
        <v>3188105282</v>
      </c>
      <c r="K578" s="68">
        <v>43220</v>
      </c>
      <c r="L578" s="68">
        <v>46022</v>
      </c>
      <c r="M578" s="68">
        <v>46203</v>
      </c>
      <c r="N578" s="69">
        <f t="shared" si="26"/>
        <v>-2</v>
      </c>
      <c r="O578" s="69">
        <f t="shared" si="27"/>
        <v>-3</v>
      </c>
      <c r="P578" s="70">
        <v>17</v>
      </c>
      <c r="Q578" s="70">
        <v>18</v>
      </c>
      <c r="R578" s="70">
        <v>15</v>
      </c>
      <c r="S578" s="68" t="str">
        <f t="shared" si="28"/>
        <v/>
      </c>
      <c r="T578" s="68"/>
      <c r="U578" s="68"/>
      <c r="V578" s="68"/>
      <c r="W578" s="9"/>
      <c r="X578" s="10"/>
      <c r="Y578" s="71">
        <f t="shared" si="29"/>
        <v>18</v>
      </c>
      <c r="Z578" s="73">
        <f t="shared" si="30"/>
        <v>15</v>
      </c>
      <c r="AA578" s="11" t="str">
        <f t="shared" si="31"/>
        <v/>
      </c>
      <c r="AB578" s="73">
        <f t="shared" si="32"/>
        <v>-2</v>
      </c>
      <c r="AC578" s="11" t="str">
        <f t="shared" si="33"/>
        <v/>
      </c>
      <c r="AD578" s="73">
        <f t="shared" si="34"/>
        <v>-3</v>
      </c>
      <c r="AE578" s="11" t="str">
        <f t="shared" si="35"/>
        <v/>
      </c>
      <c r="AF578" s="73">
        <f t="shared" si="36"/>
        <v>-1.999422</v>
      </c>
      <c r="AG578" s="11" t="str">
        <f t="shared" si="37"/>
        <v/>
      </c>
      <c r="AH578" s="73">
        <f t="shared" si="38"/>
        <v>-2.999422</v>
      </c>
    </row>
    <row r="579" spans="1:34" ht="14.25" customHeight="1">
      <c r="A579" s="11">
        <v>564</v>
      </c>
      <c r="B579" s="66"/>
      <c r="C579" s="67"/>
      <c r="D579" s="67"/>
      <c r="E579" s="67"/>
      <c r="F579" s="67"/>
      <c r="G579" s="67" t="s">
        <v>35</v>
      </c>
      <c r="H579" s="67">
        <v>42870</v>
      </c>
      <c r="I579" s="6" t="s">
        <v>1169</v>
      </c>
      <c r="J579" s="9">
        <v>3188700649</v>
      </c>
      <c r="K579" s="68">
        <v>42855</v>
      </c>
      <c r="L579" s="68">
        <v>46022</v>
      </c>
      <c r="M579" s="68">
        <v>46203</v>
      </c>
      <c r="N579" s="69">
        <f t="shared" si="26"/>
        <v>5</v>
      </c>
      <c r="O579" s="69">
        <f t="shared" si="27"/>
        <v>0</v>
      </c>
      <c r="P579" s="70">
        <v>0</v>
      </c>
      <c r="Q579" s="70">
        <v>5</v>
      </c>
      <c r="R579" s="70">
        <v>5</v>
      </c>
      <c r="S579" s="68" t="str">
        <f t="shared" si="28"/>
        <v/>
      </c>
      <c r="T579" s="68"/>
      <c r="U579" s="68"/>
      <c r="V579" s="68"/>
      <c r="W579" s="9"/>
      <c r="X579" s="10"/>
      <c r="Y579" s="71">
        <f t="shared" si="29"/>
        <v>5</v>
      </c>
      <c r="Z579" s="73">
        <f t="shared" si="30"/>
        <v>5</v>
      </c>
      <c r="AA579" s="11" t="str">
        <f t="shared" si="31"/>
        <v/>
      </c>
      <c r="AB579" s="73">
        <f t="shared" si="32"/>
        <v>5</v>
      </c>
      <c r="AC579" s="11" t="str">
        <f t="shared" si="33"/>
        <v/>
      </c>
      <c r="AD579" s="73">
        <f t="shared" si="34"/>
        <v>0</v>
      </c>
      <c r="AE579" s="11" t="str">
        <f t="shared" si="35"/>
        <v/>
      </c>
      <c r="AF579" s="73">
        <f t="shared" si="36"/>
        <v>5.0005790000000001</v>
      </c>
      <c r="AG579" s="11" t="str">
        <f t="shared" si="37"/>
        <v/>
      </c>
      <c r="AH579" s="73">
        <f t="shared" si="38"/>
        <v>5.7899999999999998E-4</v>
      </c>
    </row>
    <row r="580" spans="1:34" ht="14.25" customHeight="1">
      <c r="A580" s="11">
        <v>565</v>
      </c>
      <c r="B580" s="66"/>
      <c r="C580" s="67"/>
      <c r="D580" s="67"/>
      <c r="E580" s="67"/>
      <c r="F580" s="67"/>
      <c r="G580" s="67" t="s">
        <v>35</v>
      </c>
      <c r="H580" s="67">
        <v>44167</v>
      </c>
      <c r="I580" s="6" t="s">
        <v>1170</v>
      </c>
      <c r="J580" s="9">
        <v>3198101407</v>
      </c>
      <c r="K580" s="68">
        <v>44165</v>
      </c>
      <c r="L580" s="68">
        <v>46022</v>
      </c>
      <c r="M580" s="68">
        <v>46203</v>
      </c>
      <c r="N580" s="69">
        <f t="shared" si="26"/>
        <v>1</v>
      </c>
      <c r="O580" s="69">
        <f t="shared" si="27"/>
        <v>0</v>
      </c>
      <c r="P580" s="70">
        <v>6</v>
      </c>
      <c r="Q580" s="70">
        <v>7</v>
      </c>
      <c r="R580" s="70">
        <v>7</v>
      </c>
      <c r="S580" s="68" t="str">
        <f t="shared" si="28"/>
        <v/>
      </c>
      <c r="T580" s="68"/>
      <c r="U580" s="68"/>
      <c r="V580" s="68"/>
      <c r="W580" s="9"/>
      <c r="X580" s="10"/>
      <c r="Y580" s="71">
        <f t="shared" si="29"/>
        <v>7</v>
      </c>
      <c r="Z580" s="73">
        <f t="shared" si="30"/>
        <v>7</v>
      </c>
      <c r="AA580" s="11" t="str">
        <f t="shared" si="31"/>
        <v/>
      </c>
      <c r="AB580" s="73">
        <f t="shared" si="32"/>
        <v>1</v>
      </c>
      <c r="AC580" s="11" t="str">
        <f t="shared" si="33"/>
        <v/>
      </c>
      <c r="AD580" s="73">
        <f t="shared" si="34"/>
        <v>0</v>
      </c>
      <c r="AE580" s="11" t="str">
        <f t="shared" si="35"/>
        <v/>
      </c>
      <c r="AF580" s="73">
        <f t="shared" si="36"/>
        <v>1.00058</v>
      </c>
      <c r="AG580" s="11" t="str">
        <f t="shared" si="37"/>
        <v/>
      </c>
      <c r="AH580" s="73">
        <f t="shared" si="38"/>
        <v>5.8E-4</v>
      </c>
    </row>
    <row r="581" spans="1:34" ht="14.25" customHeight="1">
      <c r="A581" s="11">
        <v>566</v>
      </c>
      <c r="B581" s="66"/>
      <c r="C581" s="67"/>
      <c r="D581" s="67"/>
      <c r="E581" s="67"/>
      <c r="F581" s="67"/>
      <c r="G581" s="67" t="s">
        <v>35</v>
      </c>
      <c r="H581" s="67">
        <v>45650</v>
      </c>
      <c r="I581" s="6" t="s">
        <v>1171</v>
      </c>
      <c r="J581" s="9">
        <v>3198103176</v>
      </c>
      <c r="K581" s="68">
        <v>45626</v>
      </c>
      <c r="L581" s="68">
        <v>46022</v>
      </c>
      <c r="M581" s="68">
        <v>46203</v>
      </c>
      <c r="N581" s="69">
        <f t="shared" si="26"/>
        <v>8</v>
      </c>
      <c r="O581" s="69">
        <f t="shared" si="27"/>
        <v>0</v>
      </c>
      <c r="P581" s="70">
        <v>2</v>
      </c>
      <c r="Q581" s="70">
        <v>10</v>
      </c>
      <c r="R581" s="70">
        <v>10</v>
      </c>
      <c r="S581" s="68" t="str">
        <f t="shared" si="28"/>
        <v/>
      </c>
      <c r="T581" s="68"/>
      <c r="U581" s="68"/>
      <c r="V581" s="68"/>
      <c r="W581" s="9"/>
      <c r="X581" s="10"/>
      <c r="Y581" s="71">
        <f t="shared" si="29"/>
        <v>10</v>
      </c>
      <c r="Z581" s="73">
        <f t="shared" si="30"/>
        <v>10</v>
      </c>
      <c r="AA581" s="11" t="str">
        <f t="shared" si="31"/>
        <v/>
      </c>
      <c r="AB581" s="73">
        <f t="shared" si="32"/>
        <v>8</v>
      </c>
      <c r="AC581" s="11" t="str">
        <f t="shared" si="33"/>
        <v/>
      </c>
      <c r="AD581" s="73">
        <f t="shared" si="34"/>
        <v>0</v>
      </c>
      <c r="AE581" s="11" t="str">
        <f t="shared" si="35"/>
        <v/>
      </c>
      <c r="AF581" s="73">
        <f t="shared" si="36"/>
        <v>8.0005810000000004</v>
      </c>
      <c r="AG581" s="11" t="str">
        <f t="shared" si="37"/>
        <v/>
      </c>
      <c r="AH581" s="73">
        <f t="shared" si="38"/>
        <v>5.8100000000000003E-4</v>
      </c>
    </row>
    <row r="582" spans="1:34" ht="14.25" customHeight="1">
      <c r="A582" s="11">
        <v>567</v>
      </c>
      <c r="B582" s="66"/>
      <c r="C582" s="67"/>
      <c r="D582" s="67"/>
      <c r="E582" s="67"/>
      <c r="F582" s="67"/>
      <c r="G582" s="67" t="s">
        <v>35</v>
      </c>
      <c r="H582" s="67">
        <v>45604</v>
      </c>
      <c r="I582" s="6" t="s">
        <v>1172</v>
      </c>
      <c r="J582" s="9">
        <v>3198103195</v>
      </c>
      <c r="K582" s="68">
        <v>45596</v>
      </c>
      <c r="L582" s="68">
        <v>46022</v>
      </c>
      <c r="M582" s="68">
        <v>46203</v>
      </c>
      <c r="N582" s="69">
        <f t="shared" si="26"/>
        <v>7</v>
      </c>
      <c r="O582" s="69">
        <f t="shared" si="27"/>
        <v>3</v>
      </c>
      <c r="P582" s="70">
        <v>0</v>
      </c>
      <c r="Q582" s="70">
        <v>4</v>
      </c>
      <c r="R582" s="70">
        <v>7</v>
      </c>
      <c r="S582" s="68" t="str">
        <f t="shared" si="28"/>
        <v/>
      </c>
      <c r="T582" s="68"/>
      <c r="U582" s="68"/>
      <c r="V582" s="68"/>
      <c r="W582" s="9"/>
      <c r="X582" s="10"/>
      <c r="Y582" s="71">
        <f t="shared" si="29"/>
        <v>4</v>
      </c>
      <c r="Z582" s="73">
        <f t="shared" si="30"/>
        <v>7</v>
      </c>
      <c r="AA582" s="11" t="str">
        <f t="shared" si="31"/>
        <v/>
      </c>
      <c r="AB582" s="73">
        <f t="shared" si="32"/>
        <v>7</v>
      </c>
      <c r="AC582" s="11" t="str">
        <f t="shared" si="33"/>
        <v/>
      </c>
      <c r="AD582" s="73">
        <f t="shared" si="34"/>
        <v>3</v>
      </c>
      <c r="AE582" s="11" t="str">
        <f t="shared" si="35"/>
        <v/>
      </c>
      <c r="AF582" s="73">
        <f t="shared" si="36"/>
        <v>7.0005819999999996</v>
      </c>
      <c r="AG582" s="11" t="str">
        <f t="shared" si="37"/>
        <v/>
      </c>
      <c r="AH582" s="73">
        <f t="shared" si="38"/>
        <v>3.0005820000000001</v>
      </c>
    </row>
    <row r="583" spans="1:34" ht="14.25" customHeight="1">
      <c r="A583" s="11">
        <v>568</v>
      </c>
      <c r="B583" s="66"/>
      <c r="C583" s="67"/>
      <c r="D583" s="67"/>
      <c r="E583" s="67"/>
      <c r="F583" s="67"/>
      <c r="G583" s="67" t="s">
        <v>35</v>
      </c>
      <c r="H583" s="67">
        <v>43602</v>
      </c>
      <c r="I583" s="6" t="s">
        <v>1173</v>
      </c>
      <c r="J583" s="9">
        <v>3228600812</v>
      </c>
      <c r="K583" s="68">
        <v>43585</v>
      </c>
      <c r="L583" s="68">
        <v>46022</v>
      </c>
      <c r="M583" s="68">
        <v>46203</v>
      </c>
      <c r="N583" s="69">
        <f t="shared" si="26"/>
        <v>18</v>
      </c>
      <c r="O583" s="69">
        <f t="shared" si="27"/>
        <v>1</v>
      </c>
      <c r="P583" s="70">
        <v>16</v>
      </c>
      <c r="Q583" s="70">
        <v>33</v>
      </c>
      <c r="R583" s="70">
        <v>34</v>
      </c>
      <c r="S583" s="68" t="str">
        <f t="shared" si="28"/>
        <v/>
      </c>
      <c r="T583" s="68"/>
      <c r="U583" s="68"/>
      <c r="V583" s="68"/>
      <c r="W583" s="9"/>
      <c r="X583" s="10"/>
      <c r="Y583" s="71">
        <f t="shared" si="29"/>
        <v>33</v>
      </c>
      <c r="Z583" s="73">
        <f t="shared" si="30"/>
        <v>34</v>
      </c>
      <c r="AA583" s="11" t="str">
        <f t="shared" si="31"/>
        <v/>
      </c>
      <c r="AB583" s="73">
        <f t="shared" si="32"/>
        <v>18</v>
      </c>
      <c r="AC583" s="11" t="str">
        <f t="shared" si="33"/>
        <v/>
      </c>
      <c r="AD583" s="73">
        <f t="shared" si="34"/>
        <v>1</v>
      </c>
      <c r="AE583" s="11" t="str">
        <f t="shared" si="35"/>
        <v/>
      </c>
      <c r="AF583" s="73">
        <f t="shared" si="36"/>
        <v>18.000582999999999</v>
      </c>
      <c r="AG583" s="11" t="str">
        <f t="shared" si="37"/>
        <v/>
      </c>
      <c r="AH583" s="73">
        <f t="shared" si="38"/>
        <v>1.000583</v>
      </c>
    </row>
    <row r="584" spans="1:34" ht="14.25" customHeight="1">
      <c r="A584" s="11">
        <v>569</v>
      </c>
      <c r="B584" s="66"/>
      <c r="C584" s="67"/>
      <c r="D584" s="67"/>
      <c r="E584" s="67"/>
      <c r="F584" s="67"/>
      <c r="G584" s="67" t="s">
        <v>35</v>
      </c>
      <c r="H584" s="67">
        <v>44665</v>
      </c>
      <c r="I584" s="6" t="s">
        <v>1174</v>
      </c>
      <c r="J584" s="9">
        <v>3238802118</v>
      </c>
      <c r="K584" s="68">
        <v>44651</v>
      </c>
      <c r="L584" s="68">
        <v>46022</v>
      </c>
      <c r="M584" s="68">
        <v>46203</v>
      </c>
      <c r="N584" s="69">
        <f t="shared" si="26"/>
        <v>2</v>
      </c>
      <c r="O584" s="69">
        <f t="shared" si="27"/>
        <v>3</v>
      </c>
      <c r="P584" s="70">
        <v>12</v>
      </c>
      <c r="Q584" s="70">
        <v>11</v>
      </c>
      <c r="R584" s="70">
        <v>14</v>
      </c>
      <c r="S584" s="68" t="str">
        <f t="shared" si="28"/>
        <v/>
      </c>
      <c r="T584" s="68"/>
      <c r="U584" s="68"/>
      <c r="V584" s="68"/>
      <c r="W584" s="9"/>
      <c r="X584" s="10"/>
      <c r="Y584" s="71">
        <f t="shared" si="29"/>
        <v>11</v>
      </c>
      <c r="Z584" s="73">
        <f t="shared" si="30"/>
        <v>14</v>
      </c>
      <c r="AA584" s="11" t="str">
        <f t="shared" si="31"/>
        <v/>
      </c>
      <c r="AB584" s="73">
        <f t="shared" si="32"/>
        <v>2</v>
      </c>
      <c r="AC584" s="11" t="str">
        <f t="shared" si="33"/>
        <v/>
      </c>
      <c r="AD584" s="73">
        <f t="shared" si="34"/>
        <v>3</v>
      </c>
      <c r="AE584" s="11" t="str">
        <f t="shared" si="35"/>
        <v/>
      </c>
      <c r="AF584" s="73">
        <f t="shared" si="36"/>
        <v>2.0005839999999999</v>
      </c>
      <c r="AG584" s="11" t="str">
        <f t="shared" si="37"/>
        <v/>
      </c>
      <c r="AH584" s="73">
        <f t="shared" si="38"/>
        <v>3.0005839999999999</v>
      </c>
    </row>
    <row r="585" spans="1:34" ht="14.25" customHeight="1">
      <c r="A585" s="11">
        <v>570</v>
      </c>
      <c r="B585" s="66" t="s">
        <v>35</v>
      </c>
      <c r="C585" s="67">
        <v>45352</v>
      </c>
      <c r="D585" s="67"/>
      <c r="E585" s="67"/>
      <c r="F585" s="67"/>
      <c r="G585" s="67"/>
      <c r="H585" s="67"/>
      <c r="I585" s="6" t="s">
        <v>1175</v>
      </c>
      <c r="J585" s="9">
        <v>3258702892</v>
      </c>
      <c r="K585" s="68">
        <v>45351</v>
      </c>
      <c r="L585" s="68">
        <v>46022</v>
      </c>
      <c r="M585" s="68">
        <v>46203</v>
      </c>
      <c r="N585" s="69">
        <f t="shared" si="26"/>
        <v>2</v>
      </c>
      <c r="O585" s="69">
        <f t="shared" si="27"/>
        <v>-1</v>
      </c>
      <c r="P585" s="70">
        <v>5</v>
      </c>
      <c r="Q585" s="70">
        <v>8</v>
      </c>
      <c r="R585" s="70">
        <v>7</v>
      </c>
      <c r="S585" s="68" t="str">
        <f t="shared" si="28"/>
        <v/>
      </c>
      <c r="T585" s="68"/>
      <c r="U585" s="68"/>
      <c r="V585" s="68"/>
      <c r="W585" s="9"/>
      <c r="X585" s="10"/>
      <c r="Y585" s="71">
        <f t="shared" si="29"/>
        <v>8</v>
      </c>
      <c r="Z585" s="73">
        <f t="shared" si="30"/>
        <v>7</v>
      </c>
      <c r="AA585" s="73">
        <f t="shared" si="31"/>
        <v>2</v>
      </c>
      <c r="AB585" s="11" t="str">
        <f t="shared" si="32"/>
        <v/>
      </c>
      <c r="AC585" s="73">
        <f t="shared" si="33"/>
        <v>-1</v>
      </c>
      <c r="AD585" s="11" t="str">
        <f t="shared" si="34"/>
        <v/>
      </c>
      <c r="AE585" s="73">
        <f t="shared" si="35"/>
        <v>2.0005850000000001</v>
      </c>
      <c r="AF585" s="11" t="str">
        <f t="shared" si="36"/>
        <v/>
      </c>
      <c r="AG585" s="73">
        <f t="shared" si="37"/>
        <v>-0.99941500000000005</v>
      </c>
      <c r="AH585" s="11" t="str">
        <f t="shared" si="38"/>
        <v/>
      </c>
    </row>
    <row r="586" spans="1:34" ht="14.25" customHeight="1">
      <c r="A586" s="11">
        <v>571</v>
      </c>
      <c r="B586" s="66"/>
      <c r="C586" s="67"/>
      <c r="D586" s="67"/>
      <c r="E586" s="67"/>
      <c r="F586" s="67"/>
      <c r="G586" s="67" t="s">
        <v>35</v>
      </c>
      <c r="H586" s="67">
        <v>45611</v>
      </c>
      <c r="I586" s="6" t="s">
        <v>1176</v>
      </c>
      <c r="J586" s="9">
        <v>3268103233</v>
      </c>
      <c r="K586" s="68">
        <v>45596</v>
      </c>
      <c r="L586" s="68">
        <v>46022</v>
      </c>
      <c r="M586" s="68">
        <v>46203</v>
      </c>
      <c r="N586" s="69">
        <f t="shared" si="26"/>
        <v>0</v>
      </c>
      <c r="O586" s="69">
        <f t="shared" si="27"/>
        <v>-4</v>
      </c>
      <c r="P586" s="70">
        <v>4</v>
      </c>
      <c r="Q586" s="70">
        <v>8</v>
      </c>
      <c r="R586" s="70">
        <v>4</v>
      </c>
      <c r="S586" s="68" t="str">
        <f t="shared" si="28"/>
        <v/>
      </c>
      <c r="T586" s="68"/>
      <c r="U586" s="68"/>
      <c r="V586" s="68"/>
      <c r="W586" s="9"/>
      <c r="X586" s="10"/>
      <c r="Y586" s="71">
        <f t="shared" si="29"/>
        <v>8</v>
      </c>
      <c r="Z586" s="73">
        <f t="shared" si="30"/>
        <v>4</v>
      </c>
      <c r="AA586" s="11" t="str">
        <f t="shared" si="31"/>
        <v/>
      </c>
      <c r="AB586" s="73">
        <f t="shared" si="32"/>
        <v>0</v>
      </c>
      <c r="AC586" s="11" t="str">
        <f t="shared" si="33"/>
        <v/>
      </c>
      <c r="AD586" s="73">
        <f t="shared" si="34"/>
        <v>-4</v>
      </c>
      <c r="AE586" s="11" t="str">
        <f t="shared" si="35"/>
        <v/>
      </c>
      <c r="AF586" s="73">
        <f t="shared" si="36"/>
        <v>5.8600000000000004E-4</v>
      </c>
      <c r="AG586" s="11" t="str">
        <f t="shared" si="37"/>
        <v/>
      </c>
      <c r="AH586" s="73">
        <f t="shared" si="38"/>
        <v>-3.9994139999999998</v>
      </c>
    </row>
    <row r="587" spans="1:34" ht="14.25" customHeight="1">
      <c r="A587" s="11">
        <v>572</v>
      </c>
      <c r="B587" s="121" t="s">
        <v>24</v>
      </c>
      <c r="C587" s="67">
        <v>45078</v>
      </c>
      <c r="D587" s="67"/>
      <c r="E587" s="67"/>
      <c r="F587" s="67"/>
      <c r="G587" s="67"/>
      <c r="H587" s="67"/>
      <c r="I587" s="6" t="s">
        <v>1177</v>
      </c>
      <c r="J587" s="9">
        <v>3268603150</v>
      </c>
      <c r="K587" s="68">
        <v>45077</v>
      </c>
      <c r="L587" s="68">
        <v>46022</v>
      </c>
      <c r="M587" s="68">
        <v>46112</v>
      </c>
      <c r="N587" s="69">
        <f t="shared" si="26"/>
        <v>0</v>
      </c>
      <c r="O587" s="69">
        <f t="shared" si="27"/>
        <v>0</v>
      </c>
      <c r="P587" s="70">
        <v>0</v>
      </c>
      <c r="Q587" s="70">
        <v>0</v>
      </c>
      <c r="R587" s="70">
        <v>0</v>
      </c>
      <c r="S587" s="68">
        <f t="shared" si="28"/>
        <v>46112</v>
      </c>
      <c r="T587" s="68">
        <v>46112</v>
      </c>
      <c r="U587" s="68"/>
      <c r="V587" s="68"/>
      <c r="W587" s="9"/>
      <c r="X587" s="10" t="s">
        <v>1178</v>
      </c>
      <c r="Y587" s="71">
        <f t="shared" si="29"/>
        <v>0</v>
      </c>
      <c r="Z587" s="73">
        <f t="shared" si="30"/>
        <v>0</v>
      </c>
      <c r="AA587" s="73">
        <f t="shared" si="31"/>
        <v>0</v>
      </c>
      <c r="AB587" s="11" t="str">
        <f t="shared" si="32"/>
        <v/>
      </c>
      <c r="AC587" s="73">
        <f t="shared" si="33"/>
        <v>0</v>
      </c>
      <c r="AD587" s="11" t="str">
        <f t="shared" si="34"/>
        <v/>
      </c>
      <c r="AE587" s="73">
        <f t="shared" si="35"/>
        <v>5.8699999999999996E-4</v>
      </c>
      <c r="AF587" s="11" t="str">
        <f t="shared" si="36"/>
        <v/>
      </c>
      <c r="AG587" s="73">
        <f t="shared" si="37"/>
        <v>5.8699999999999996E-4</v>
      </c>
      <c r="AH587" s="11" t="str">
        <f t="shared" si="38"/>
        <v/>
      </c>
    </row>
    <row r="588" spans="1:34" ht="14.25" customHeight="1">
      <c r="A588" s="11">
        <v>573</v>
      </c>
      <c r="B588" s="66" t="s">
        <v>1179</v>
      </c>
      <c r="C588" s="67"/>
      <c r="D588" s="67">
        <v>42345</v>
      </c>
      <c r="E588" s="67"/>
      <c r="F588" s="67"/>
      <c r="G588" s="67"/>
      <c r="H588" s="67"/>
      <c r="I588" s="6" t="s">
        <v>1180</v>
      </c>
      <c r="J588" s="9">
        <v>3278600248</v>
      </c>
      <c r="K588" s="68">
        <v>42338</v>
      </c>
      <c r="L588" s="68" t="s">
        <v>230</v>
      </c>
      <c r="M588" s="68">
        <v>44926</v>
      </c>
      <c r="N588" s="69">
        <f t="shared" si="26"/>
        <v>0</v>
      </c>
      <c r="O588" s="69" t="str">
        <f t="shared" si="27"/>
        <v>N/A</v>
      </c>
      <c r="P588" s="70">
        <v>0</v>
      </c>
      <c r="Q588" s="70"/>
      <c r="R588" s="70">
        <v>0</v>
      </c>
      <c r="S588" s="68">
        <f t="shared" si="28"/>
        <v>44926</v>
      </c>
      <c r="T588" s="68">
        <v>45792</v>
      </c>
      <c r="U588" s="68">
        <v>44926</v>
      </c>
      <c r="V588" s="92">
        <v>45560</v>
      </c>
      <c r="W588" s="9"/>
      <c r="X588" s="93"/>
      <c r="Y588" s="65" t="str">
        <f t="shared" si="29"/>
        <v/>
      </c>
      <c r="Z588" s="11" t="str">
        <f t="shared" si="30"/>
        <v/>
      </c>
      <c r="AA588" s="73">
        <f t="shared" si="31"/>
        <v>0</v>
      </c>
      <c r="AB588" s="11" t="str">
        <f t="shared" si="32"/>
        <v/>
      </c>
      <c r="AC588" s="11" t="str">
        <f t="shared" si="33"/>
        <v/>
      </c>
      <c r="AD588" s="11" t="str">
        <f t="shared" si="34"/>
        <v/>
      </c>
      <c r="AE588" s="73">
        <f t="shared" si="35"/>
        <v>5.8799999999999998E-4</v>
      </c>
      <c r="AF588" s="11" t="str">
        <f t="shared" si="36"/>
        <v/>
      </c>
      <c r="AG588" s="11" t="str">
        <f t="shared" si="37"/>
        <v/>
      </c>
      <c r="AH588" s="11" t="str">
        <f t="shared" si="38"/>
        <v/>
      </c>
    </row>
    <row r="589" spans="1:34" ht="14.25" customHeight="1">
      <c r="A589" s="11">
        <v>574</v>
      </c>
      <c r="B589" s="66"/>
      <c r="C589" s="67"/>
      <c r="D589" s="67"/>
      <c r="E589" s="67"/>
      <c r="F589" s="67"/>
      <c r="G589" s="67" t="s">
        <v>35</v>
      </c>
      <c r="H589" s="67">
        <v>45894</v>
      </c>
      <c r="I589" s="6" t="s">
        <v>1181</v>
      </c>
      <c r="J589" s="94">
        <v>3278702898</v>
      </c>
      <c r="K589" s="68">
        <v>45869</v>
      </c>
      <c r="L589" s="68">
        <v>46022</v>
      </c>
      <c r="M589" s="68">
        <v>46203</v>
      </c>
      <c r="N589" s="69">
        <f t="shared" si="26"/>
        <v>4</v>
      </c>
      <c r="O589" s="69">
        <f t="shared" si="27"/>
        <v>3</v>
      </c>
      <c r="P589" s="70">
        <v>3</v>
      </c>
      <c r="Q589" s="70">
        <v>4</v>
      </c>
      <c r="R589" s="70">
        <v>7</v>
      </c>
      <c r="S589" s="68" t="str">
        <f t="shared" si="28"/>
        <v/>
      </c>
      <c r="T589" s="68"/>
      <c r="U589" s="95"/>
      <c r="V589" s="68"/>
      <c r="W589" s="6"/>
      <c r="X589" s="10"/>
      <c r="Y589" s="71">
        <f t="shared" si="29"/>
        <v>4</v>
      </c>
      <c r="Z589" s="73">
        <f t="shared" si="30"/>
        <v>7</v>
      </c>
      <c r="AA589" s="11" t="str">
        <f t="shared" si="31"/>
        <v/>
      </c>
      <c r="AB589" s="73">
        <f t="shared" si="32"/>
        <v>4</v>
      </c>
      <c r="AC589" s="11" t="str">
        <f t="shared" si="33"/>
        <v/>
      </c>
      <c r="AD589" s="73">
        <f t="shared" si="34"/>
        <v>3</v>
      </c>
      <c r="AE589" s="11" t="str">
        <f t="shared" si="35"/>
        <v/>
      </c>
      <c r="AF589" s="73">
        <f t="shared" si="36"/>
        <v>4.0005889999999997</v>
      </c>
      <c r="AG589" s="11" t="str">
        <f t="shared" si="37"/>
        <v/>
      </c>
      <c r="AH589" s="73">
        <f t="shared" si="38"/>
        <v>3.0005890000000002</v>
      </c>
    </row>
    <row r="590" spans="1:34" ht="14.25" customHeight="1">
      <c r="A590" s="11">
        <v>575</v>
      </c>
      <c r="B590" s="66"/>
      <c r="C590" s="67"/>
      <c r="D590" s="67"/>
      <c r="E590" s="67"/>
      <c r="F590" s="67"/>
      <c r="G590" s="67" t="s">
        <v>35</v>
      </c>
      <c r="H590" s="67">
        <v>45184</v>
      </c>
      <c r="I590" s="6" t="s">
        <v>1182</v>
      </c>
      <c r="J590" s="9">
        <v>3278801862</v>
      </c>
      <c r="K590" s="68">
        <v>45169</v>
      </c>
      <c r="L590" s="68">
        <v>46022</v>
      </c>
      <c r="M590" s="68">
        <v>46203</v>
      </c>
      <c r="N590" s="69">
        <f t="shared" si="26"/>
        <v>24</v>
      </c>
      <c r="O590" s="69">
        <f t="shared" si="27"/>
        <v>7</v>
      </c>
      <c r="P590" s="70">
        <v>20</v>
      </c>
      <c r="Q590" s="70">
        <v>37</v>
      </c>
      <c r="R590" s="70">
        <v>44</v>
      </c>
      <c r="S590" s="68" t="str">
        <f t="shared" si="28"/>
        <v/>
      </c>
      <c r="T590" s="68"/>
      <c r="U590" s="68"/>
      <c r="V590" s="68"/>
      <c r="W590" s="9"/>
      <c r="X590" s="10"/>
      <c r="Y590" s="71">
        <f t="shared" si="29"/>
        <v>37</v>
      </c>
      <c r="Z590" s="73">
        <f t="shared" si="30"/>
        <v>44</v>
      </c>
      <c r="AA590" s="11" t="str">
        <f t="shared" si="31"/>
        <v/>
      </c>
      <c r="AB590" s="73">
        <f t="shared" si="32"/>
        <v>24</v>
      </c>
      <c r="AC590" s="11" t="str">
        <f t="shared" si="33"/>
        <v/>
      </c>
      <c r="AD590" s="73">
        <f t="shared" si="34"/>
        <v>7</v>
      </c>
      <c r="AE590" s="11" t="str">
        <f t="shared" si="35"/>
        <v/>
      </c>
      <c r="AF590" s="73">
        <f t="shared" si="36"/>
        <v>24.000589999999999</v>
      </c>
      <c r="AG590" s="11" t="str">
        <f t="shared" si="37"/>
        <v/>
      </c>
      <c r="AH590" s="73">
        <f t="shared" si="38"/>
        <v>7.0005899999999999</v>
      </c>
    </row>
    <row r="591" spans="1:34" ht="14.25" customHeight="1">
      <c r="A591" s="11">
        <v>576</v>
      </c>
      <c r="B591" s="66"/>
      <c r="C591" s="67"/>
      <c r="D591" s="67"/>
      <c r="E591" s="67"/>
      <c r="F591" s="67"/>
      <c r="G591" s="67" t="s">
        <v>35</v>
      </c>
      <c r="H591" s="67">
        <v>45174</v>
      </c>
      <c r="I591" s="6" t="s">
        <v>1183</v>
      </c>
      <c r="J591" s="9">
        <v>3288700404</v>
      </c>
      <c r="K591" s="68">
        <v>45169</v>
      </c>
      <c r="L591" s="68">
        <v>46022</v>
      </c>
      <c r="M591" s="68">
        <v>46203</v>
      </c>
      <c r="N591" s="69">
        <f t="shared" si="26"/>
        <v>6</v>
      </c>
      <c r="O591" s="69">
        <f t="shared" si="27"/>
        <v>2</v>
      </c>
      <c r="P591" s="70">
        <v>6</v>
      </c>
      <c r="Q591" s="70">
        <v>10</v>
      </c>
      <c r="R591" s="70">
        <v>12</v>
      </c>
      <c r="S591" s="68" t="str">
        <f t="shared" si="28"/>
        <v/>
      </c>
      <c r="T591" s="68"/>
      <c r="U591" s="68"/>
      <c r="V591" s="68"/>
      <c r="W591" s="9"/>
      <c r="X591" s="10"/>
      <c r="Y591" s="71">
        <f t="shared" si="29"/>
        <v>10</v>
      </c>
      <c r="Z591" s="73">
        <f t="shared" si="30"/>
        <v>12</v>
      </c>
      <c r="AA591" s="11" t="str">
        <f t="shared" si="31"/>
        <v/>
      </c>
      <c r="AB591" s="73">
        <f t="shared" si="32"/>
        <v>6</v>
      </c>
      <c r="AC591" s="11" t="str">
        <f t="shared" si="33"/>
        <v/>
      </c>
      <c r="AD591" s="73">
        <f t="shared" si="34"/>
        <v>2</v>
      </c>
      <c r="AE591" s="11" t="str">
        <f t="shared" si="35"/>
        <v/>
      </c>
      <c r="AF591" s="73">
        <f t="shared" si="36"/>
        <v>6.000591</v>
      </c>
      <c r="AG591" s="11" t="str">
        <f t="shared" si="37"/>
        <v/>
      </c>
      <c r="AH591" s="73">
        <f t="shared" si="38"/>
        <v>2.000591</v>
      </c>
    </row>
    <row r="592" spans="1:34" ht="14.25" customHeight="1">
      <c r="A592" s="11">
        <v>577</v>
      </c>
      <c r="B592" s="66" t="s">
        <v>24</v>
      </c>
      <c r="C592" s="67">
        <v>43217</v>
      </c>
      <c r="D592" s="67">
        <v>43220</v>
      </c>
      <c r="E592" s="67"/>
      <c r="F592" s="67"/>
      <c r="G592" s="67" t="s">
        <v>24</v>
      </c>
      <c r="H592" s="67">
        <v>43223</v>
      </c>
      <c r="I592" s="6" t="s">
        <v>1184</v>
      </c>
      <c r="J592" s="9">
        <v>3288700781</v>
      </c>
      <c r="K592" s="68">
        <v>43190</v>
      </c>
      <c r="L592" s="68" t="s">
        <v>230</v>
      </c>
      <c r="M592" s="68">
        <v>45260</v>
      </c>
      <c r="N592" s="69">
        <f t="shared" si="26"/>
        <v>-3</v>
      </c>
      <c r="O592" s="69" t="str">
        <f t="shared" si="27"/>
        <v>N/A</v>
      </c>
      <c r="P592" s="70">
        <v>3</v>
      </c>
      <c r="Q592" s="70"/>
      <c r="R592" s="70">
        <v>0</v>
      </c>
      <c r="S592" s="68">
        <f t="shared" si="28"/>
        <v>45260</v>
      </c>
      <c r="T592" s="68">
        <v>45260</v>
      </c>
      <c r="U592" s="68">
        <v>44561</v>
      </c>
      <c r="V592" s="92">
        <v>45560</v>
      </c>
      <c r="W592" s="9"/>
      <c r="X592" s="10"/>
      <c r="Y592" s="65" t="str">
        <f t="shared" si="29"/>
        <v/>
      </c>
      <c r="Z592" s="11" t="str">
        <f t="shared" si="30"/>
        <v/>
      </c>
      <c r="AA592" s="73">
        <f t="shared" si="31"/>
        <v>-3</v>
      </c>
      <c r="AB592" s="73">
        <f t="shared" si="32"/>
        <v>-3</v>
      </c>
      <c r="AC592" s="11" t="str">
        <f t="shared" si="33"/>
        <v/>
      </c>
      <c r="AD592" s="11" t="str">
        <f t="shared" si="34"/>
        <v/>
      </c>
      <c r="AE592" s="73">
        <f t="shared" si="35"/>
        <v>-2.9994079999999999</v>
      </c>
      <c r="AF592" s="73">
        <f t="shared" si="36"/>
        <v>-2.9994079999999999</v>
      </c>
      <c r="AG592" s="11" t="str">
        <f t="shared" si="37"/>
        <v/>
      </c>
      <c r="AH592" s="11" t="str">
        <f t="shared" si="38"/>
        <v/>
      </c>
    </row>
    <row r="593" spans="1:34" ht="14.25" customHeight="1">
      <c r="A593" s="11">
        <v>578</v>
      </c>
      <c r="B593" s="66"/>
      <c r="C593" s="67"/>
      <c r="D593" s="67"/>
      <c r="E593" s="67"/>
      <c r="F593" s="67"/>
      <c r="G593" s="67" t="s">
        <v>35</v>
      </c>
      <c r="H593" s="67">
        <v>44564</v>
      </c>
      <c r="I593" s="6" t="s">
        <v>1185</v>
      </c>
      <c r="J593" s="94">
        <v>3288801680</v>
      </c>
      <c r="K593" s="68">
        <v>44561</v>
      </c>
      <c r="L593" s="68">
        <v>46022</v>
      </c>
      <c r="M593" s="68">
        <v>46203</v>
      </c>
      <c r="N593" s="69">
        <f t="shared" si="26"/>
        <v>-7</v>
      </c>
      <c r="O593" s="69">
        <f t="shared" si="27"/>
        <v>-3</v>
      </c>
      <c r="P593" s="78">
        <v>13</v>
      </c>
      <c r="Q593" s="78">
        <v>9</v>
      </c>
      <c r="R593" s="78">
        <v>6</v>
      </c>
      <c r="S593" s="68" t="str">
        <f t="shared" si="28"/>
        <v/>
      </c>
      <c r="T593" s="68"/>
      <c r="U593" s="95"/>
      <c r="V593" s="68"/>
      <c r="W593" s="6"/>
      <c r="X593" s="122" t="s">
        <v>807</v>
      </c>
      <c r="Y593" s="71">
        <f t="shared" si="29"/>
        <v>9</v>
      </c>
      <c r="Z593" s="73">
        <f t="shared" si="30"/>
        <v>6</v>
      </c>
      <c r="AA593" s="11" t="str">
        <f t="shared" si="31"/>
        <v/>
      </c>
      <c r="AB593" s="73">
        <f t="shared" si="32"/>
        <v>-7</v>
      </c>
      <c r="AC593" s="11" t="str">
        <f t="shared" si="33"/>
        <v/>
      </c>
      <c r="AD593" s="73">
        <f t="shared" si="34"/>
        <v>-3</v>
      </c>
      <c r="AE593" s="11" t="str">
        <f t="shared" si="35"/>
        <v/>
      </c>
      <c r="AF593" s="73">
        <f t="shared" si="36"/>
        <v>-6.9994069999999997</v>
      </c>
      <c r="AG593" s="11" t="str">
        <f t="shared" si="37"/>
        <v/>
      </c>
      <c r="AH593" s="73">
        <f t="shared" si="38"/>
        <v>-2.9994070000000002</v>
      </c>
    </row>
    <row r="594" spans="1:34" ht="14.25" customHeight="1">
      <c r="A594" s="11">
        <v>579</v>
      </c>
      <c r="B594" s="66" t="s">
        <v>35</v>
      </c>
      <c r="C594" s="67">
        <v>45658</v>
      </c>
      <c r="D594" s="67">
        <v>45512</v>
      </c>
      <c r="E594" s="67">
        <v>45658</v>
      </c>
      <c r="F594" s="67"/>
      <c r="G594" s="67"/>
      <c r="H594" s="67"/>
      <c r="I594" s="6" t="s">
        <v>1186</v>
      </c>
      <c r="J594" s="9">
        <v>3298100803</v>
      </c>
      <c r="K594" s="68">
        <v>45504</v>
      </c>
      <c r="L594" s="68">
        <v>46022</v>
      </c>
      <c r="M594" s="68">
        <v>46203</v>
      </c>
      <c r="N594" s="69">
        <f t="shared" si="26"/>
        <v>-2</v>
      </c>
      <c r="O594" s="69">
        <f t="shared" si="27"/>
        <v>3</v>
      </c>
      <c r="P594" s="70">
        <v>12</v>
      </c>
      <c r="Q594" s="70">
        <v>7</v>
      </c>
      <c r="R594" s="70">
        <v>10</v>
      </c>
      <c r="S594" s="68" t="str">
        <f t="shared" si="28"/>
        <v/>
      </c>
      <c r="T594" s="68"/>
      <c r="U594" s="68"/>
      <c r="V594" s="68"/>
      <c r="W594" s="9"/>
      <c r="X594" s="10"/>
      <c r="Y594" s="71">
        <f t="shared" si="29"/>
        <v>7</v>
      </c>
      <c r="Z594" s="73">
        <f t="shared" si="30"/>
        <v>10</v>
      </c>
      <c r="AA594" s="73">
        <f t="shared" si="31"/>
        <v>-2</v>
      </c>
      <c r="AB594" s="11" t="str">
        <f t="shared" si="32"/>
        <v/>
      </c>
      <c r="AC594" s="73">
        <f t="shared" si="33"/>
        <v>3</v>
      </c>
      <c r="AD594" s="11" t="str">
        <f t="shared" si="34"/>
        <v/>
      </c>
      <c r="AE594" s="73">
        <f t="shared" si="35"/>
        <v>-1.999406</v>
      </c>
      <c r="AF594" s="11" t="str">
        <f t="shared" si="36"/>
        <v/>
      </c>
      <c r="AG594" s="73">
        <f t="shared" si="37"/>
        <v>3.000594</v>
      </c>
      <c r="AH594" s="11" t="str">
        <f t="shared" si="38"/>
        <v/>
      </c>
    </row>
    <row r="595" spans="1:34" ht="14.25" customHeight="1">
      <c r="A595" s="11">
        <v>580</v>
      </c>
      <c r="B595" s="66"/>
      <c r="C595" s="67"/>
      <c r="D595" s="67"/>
      <c r="E595" s="67"/>
      <c r="F595" s="67"/>
      <c r="G595" s="67" t="s">
        <v>35</v>
      </c>
      <c r="H595" s="67">
        <v>45709</v>
      </c>
      <c r="I595" s="6" t="s">
        <v>1187</v>
      </c>
      <c r="J595" s="9">
        <v>3298602640</v>
      </c>
      <c r="K595" s="68">
        <v>45688</v>
      </c>
      <c r="L595" s="68">
        <v>46022</v>
      </c>
      <c r="M595" s="68">
        <v>46203</v>
      </c>
      <c r="N595" s="69">
        <f t="shared" si="26"/>
        <v>11</v>
      </c>
      <c r="O595" s="69">
        <f t="shared" si="27"/>
        <v>1</v>
      </c>
      <c r="P595" s="70">
        <v>14</v>
      </c>
      <c r="Q595" s="70">
        <v>24</v>
      </c>
      <c r="R595" s="70">
        <v>25</v>
      </c>
      <c r="S595" s="68" t="str">
        <f t="shared" si="28"/>
        <v/>
      </c>
      <c r="T595" s="68"/>
      <c r="U595" s="68"/>
      <c r="V595" s="68"/>
      <c r="W595" s="9"/>
      <c r="X595" s="10"/>
      <c r="Y595" s="71">
        <f t="shared" si="29"/>
        <v>24</v>
      </c>
      <c r="Z595" s="73">
        <f t="shared" si="30"/>
        <v>25</v>
      </c>
      <c r="AA595" s="11" t="str">
        <f t="shared" si="31"/>
        <v/>
      </c>
      <c r="AB595" s="73">
        <f t="shared" si="32"/>
        <v>11</v>
      </c>
      <c r="AC595" s="11" t="str">
        <f t="shared" si="33"/>
        <v/>
      </c>
      <c r="AD595" s="73">
        <f t="shared" si="34"/>
        <v>1</v>
      </c>
      <c r="AE595" s="11" t="str">
        <f t="shared" si="35"/>
        <v/>
      </c>
      <c r="AF595" s="73">
        <f t="shared" si="36"/>
        <v>11.000595000000001</v>
      </c>
      <c r="AG595" s="11" t="str">
        <f t="shared" si="37"/>
        <v/>
      </c>
      <c r="AH595" s="73">
        <f t="shared" si="38"/>
        <v>1.0005949999999999</v>
      </c>
    </row>
    <row r="596" spans="1:34" ht="14.25" customHeight="1">
      <c r="A596" s="11">
        <v>581</v>
      </c>
      <c r="B596" s="66" t="s">
        <v>35</v>
      </c>
      <c r="C596" s="67">
        <v>43461</v>
      </c>
      <c r="D596" s="67"/>
      <c r="E596" s="67"/>
      <c r="F596" s="67"/>
      <c r="G596" s="67"/>
      <c r="H596" s="67"/>
      <c r="I596" s="6" t="s">
        <v>1188</v>
      </c>
      <c r="J596" s="9">
        <v>3298801209</v>
      </c>
      <c r="K596" s="68">
        <v>43434</v>
      </c>
      <c r="L596" s="68">
        <v>46022</v>
      </c>
      <c r="M596" s="68">
        <v>46203</v>
      </c>
      <c r="N596" s="69">
        <f t="shared" si="26"/>
        <v>0</v>
      </c>
      <c r="O596" s="69">
        <f t="shared" si="27"/>
        <v>0</v>
      </c>
      <c r="P596" s="70">
        <v>0</v>
      </c>
      <c r="Q596" s="70">
        <v>0</v>
      </c>
      <c r="R596" s="70">
        <v>0</v>
      </c>
      <c r="S596" s="68" t="str">
        <f t="shared" si="28"/>
        <v/>
      </c>
      <c r="T596" s="68"/>
      <c r="U596" s="68"/>
      <c r="V596" s="68"/>
      <c r="W596" s="9"/>
      <c r="X596" s="10" t="s">
        <v>1189</v>
      </c>
      <c r="Y596" s="71">
        <f t="shared" si="29"/>
        <v>0</v>
      </c>
      <c r="Z596" s="73">
        <f t="shared" si="30"/>
        <v>0</v>
      </c>
      <c r="AA596" s="73">
        <f t="shared" si="31"/>
        <v>0</v>
      </c>
      <c r="AB596" s="11" t="str">
        <f t="shared" si="32"/>
        <v/>
      </c>
      <c r="AC596" s="73">
        <f t="shared" si="33"/>
        <v>0</v>
      </c>
      <c r="AD596" s="11" t="str">
        <f t="shared" si="34"/>
        <v/>
      </c>
      <c r="AE596" s="73">
        <f t="shared" si="35"/>
        <v>5.9599999999999996E-4</v>
      </c>
      <c r="AF596" s="11" t="str">
        <f t="shared" si="36"/>
        <v/>
      </c>
      <c r="AG596" s="73">
        <f t="shared" si="37"/>
        <v>5.9599999999999996E-4</v>
      </c>
      <c r="AH596" s="11" t="str">
        <f t="shared" si="38"/>
        <v/>
      </c>
    </row>
    <row r="597" spans="1:34" ht="14.25" customHeight="1">
      <c r="A597" s="11">
        <v>582</v>
      </c>
      <c r="B597" s="66" t="s">
        <v>35</v>
      </c>
      <c r="C597" s="67">
        <v>45078</v>
      </c>
      <c r="D597" s="67"/>
      <c r="E597" s="67"/>
      <c r="F597" s="67"/>
      <c r="G597" s="67" t="s">
        <v>283</v>
      </c>
      <c r="H597" s="67">
        <v>43495</v>
      </c>
      <c r="I597" s="6" t="s">
        <v>1190</v>
      </c>
      <c r="J597" s="9">
        <v>3318101353</v>
      </c>
      <c r="K597" s="68">
        <v>43465</v>
      </c>
      <c r="L597" s="68">
        <v>46022</v>
      </c>
      <c r="M597" s="68">
        <v>46203</v>
      </c>
      <c r="N597" s="69">
        <f t="shared" si="26"/>
        <v>26</v>
      </c>
      <c r="O597" s="69">
        <f t="shared" si="27"/>
        <v>4</v>
      </c>
      <c r="P597" s="70">
        <v>0</v>
      </c>
      <c r="Q597" s="70">
        <v>22</v>
      </c>
      <c r="R597" s="70">
        <v>26</v>
      </c>
      <c r="S597" s="68" t="str">
        <f t="shared" si="28"/>
        <v/>
      </c>
      <c r="T597" s="68"/>
      <c r="U597" s="68"/>
      <c r="V597" s="68"/>
      <c r="W597" s="68">
        <v>45721</v>
      </c>
      <c r="X597" s="10"/>
      <c r="Y597" s="71">
        <f t="shared" si="29"/>
        <v>22</v>
      </c>
      <c r="Z597" s="73">
        <f t="shared" si="30"/>
        <v>26</v>
      </c>
      <c r="AA597" s="73">
        <f t="shared" si="31"/>
        <v>26</v>
      </c>
      <c r="AB597" s="73">
        <f t="shared" si="32"/>
        <v>26</v>
      </c>
      <c r="AC597" s="73">
        <f t="shared" si="33"/>
        <v>4</v>
      </c>
      <c r="AD597" s="73">
        <f t="shared" si="34"/>
        <v>4</v>
      </c>
      <c r="AE597" s="73">
        <f t="shared" si="35"/>
        <v>26.000596999999999</v>
      </c>
      <c r="AF597" s="73">
        <f t="shared" si="36"/>
        <v>26.000596999999999</v>
      </c>
      <c r="AG597" s="73">
        <f t="shared" si="37"/>
        <v>4.000597</v>
      </c>
      <c r="AH597" s="73">
        <f t="shared" si="38"/>
        <v>4.000597</v>
      </c>
    </row>
    <row r="598" spans="1:34" ht="14.25" customHeight="1">
      <c r="A598" s="11">
        <v>583</v>
      </c>
      <c r="B598" s="66" t="s">
        <v>35</v>
      </c>
      <c r="C598" s="67">
        <v>45352</v>
      </c>
      <c r="D598" s="67"/>
      <c r="E598" s="67"/>
      <c r="F598" s="67"/>
      <c r="G598" s="67" t="s">
        <v>35</v>
      </c>
      <c r="H598" s="67">
        <v>44965</v>
      </c>
      <c r="I598" s="6" t="s">
        <v>1191</v>
      </c>
      <c r="J598" s="9">
        <v>3318102537</v>
      </c>
      <c r="K598" s="68">
        <v>44957</v>
      </c>
      <c r="L598" s="68">
        <v>46022</v>
      </c>
      <c r="M598" s="68">
        <v>46203</v>
      </c>
      <c r="N598" s="69">
        <f t="shared" si="26"/>
        <v>2</v>
      </c>
      <c r="O598" s="69">
        <f t="shared" si="27"/>
        <v>-1</v>
      </c>
      <c r="P598" s="70">
        <v>0</v>
      </c>
      <c r="Q598" s="70">
        <v>3</v>
      </c>
      <c r="R598" s="70">
        <v>2</v>
      </c>
      <c r="S598" s="68" t="str">
        <f t="shared" si="28"/>
        <v/>
      </c>
      <c r="T598" s="68"/>
      <c r="U598" s="68"/>
      <c r="V598" s="68"/>
      <c r="W598" s="9"/>
      <c r="X598" s="10"/>
      <c r="Y598" s="71">
        <f t="shared" si="29"/>
        <v>3</v>
      </c>
      <c r="Z598" s="73">
        <f t="shared" si="30"/>
        <v>2</v>
      </c>
      <c r="AA598" s="73">
        <f t="shared" si="31"/>
        <v>2</v>
      </c>
      <c r="AB598" s="73">
        <f t="shared" si="32"/>
        <v>2</v>
      </c>
      <c r="AC598" s="73">
        <f t="shared" si="33"/>
        <v>-1</v>
      </c>
      <c r="AD598" s="73">
        <f t="shared" si="34"/>
        <v>-1</v>
      </c>
      <c r="AE598" s="73">
        <f t="shared" si="35"/>
        <v>2.0005980000000001</v>
      </c>
      <c r="AF598" s="73">
        <f t="shared" si="36"/>
        <v>2.0005980000000001</v>
      </c>
      <c r="AG598" s="73">
        <f t="shared" si="37"/>
        <v>-0.99940200000000001</v>
      </c>
      <c r="AH598" s="73">
        <f t="shared" si="38"/>
        <v>-0.99940200000000001</v>
      </c>
    </row>
    <row r="599" spans="1:34" ht="14.25" customHeight="1">
      <c r="A599" s="11">
        <v>584</v>
      </c>
      <c r="B599" s="66" t="s">
        <v>35</v>
      </c>
      <c r="C599" s="67">
        <v>44896</v>
      </c>
      <c r="D599" s="67"/>
      <c r="E599" s="67"/>
      <c r="F599" s="67"/>
      <c r="G599" s="67"/>
      <c r="H599" s="67"/>
      <c r="I599" s="6" t="s">
        <v>1192</v>
      </c>
      <c r="J599" s="9">
        <v>3318600494</v>
      </c>
      <c r="K599" s="68">
        <v>44895</v>
      </c>
      <c r="L599" s="68">
        <v>46022</v>
      </c>
      <c r="M599" s="68">
        <v>46203</v>
      </c>
      <c r="N599" s="69">
        <f t="shared" si="26"/>
        <v>7</v>
      </c>
      <c r="O599" s="69">
        <f t="shared" si="27"/>
        <v>-5</v>
      </c>
      <c r="P599" s="70">
        <v>58</v>
      </c>
      <c r="Q599" s="70">
        <v>70</v>
      </c>
      <c r="R599" s="70">
        <v>65</v>
      </c>
      <c r="S599" s="68" t="str">
        <f t="shared" si="28"/>
        <v/>
      </c>
      <c r="T599" s="68"/>
      <c r="U599" s="68"/>
      <c r="V599" s="68"/>
      <c r="W599" s="9"/>
      <c r="X599" s="10"/>
      <c r="Y599" s="71">
        <f t="shared" si="29"/>
        <v>70</v>
      </c>
      <c r="Z599" s="73">
        <f t="shared" si="30"/>
        <v>65</v>
      </c>
      <c r="AA599" s="73">
        <f t="shared" si="31"/>
        <v>7</v>
      </c>
      <c r="AB599" s="11" t="str">
        <f t="shared" si="32"/>
        <v/>
      </c>
      <c r="AC599" s="73">
        <f t="shared" si="33"/>
        <v>-5</v>
      </c>
      <c r="AD599" s="11" t="str">
        <f t="shared" si="34"/>
        <v/>
      </c>
      <c r="AE599" s="73">
        <f t="shared" si="35"/>
        <v>7.0005990000000002</v>
      </c>
      <c r="AF599" s="11" t="str">
        <f t="shared" si="36"/>
        <v/>
      </c>
      <c r="AG599" s="73">
        <f t="shared" si="37"/>
        <v>-4.9994009999999998</v>
      </c>
      <c r="AH599" s="11" t="str">
        <f t="shared" si="38"/>
        <v/>
      </c>
    </row>
    <row r="600" spans="1:34" ht="14.25" customHeight="1">
      <c r="A600" s="11">
        <v>585</v>
      </c>
      <c r="B600" s="66" t="s">
        <v>35</v>
      </c>
      <c r="C600" s="67">
        <v>45658</v>
      </c>
      <c r="D600" s="67">
        <v>45098</v>
      </c>
      <c r="E600" s="67"/>
      <c r="F600" s="67"/>
      <c r="G600" s="67"/>
      <c r="H600" s="67"/>
      <c r="I600" s="6" t="s">
        <v>1193</v>
      </c>
      <c r="J600" s="9">
        <v>3318602342</v>
      </c>
      <c r="K600" s="68">
        <v>45077</v>
      </c>
      <c r="L600" s="68">
        <v>46022</v>
      </c>
      <c r="M600" s="68">
        <v>46203</v>
      </c>
      <c r="N600" s="69">
        <f t="shared" si="26"/>
        <v>1</v>
      </c>
      <c r="O600" s="69">
        <f t="shared" si="27"/>
        <v>-1</v>
      </c>
      <c r="P600" s="70">
        <v>10</v>
      </c>
      <c r="Q600" s="70">
        <v>12</v>
      </c>
      <c r="R600" s="70">
        <v>11</v>
      </c>
      <c r="S600" s="68" t="str">
        <f t="shared" si="28"/>
        <v/>
      </c>
      <c r="T600" s="68"/>
      <c r="U600" s="68"/>
      <c r="V600" s="68"/>
      <c r="W600" s="9"/>
      <c r="X600" s="10"/>
      <c r="Y600" s="71">
        <f t="shared" si="29"/>
        <v>12</v>
      </c>
      <c r="Z600" s="73">
        <f t="shared" si="30"/>
        <v>11</v>
      </c>
      <c r="AA600" s="73">
        <f t="shared" si="31"/>
        <v>1</v>
      </c>
      <c r="AB600" s="11" t="str">
        <f t="shared" si="32"/>
        <v/>
      </c>
      <c r="AC600" s="73">
        <f t="shared" si="33"/>
        <v>-1</v>
      </c>
      <c r="AD600" s="11" t="str">
        <f t="shared" si="34"/>
        <v/>
      </c>
      <c r="AE600" s="73">
        <f t="shared" si="35"/>
        <v>1.0005999999999999</v>
      </c>
      <c r="AF600" s="11" t="str">
        <f t="shared" si="36"/>
        <v/>
      </c>
      <c r="AG600" s="73">
        <f t="shared" si="37"/>
        <v>-0.99939999999999996</v>
      </c>
      <c r="AH600" s="11" t="str">
        <f t="shared" si="38"/>
        <v/>
      </c>
    </row>
    <row r="601" spans="1:34" ht="14.25" customHeight="1">
      <c r="A601" s="11">
        <v>586</v>
      </c>
      <c r="B601" s="66"/>
      <c r="C601" s="67"/>
      <c r="D601" s="67"/>
      <c r="E601" s="67"/>
      <c r="F601" s="67"/>
      <c r="G601" s="67" t="s">
        <v>35</v>
      </c>
      <c r="H601" s="67">
        <v>45085</v>
      </c>
      <c r="I601" s="6" t="s">
        <v>1194</v>
      </c>
      <c r="J601" s="9">
        <v>3328602156</v>
      </c>
      <c r="K601" s="68">
        <v>45077</v>
      </c>
      <c r="L601" s="68">
        <v>46022</v>
      </c>
      <c r="M601" s="68">
        <v>46203</v>
      </c>
      <c r="N601" s="69">
        <f t="shared" si="26"/>
        <v>-1</v>
      </c>
      <c r="O601" s="69">
        <f t="shared" si="27"/>
        <v>-4</v>
      </c>
      <c r="P601" s="70">
        <v>7</v>
      </c>
      <c r="Q601" s="70">
        <v>10</v>
      </c>
      <c r="R601" s="70">
        <v>6</v>
      </c>
      <c r="S601" s="68" t="str">
        <f t="shared" si="28"/>
        <v/>
      </c>
      <c r="T601" s="68"/>
      <c r="U601" s="68"/>
      <c r="V601" s="68"/>
      <c r="W601" s="9"/>
      <c r="X601" s="10"/>
      <c r="Y601" s="71">
        <f t="shared" si="29"/>
        <v>10</v>
      </c>
      <c r="Z601" s="73">
        <f t="shared" si="30"/>
        <v>6</v>
      </c>
      <c r="AA601" s="11" t="str">
        <f t="shared" si="31"/>
        <v/>
      </c>
      <c r="AB601" s="73">
        <f t="shared" si="32"/>
        <v>-1</v>
      </c>
      <c r="AC601" s="11" t="str">
        <f t="shared" si="33"/>
        <v/>
      </c>
      <c r="AD601" s="73">
        <f t="shared" si="34"/>
        <v>-4</v>
      </c>
      <c r="AE601" s="11" t="str">
        <f t="shared" si="35"/>
        <v/>
      </c>
      <c r="AF601" s="73">
        <f t="shared" si="36"/>
        <v>-0.99939900000000004</v>
      </c>
      <c r="AG601" s="11" t="str">
        <f t="shared" si="37"/>
        <v/>
      </c>
      <c r="AH601" s="73">
        <f t="shared" si="38"/>
        <v>-3.9993989999999999</v>
      </c>
    </row>
    <row r="602" spans="1:34" ht="14.25" customHeight="1">
      <c r="A602" s="11">
        <v>587</v>
      </c>
      <c r="B602" s="66"/>
      <c r="C602" s="67"/>
      <c r="D602" s="67"/>
      <c r="E602" s="67"/>
      <c r="F602" s="67"/>
      <c r="G602" s="67" t="s">
        <v>35</v>
      </c>
      <c r="H602" s="67">
        <v>45113</v>
      </c>
      <c r="I602" s="6" t="s">
        <v>1195</v>
      </c>
      <c r="J602" s="9">
        <v>3328702508</v>
      </c>
      <c r="K602" s="68">
        <v>45107</v>
      </c>
      <c r="L602" s="68">
        <v>46022</v>
      </c>
      <c r="M602" s="68">
        <v>46203</v>
      </c>
      <c r="N602" s="69">
        <f t="shared" si="26"/>
        <v>1</v>
      </c>
      <c r="O602" s="69">
        <f t="shared" si="27"/>
        <v>1</v>
      </c>
      <c r="P602" s="70">
        <v>9</v>
      </c>
      <c r="Q602" s="70">
        <v>9</v>
      </c>
      <c r="R602" s="70">
        <v>10</v>
      </c>
      <c r="S602" s="68" t="str">
        <f t="shared" si="28"/>
        <v/>
      </c>
      <c r="T602" s="68"/>
      <c r="U602" s="68"/>
      <c r="V602" s="68"/>
      <c r="W602" s="9"/>
      <c r="X602" s="10"/>
      <c r="Y602" s="71">
        <f t="shared" si="29"/>
        <v>9</v>
      </c>
      <c r="Z602" s="73">
        <f t="shared" si="30"/>
        <v>10</v>
      </c>
      <c r="AA602" s="11" t="str">
        <f t="shared" si="31"/>
        <v/>
      </c>
      <c r="AB602" s="73">
        <f t="shared" si="32"/>
        <v>1</v>
      </c>
      <c r="AC602" s="11" t="str">
        <f t="shared" si="33"/>
        <v/>
      </c>
      <c r="AD602" s="73">
        <f t="shared" si="34"/>
        <v>1</v>
      </c>
      <c r="AE602" s="11" t="str">
        <f t="shared" si="35"/>
        <v/>
      </c>
      <c r="AF602" s="73">
        <f t="shared" si="36"/>
        <v>1.000602</v>
      </c>
      <c r="AG602" s="11" t="str">
        <f t="shared" si="37"/>
        <v/>
      </c>
      <c r="AH602" s="73">
        <f t="shared" si="38"/>
        <v>1.000602</v>
      </c>
    </row>
    <row r="603" spans="1:34" ht="14.25" customHeight="1">
      <c r="A603" s="11">
        <v>588</v>
      </c>
      <c r="B603" s="66"/>
      <c r="C603" s="67"/>
      <c r="D603" s="67"/>
      <c r="E603" s="67"/>
      <c r="F603" s="67"/>
      <c r="G603" s="67" t="s">
        <v>35</v>
      </c>
      <c r="H603" s="67">
        <v>44690</v>
      </c>
      <c r="I603" s="6" t="s">
        <v>1196</v>
      </c>
      <c r="J603" s="9">
        <v>3338802226</v>
      </c>
      <c r="K603" s="68">
        <v>44681</v>
      </c>
      <c r="L603" s="68">
        <v>46022</v>
      </c>
      <c r="M603" s="68">
        <v>46203</v>
      </c>
      <c r="N603" s="69">
        <f t="shared" si="26"/>
        <v>25</v>
      </c>
      <c r="O603" s="69">
        <f t="shared" si="27"/>
        <v>4</v>
      </c>
      <c r="P603" s="70">
        <v>0</v>
      </c>
      <c r="Q603" s="70">
        <v>21</v>
      </c>
      <c r="R603" s="70">
        <v>25</v>
      </c>
      <c r="S603" s="68" t="str">
        <f t="shared" si="28"/>
        <v/>
      </c>
      <c r="T603" s="68"/>
      <c r="U603" s="68"/>
      <c r="V603" s="68"/>
      <c r="W603" s="9"/>
      <c r="X603" s="10"/>
      <c r="Y603" s="71">
        <f t="shared" si="29"/>
        <v>21</v>
      </c>
      <c r="Z603" s="73">
        <f t="shared" si="30"/>
        <v>25</v>
      </c>
      <c r="AA603" s="11" t="str">
        <f t="shared" si="31"/>
        <v/>
      </c>
      <c r="AB603" s="73">
        <f t="shared" si="32"/>
        <v>25</v>
      </c>
      <c r="AC603" s="11" t="str">
        <f t="shared" si="33"/>
        <v/>
      </c>
      <c r="AD603" s="73">
        <f t="shared" si="34"/>
        <v>4</v>
      </c>
      <c r="AE603" s="11" t="str">
        <f t="shared" si="35"/>
        <v/>
      </c>
      <c r="AF603" s="73">
        <f t="shared" si="36"/>
        <v>25.000603000000002</v>
      </c>
      <c r="AG603" s="11" t="str">
        <f t="shared" si="37"/>
        <v/>
      </c>
      <c r="AH603" s="73">
        <f t="shared" si="38"/>
        <v>4.0006029999999999</v>
      </c>
    </row>
    <row r="604" spans="1:34" ht="14.25" customHeight="1">
      <c r="A604" s="11">
        <v>589</v>
      </c>
      <c r="B604" s="66" t="s">
        <v>35</v>
      </c>
      <c r="C604" s="67">
        <v>45658</v>
      </c>
      <c r="D604" s="67">
        <v>45646</v>
      </c>
      <c r="E604" s="67">
        <v>45658</v>
      </c>
      <c r="F604" s="67">
        <v>46154</v>
      </c>
      <c r="G604" s="67"/>
      <c r="H604" s="67"/>
      <c r="I604" s="6" t="s">
        <v>1197</v>
      </c>
      <c r="J604" s="9">
        <v>3348601982</v>
      </c>
      <c r="K604" s="68">
        <v>45626</v>
      </c>
      <c r="L604" s="68">
        <v>46022</v>
      </c>
      <c r="M604" s="68">
        <v>46203</v>
      </c>
      <c r="N604" s="69">
        <f t="shared" si="26"/>
        <v>7</v>
      </c>
      <c r="O604" s="69">
        <f t="shared" si="27"/>
        <v>3</v>
      </c>
      <c r="P604" s="70">
        <v>19</v>
      </c>
      <c r="Q604" s="70">
        <v>23</v>
      </c>
      <c r="R604" s="70">
        <v>26</v>
      </c>
      <c r="S604" s="68" t="str">
        <f t="shared" si="28"/>
        <v/>
      </c>
      <c r="T604" s="68"/>
      <c r="U604" s="68"/>
      <c r="V604" s="68"/>
      <c r="W604" s="9"/>
      <c r="X604" s="10"/>
      <c r="Y604" s="71">
        <f t="shared" si="29"/>
        <v>23</v>
      </c>
      <c r="Z604" s="73">
        <f t="shared" si="30"/>
        <v>26</v>
      </c>
      <c r="AA604" s="73">
        <f t="shared" si="31"/>
        <v>7</v>
      </c>
      <c r="AB604" s="11" t="str">
        <f t="shared" si="32"/>
        <v/>
      </c>
      <c r="AC604" s="73">
        <f t="shared" si="33"/>
        <v>3</v>
      </c>
      <c r="AD604" s="11" t="str">
        <f t="shared" si="34"/>
        <v/>
      </c>
      <c r="AE604" s="73">
        <f t="shared" si="35"/>
        <v>7.000604</v>
      </c>
      <c r="AF604" s="11" t="str">
        <f t="shared" si="36"/>
        <v/>
      </c>
      <c r="AG604" s="73">
        <f t="shared" si="37"/>
        <v>3.000604</v>
      </c>
      <c r="AH604" s="11" t="str">
        <f t="shared" si="38"/>
        <v/>
      </c>
    </row>
    <row r="605" spans="1:34" ht="14.25" customHeight="1">
      <c r="A605" s="11">
        <v>590</v>
      </c>
      <c r="B605" s="66" t="s">
        <v>35</v>
      </c>
      <c r="C605" s="67">
        <v>44621</v>
      </c>
      <c r="D605" s="67">
        <v>44691</v>
      </c>
      <c r="E605" s="67"/>
      <c r="F605" s="67"/>
      <c r="G605" s="67" t="s">
        <v>35</v>
      </c>
      <c r="H605" s="67">
        <v>44685</v>
      </c>
      <c r="I605" s="6" t="s">
        <v>1198</v>
      </c>
      <c r="J605" s="9">
        <v>3348702218</v>
      </c>
      <c r="K605" s="68">
        <v>44620</v>
      </c>
      <c r="L605" s="68">
        <v>46022</v>
      </c>
      <c r="M605" s="68">
        <v>46203</v>
      </c>
      <c r="N605" s="69">
        <f t="shared" si="26"/>
        <v>-4</v>
      </c>
      <c r="O605" s="69">
        <f t="shared" si="27"/>
        <v>-1</v>
      </c>
      <c r="P605" s="70">
        <v>6</v>
      </c>
      <c r="Q605" s="70">
        <v>3</v>
      </c>
      <c r="R605" s="70">
        <v>2</v>
      </c>
      <c r="S605" s="68" t="str">
        <f t="shared" si="28"/>
        <v/>
      </c>
      <c r="T605" s="68"/>
      <c r="U605" s="68"/>
      <c r="V605" s="68"/>
      <c r="W605" s="9"/>
      <c r="X605" s="93"/>
      <c r="Y605" s="71">
        <f t="shared" si="29"/>
        <v>3</v>
      </c>
      <c r="Z605" s="73">
        <f t="shared" si="30"/>
        <v>2</v>
      </c>
      <c r="AA605" s="73">
        <f t="shared" si="31"/>
        <v>-4</v>
      </c>
      <c r="AB605" s="73">
        <f t="shared" si="32"/>
        <v>-4</v>
      </c>
      <c r="AC605" s="73">
        <f t="shared" si="33"/>
        <v>-1</v>
      </c>
      <c r="AD605" s="73">
        <f t="shared" si="34"/>
        <v>-1</v>
      </c>
      <c r="AE605" s="73">
        <f t="shared" si="35"/>
        <v>-3.9993949999999998</v>
      </c>
      <c r="AF605" s="73">
        <f t="shared" si="36"/>
        <v>-3.9993949999999998</v>
      </c>
      <c r="AG605" s="73">
        <f t="shared" si="37"/>
        <v>-0.99939500000000003</v>
      </c>
      <c r="AH605" s="73">
        <f t="shared" si="38"/>
        <v>-0.99939500000000003</v>
      </c>
    </row>
    <row r="606" spans="1:34" ht="14.25" customHeight="1">
      <c r="A606" s="11">
        <v>591</v>
      </c>
      <c r="B606" s="66"/>
      <c r="C606" s="67"/>
      <c r="D606" s="67"/>
      <c r="E606" s="67"/>
      <c r="F606" s="67"/>
      <c r="G606" s="67" t="s">
        <v>24</v>
      </c>
      <c r="H606" s="67">
        <v>45272</v>
      </c>
      <c r="I606" s="6" t="s">
        <v>1199</v>
      </c>
      <c r="J606" s="9">
        <v>3358700756</v>
      </c>
      <c r="K606" s="68">
        <v>45260</v>
      </c>
      <c r="L606" s="68" t="s">
        <v>230</v>
      </c>
      <c r="M606" s="68">
        <v>45473</v>
      </c>
      <c r="N606" s="69">
        <f t="shared" si="26"/>
        <v>-60</v>
      </c>
      <c r="O606" s="69" t="str">
        <f t="shared" si="27"/>
        <v>N/A</v>
      </c>
      <c r="P606" s="70">
        <v>60</v>
      </c>
      <c r="Q606" s="70"/>
      <c r="R606" s="70">
        <v>0</v>
      </c>
      <c r="S606" s="68">
        <f t="shared" si="28"/>
        <v>45473</v>
      </c>
      <c r="T606" s="68">
        <v>45473</v>
      </c>
      <c r="U606" s="68"/>
      <c r="V606" s="68"/>
      <c r="W606" s="9"/>
      <c r="X606" s="10"/>
      <c r="Y606" s="65" t="str">
        <f t="shared" si="29"/>
        <v/>
      </c>
      <c r="Z606" s="11" t="str">
        <f t="shared" si="30"/>
        <v/>
      </c>
      <c r="AA606" s="11" t="str">
        <f t="shared" si="31"/>
        <v/>
      </c>
      <c r="AB606" s="73">
        <f t="shared" si="32"/>
        <v>-60</v>
      </c>
      <c r="AC606" s="11" t="str">
        <f t="shared" si="33"/>
        <v/>
      </c>
      <c r="AD606" s="11" t="str">
        <f t="shared" si="34"/>
        <v/>
      </c>
      <c r="AE606" s="11" t="str">
        <f t="shared" si="35"/>
        <v/>
      </c>
      <c r="AF606" s="73">
        <f t="shared" si="36"/>
        <v>-59.999394000000002</v>
      </c>
      <c r="AG606" s="11" t="str">
        <f t="shared" si="37"/>
        <v/>
      </c>
      <c r="AH606" s="11" t="str">
        <f t="shared" si="38"/>
        <v/>
      </c>
    </row>
    <row r="607" spans="1:34" ht="14.25" customHeight="1">
      <c r="A607" s="11">
        <v>592</v>
      </c>
      <c r="B607" s="66" t="s">
        <v>35</v>
      </c>
      <c r="C607" s="67">
        <v>46023</v>
      </c>
      <c r="D607" s="67"/>
      <c r="E607" s="67"/>
      <c r="F607" s="67">
        <v>46184</v>
      </c>
      <c r="G607" s="67" t="s">
        <v>35</v>
      </c>
      <c r="H607" s="67">
        <v>45303</v>
      </c>
      <c r="I607" s="6" t="s">
        <v>1200</v>
      </c>
      <c r="J607" s="9">
        <v>3368102944</v>
      </c>
      <c r="K607" s="68">
        <v>45291</v>
      </c>
      <c r="L607" s="68">
        <v>46022</v>
      </c>
      <c r="M607" s="68">
        <v>46203</v>
      </c>
      <c r="N607" s="69">
        <f t="shared" si="26"/>
        <v>6</v>
      </c>
      <c r="O607" s="69">
        <f t="shared" si="27"/>
        <v>4</v>
      </c>
      <c r="P607" s="70">
        <v>13</v>
      </c>
      <c r="Q607" s="70">
        <v>15</v>
      </c>
      <c r="R607" s="70">
        <v>19</v>
      </c>
      <c r="S607" s="68" t="str">
        <f t="shared" si="28"/>
        <v/>
      </c>
      <c r="T607" s="68"/>
      <c r="U607" s="68"/>
      <c r="V607" s="68"/>
      <c r="W607" s="9"/>
      <c r="X607" s="10"/>
      <c r="Y607" s="71">
        <f t="shared" si="29"/>
        <v>15</v>
      </c>
      <c r="Z607" s="73">
        <f t="shared" si="30"/>
        <v>19</v>
      </c>
      <c r="AA607" s="73">
        <f t="shared" si="31"/>
        <v>6</v>
      </c>
      <c r="AB607" s="73">
        <f t="shared" si="32"/>
        <v>6</v>
      </c>
      <c r="AC607" s="73">
        <f t="shared" si="33"/>
        <v>4</v>
      </c>
      <c r="AD607" s="73">
        <f t="shared" si="34"/>
        <v>4</v>
      </c>
      <c r="AE607" s="73">
        <f t="shared" si="35"/>
        <v>6.0006069999999996</v>
      </c>
      <c r="AF607" s="73">
        <f t="shared" si="36"/>
        <v>6.0006069999999996</v>
      </c>
      <c r="AG607" s="73">
        <f t="shared" si="37"/>
        <v>4.0006069999999996</v>
      </c>
      <c r="AH607" s="73">
        <f t="shared" si="38"/>
        <v>4.0006069999999996</v>
      </c>
    </row>
    <row r="608" spans="1:34" ht="14.25" customHeight="1">
      <c r="A608" s="11">
        <v>593</v>
      </c>
      <c r="B608" s="66"/>
      <c r="C608" s="67"/>
      <c r="D608" s="67"/>
      <c r="E608" s="67"/>
      <c r="F608" s="67"/>
      <c r="G608" s="67" t="s">
        <v>35</v>
      </c>
      <c r="H608" s="67">
        <v>45079</v>
      </c>
      <c r="I608" s="6" t="s">
        <v>1201</v>
      </c>
      <c r="J608" s="9">
        <v>3378102739</v>
      </c>
      <c r="K608" s="68">
        <v>45077</v>
      </c>
      <c r="L608" s="68">
        <v>46022</v>
      </c>
      <c r="M608" s="68">
        <v>46203</v>
      </c>
      <c r="N608" s="69">
        <f t="shared" si="26"/>
        <v>3</v>
      </c>
      <c r="O608" s="69">
        <f t="shared" si="27"/>
        <v>3</v>
      </c>
      <c r="P608" s="70">
        <v>4</v>
      </c>
      <c r="Q608" s="70">
        <v>4</v>
      </c>
      <c r="R608" s="70">
        <v>7</v>
      </c>
      <c r="S608" s="68" t="str">
        <f t="shared" si="28"/>
        <v/>
      </c>
      <c r="T608" s="68"/>
      <c r="U608" s="68"/>
      <c r="V608" s="68"/>
      <c r="W608" s="9"/>
      <c r="X608" s="10"/>
      <c r="Y608" s="71">
        <f t="shared" si="29"/>
        <v>4</v>
      </c>
      <c r="Z608" s="73">
        <f t="shared" si="30"/>
        <v>7</v>
      </c>
      <c r="AA608" s="11" t="str">
        <f t="shared" si="31"/>
        <v/>
      </c>
      <c r="AB608" s="73">
        <f t="shared" si="32"/>
        <v>3</v>
      </c>
      <c r="AC608" s="11" t="str">
        <f t="shared" si="33"/>
        <v/>
      </c>
      <c r="AD608" s="73">
        <f t="shared" si="34"/>
        <v>3</v>
      </c>
      <c r="AE608" s="11" t="str">
        <f t="shared" si="35"/>
        <v/>
      </c>
      <c r="AF608" s="73">
        <f t="shared" si="36"/>
        <v>3.0006080000000002</v>
      </c>
      <c r="AG608" s="11" t="str">
        <f t="shared" si="37"/>
        <v/>
      </c>
      <c r="AH608" s="73">
        <f t="shared" si="38"/>
        <v>3.0006080000000002</v>
      </c>
    </row>
    <row r="609" spans="1:34" ht="14.25" customHeight="1">
      <c r="A609" s="11">
        <v>594</v>
      </c>
      <c r="B609" s="66" t="s">
        <v>35</v>
      </c>
      <c r="C609" s="67">
        <v>45078</v>
      </c>
      <c r="D609" s="67"/>
      <c r="E609" s="67"/>
      <c r="F609" s="67"/>
      <c r="G609" s="67"/>
      <c r="H609" s="67"/>
      <c r="I609" s="6" t="s">
        <v>1202</v>
      </c>
      <c r="J609" s="9">
        <v>3378602506</v>
      </c>
      <c r="K609" s="68">
        <v>45077</v>
      </c>
      <c r="L609" s="68">
        <v>46022</v>
      </c>
      <c r="M609" s="68">
        <v>46203</v>
      </c>
      <c r="N609" s="69">
        <f t="shared" si="26"/>
        <v>-1</v>
      </c>
      <c r="O609" s="69">
        <f t="shared" si="27"/>
        <v>0</v>
      </c>
      <c r="P609" s="70">
        <v>2</v>
      </c>
      <c r="Q609" s="70">
        <v>1</v>
      </c>
      <c r="R609" s="70">
        <v>1</v>
      </c>
      <c r="S609" s="68" t="str">
        <f t="shared" si="28"/>
        <v/>
      </c>
      <c r="T609" s="68"/>
      <c r="U609" s="68"/>
      <c r="V609" s="68"/>
      <c r="W609" s="9"/>
      <c r="X609" s="10"/>
      <c r="Y609" s="71">
        <f t="shared" si="29"/>
        <v>1</v>
      </c>
      <c r="Z609" s="73">
        <f t="shared" si="30"/>
        <v>1</v>
      </c>
      <c r="AA609" s="73">
        <f t="shared" si="31"/>
        <v>-1</v>
      </c>
      <c r="AB609" s="11" t="str">
        <f t="shared" si="32"/>
        <v/>
      </c>
      <c r="AC609" s="73">
        <f t="shared" si="33"/>
        <v>0</v>
      </c>
      <c r="AD609" s="11" t="str">
        <f t="shared" si="34"/>
        <v/>
      </c>
      <c r="AE609" s="73">
        <f t="shared" si="35"/>
        <v>-0.99939100000000003</v>
      </c>
      <c r="AF609" s="11" t="str">
        <f t="shared" si="36"/>
        <v/>
      </c>
      <c r="AG609" s="73">
        <f t="shared" si="37"/>
        <v>6.0899999999999995E-4</v>
      </c>
      <c r="AH609" s="11" t="str">
        <f t="shared" si="38"/>
        <v/>
      </c>
    </row>
    <row r="610" spans="1:34" ht="14.25" customHeight="1">
      <c r="A610" s="11">
        <v>595</v>
      </c>
      <c r="B610" s="66"/>
      <c r="C610" s="67"/>
      <c r="D610" s="67"/>
      <c r="E610" s="67"/>
      <c r="F610" s="67"/>
      <c r="G610" s="67" t="s">
        <v>35</v>
      </c>
      <c r="H610" s="67">
        <v>45771</v>
      </c>
      <c r="I610" s="6" t="s">
        <v>1203</v>
      </c>
      <c r="J610" s="9">
        <v>3378602618</v>
      </c>
      <c r="K610" s="68">
        <v>45747</v>
      </c>
      <c r="L610" s="68">
        <v>46022</v>
      </c>
      <c r="M610" s="68">
        <v>46203</v>
      </c>
      <c r="N610" s="69">
        <f t="shared" si="26"/>
        <v>0</v>
      </c>
      <c r="O610" s="69">
        <f t="shared" si="27"/>
        <v>3</v>
      </c>
      <c r="P610" s="70">
        <v>22</v>
      </c>
      <c r="Q610" s="70">
        <v>19</v>
      </c>
      <c r="R610" s="70">
        <v>22</v>
      </c>
      <c r="S610" s="68" t="str">
        <f t="shared" si="28"/>
        <v/>
      </c>
      <c r="T610" s="68"/>
      <c r="U610" s="68"/>
      <c r="V610" s="68"/>
      <c r="W610" s="9"/>
      <c r="X610" s="10"/>
      <c r="Y610" s="71">
        <f t="shared" si="29"/>
        <v>19</v>
      </c>
      <c r="Z610" s="73">
        <f t="shared" si="30"/>
        <v>22</v>
      </c>
      <c r="AA610" s="11" t="str">
        <f t="shared" si="31"/>
        <v/>
      </c>
      <c r="AB610" s="73">
        <f t="shared" si="32"/>
        <v>0</v>
      </c>
      <c r="AC610" s="11" t="str">
        <f t="shared" si="33"/>
        <v/>
      </c>
      <c r="AD610" s="73">
        <f t="shared" si="34"/>
        <v>3</v>
      </c>
      <c r="AE610" s="11" t="str">
        <f t="shared" si="35"/>
        <v/>
      </c>
      <c r="AF610" s="73">
        <f t="shared" si="36"/>
        <v>6.0999999999999997E-4</v>
      </c>
      <c r="AG610" s="11" t="str">
        <f t="shared" si="37"/>
        <v/>
      </c>
      <c r="AH610" s="73">
        <f t="shared" si="38"/>
        <v>3.00061</v>
      </c>
    </row>
    <row r="611" spans="1:34" ht="14.25" customHeight="1">
      <c r="A611" s="11">
        <v>596</v>
      </c>
      <c r="B611" s="66"/>
      <c r="C611" s="67"/>
      <c r="D611" s="67"/>
      <c r="E611" s="67"/>
      <c r="F611" s="67"/>
      <c r="G611" s="67" t="s">
        <v>35</v>
      </c>
      <c r="H611" s="67">
        <v>45266</v>
      </c>
      <c r="I611" s="6" t="s">
        <v>1204</v>
      </c>
      <c r="J611" s="94">
        <v>3378803042</v>
      </c>
      <c r="K611" s="68">
        <v>45930</v>
      </c>
      <c r="L611" s="68">
        <v>46022</v>
      </c>
      <c r="M611" s="68">
        <v>46203</v>
      </c>
      <c r="N611" s="69">
        <f t="shared" si="26"/>
        <v>4</v>
      </c>
      <c r="O611" s="69">
        <f t="shared" si="27"/>
        <v>5</v>
      </c>
      <c r="P611" s="78">
        <v>4</v>
      </c>
      <c r="Q611" s="78">
        <v>3</v>
      </c>
      <c r="R611" s="78">
        <v>8</v>
      </c>
      <c r="S611" s="68" t="str">
        <f t="shared" si="28"/>
        <v/>
      </c>
      <c r="T611" s="68"/>
      <c r="U611" s="95"/>
      <c r="V611" s="68"/>
      <c r="W611" s="6"/>
      <c r="X611" s="93" t="s">
        <v>1149</v>
      </c>
      <c r="Y611" s="71">
        <f t="shared" si="29"/>
        <v>3</v>
      </c>
      <c r="Z611" s="73">
        <f t="shared" si="30"/>
        <v>8</v>
      </c>
      <c r="AA611" s="11" t="str">
        <f t="shared" si="31"/>
        <v/>
      </c>
      <c r="AB611" s="73">
        <f t="shared" si="32"/>
        <v>4</v>
      </c>
      <c r="AC611" s="11" t="str">
        <f t="shared" si="33"/>
        <v/>
      </c>
      <c r="AD611" s="73">
        <f t="shared" si="34"/>
        <v>5</v>
      </c>
      <c r="AE611" s="11" t="str">
        <f t="shared" si="35"/>
        <v/>
      </c>
      <c r="AF611" s="73">
        <f t="shared" si="36"/>
        <v>4.0006110000000001</v>
      </c>
      <c r="AG611" s="11" t="str">
        <f t="shared" si="37"/>
        <v/>
      </c>
      <c r="AH611" s="73">
        <f t="shared" si="38"/>
        <v>5.0006110000000001</v>
      </c>
    </row>
    <row r="612" spans="1:34" ht="14.25" customHeight="1">
      <c r="A612" s="11">
        <v>597</v>
      </c>
      <c r="B612" s="66" t="s">
        <v>35</v>
      </c>
      <c r="C612" s="67">
        <v>44986</v>
      </c>
      <c r="D612" s="67"/>
      <c r="E612" s="67"/>
      <c r="F612" s="67"/>
      <c r="G612" s="67"/>
      <c r="H612" s="67"/>
      <c r="I612" s="6" t="s">
        <v>1205</v>
      </c>
      <c r="J612" s="9">
        <v>3378803080</v>
      </c>
      <c r="K612" s="68">
        <v>44985</v>
      </c>
      <c r="L612" s="68">
        <v>46022</v>
      </c>
      <c r="M612" s="68">
        <v>46203</v>
      </c>
      <c r="N612" s="69">
        <f t="shared" si="26"/>
        <v>1</v>
      </c>
      <c r="O612" s="69">
        <f t="shared" si="27"/>
        <v>2</v>
      </c>
      <c r="P612" s="70">
        <v>2</v>
      </c>
      <c r="Q612" s="70">
        <v>1</v>
      </c>
      <c r="R612" s="70">
        <v>3</v>
      </c>
      <c r="S612" s="68" t="str">
        <f t="shared" si="28"/>
        <v/>
      </c>
      <c r="T612" s="68"/>
      <c r="U612" s="68"/>
      <c r="V612" s="68"/>
      <c r="W612" s="9"/>
      <c r="X612" s="10"/>
      <c r="Y612" s="71">
        <f t="shared" si="29"/>
        <v>1</v>
      </c>
      <c r="Z612" s="73">
        <f t="shared" si="30"/>
        <v>3</v>
      </c>
      <c r="AA612" s="73">
        <f t="shared" si="31"/>
        <v>1</v>
      </c>
      <c r="AB612" s="11" t="str">
        <f t="shared" si="32"/>
        <v/>
      </c>
      <c r="AC612" s="73">
        <f t="shared" si="33"/>
        <v>2</v>
      </c>
      <c r="AD612" s="11" t="str">
        <f t="shared" si="34"/>
        <v/>
      </c>
      <c r="AE612" s="73">
        <f t="shared" si="35"/>
        <v>1.0006120000000001</v>
      </c>
      <c r="AF612" s="11" t="str">
        <f t="shared" si="36"/>
        <v/>
      </c>
      <c r="AG612" s="73">
        <f t="shared" si="37"/>
        <v>2.0006119999999998</v>
      </c>
      <c r="AH612" s="11" t="str">
        <f t="shared" si="38"/>
        <v/>
      </c>
    </row>
    <row r="613" spans="1:34" ht="14.25" customHeight="1">
      <c r="A613" s="11">
        <v>598</v>
      </c>
      <c r="B613" s="66"/>
      <c r="C613" s="67"/>
      <c r="D613" s="67"/>
      <c r="E613" s="67"/>
      <c r="F613" s="67"/>
      <c r="G613" s="67" t="s">
        <v>35</v>
      </c>
      <c r="H613" s="67">
        <v>45638</v>
      </c>
      <c r="I613" s="6" t="s">
        <v>1206</v>
      </c>
      <c r="J613" s="9">
        <v>3388102784</v>
      </c>
      <c r="K613" s="68">
        <v>45626</v>
      </c>
      <c r="L613" s="68">
        <v>46022</v>
      </c>
      <c r="M613" s="68">
        <v>46203</v>
      </c>
      <c r="N613" s="69">
        <f t="shared" si="26"/>
        <v>52</v>
      </c>
      <c r="O613" s="69">
        <f t="shared" si="27"/>
        <v>26</v>
      </c>
      <c r="P613" s="70">
        <v>26</v>
      </c>
      <c r="Q613" s="70">
        <v>52</v>
      </c>
      <c r="R613" s="70">
        <v>78</v>
      </c>
      <c r="S613" s="68" t="str">
        <f t="shared" si="28"/>
        <v/>
      </c>
      <c r="T613" s="68"/>
      <c r="U613" s="68"/>
      <c r="V613" s="68"/>
      <c r="W613" s="9"/>
      <c r="X613" s="10"/>
      <c r="Y613" s="71">
        <f t="shared" si="29"/>
        <v>52</v>
      </c>
      <c r="Z613" s="73">
        <f t="shared" si="30"/>
        <v>78</v>
      </c>
      <c r="AA613" s="11" t="str">
        <f t="shared" si="31"/>
        <v/>
      </c>
      <c r="AB613" s="73">
        <f t="shared" si="32"/>
        <v>52</v>
      </c>
      <c r="AC613" s="11" t="str">
        <f t="shared" si="33"/>
        <v/>
      </c>
      <c r="AD613" s="73">
        <f t="shared" si="34"/>
        <v>26</v>
      </c>
      <c r="AE613" s="11" t="str">
        <f t="shared" si="35"/>
        <v/>
      </c>
      <c r="AF613" s="73">
        <f t="shared" si="36"/>
        <v>52.000613000000001</v>
      </c>
      <c r="AG613" s="11" t="str">
        <f t="shared" si="37"/>
        <v/>
      </c>
      <c r="AH613" s="73">
        <f t="shared" si="38"/>
        <v>26.000613000000001</v>
      </c>
    </row>
    <row r="614" spans="1:34" ht="14.25" customHeight="1">
      <c r="A614" s="11">
        <v>599</v>
      </c>
      <c r="B614" s="66" t="s">
        <v>24</v>
      </c>
      <c r="C614" s="67">
        <v>42881</v>
      </c>
      <c r="D614" s="67"/>
      <c r="E614" s="67"/>
      <c r="F614" s="67"/>
      <c r="G614" s="67"/>
      <c r="H614" s="67"/>
      <c r="I614" s="6" t="s">
        <v>1207</v>
      </c>
      <c r="J614" s="9">
        <v>3388700833</v>
      </c>
      <c r="K614" s="68">
        <v>42855</v>
      </c>
      <c r="L614" s="68" t="s">
        <v>230</v>
      </c>
      <c r="M614" s="68">
        <v>45046</v>
      </c>
      <c r="N614" s="69">
        <f t="shared" si="26"/>
        <v>0</v>
      </c>
      <c r="O614" s="69" t="str">
        <f t="shared" si="27"/>
        <v>N/A</v>
      </c>
      <c r="P614" s="70">
        <v>0</v>
      </c>
      <c r="Q614" s="70"/>
      <c r="R614" s="70">
        <v>0</v>
      </c>
      <c r="S614" s="68">
        <f t="shared" si="28"/>
        <v>45040</v>
      </c>
      <c r="T614" s="68">
        <v>45040</v>
      </c>
      <c r="U614" s="68"/>
      <c r="V614" s="68"/>
      <c r="W614" s="9"/>
      <c r="X614" s="10"/>
      <c r="Y614" s="65" t="str">
        <f t="shared" si="29"/>
        <v/>
      </c>
      <c r="Z614" s="11" t="str">
        <f t="shared" si="30"/>
        <v/>
      </c>
      <c r="AA614" s="73">
        <f t="shared" si="31"/>
        <v>0</v>
      </c>
      <c r="AB614" s="11" t="str">
        <f t="shared" si="32"/>
        <v/>
      </c>
      <c r="AC614" s="11" t="str">
        <f t="shared" si="33"/>
        <v/>
      </c>
      <c r="AD614" s="11" t="str">
        <f t="shared" si="34"/>
        <v/>
      </c>
      <c r="AE614" s="73">
        <f t="shared" si="35"/>
        <v>6.1399999999999996E-4</v>
      </c>
      <c r="AF614" s="11" t="str">
        <f t="shared" si="36"/>
        <v/>
      </c>
      <c r="AG614" s="11" t="str">
        <f t="shared" si="37"/>
        <v/>
      </c>
      <c r="AH614" s="11" t="str">
        <f t="shared" si="38"/>
        <v/>
      </c>
    </row>
    <row r="615" spans="1:34" ht="14.25" customHeight="1">
      <c r="A615" s="11">
        <v>600</v>
      </c>
      <c r="B615" s="66"/>
      <c r="C615" s="67"/>
      <c r="D615" s="67"/>
      <c r="E615" s="67"/>
      <c r="F615" s="67"/>
      <c r="G615" s="67" t="s">
        <v>35</v>
      </c>
      <c r="H615" s="67">
        <v>45275</v>
      </c>
      <c r="I615" s="6" t="s">
        <v>1208</v>
      </c>
      <c r="J615" s="9">
        <v>3388702108</v>
      </c>
      <c r="K615" s="68">
        <v>45260</v>
      </c>
      <c r="L615" s="68">
        <v>46022</v>
      </c>
      <c r="M615" s="68">
        <v>46203</v>
      </c>
      <c r="N615" s="69">
        <f t="shared" si="26"/>
        <v>4</v>
      </c>
      <c r="O615" s="69">
        <f t="shared" si="27"/>
        <v>-1</v>
      </c>
      <c r="P615" s="70">
        <v>5</v>
      </c>
      <c r="Q615" s="70">
        <v>10</v>
      </c>
      <c r="R615" s="70">
        <v>9</v>
      </c>
      <c r="S615" s="68" t="str">
        <f t="shared" si="28"/>
        <v/>
      </c>
      <c r="T615" s="68"/>
      <c r="U615" s="68"/>
      <c r="V615" s="68"/>
      <c r="W615" s="9"/>
      <c r="X615" s="10"/>
      <c r="Y615" s="71">
        <f t="shared" si="29"/>
        <v>10</v>
      </c>
      <c r="Z615" s="73">
        <f t="shared" si="30"/>
        <v>9</v>
      </c>
      <c r="AA615" s="11" t="str">
        <f t="shared" si="31"/>
        <v/>
      </c>
      <c r="AB615" s="73">
        <f t="shared" si="32"/>
        <v>4</v>
      </c>
      <c r="AC615" s="11" t="str">
        <f t="shared" si="33"/>
        <v/>
      </c>
      <c r="AD615" s="73">
        <f t="shared" si="34"/>
        <v>-1</v>
      </c>
      <c r="AE615" s="11" t="str">
        <f t="shared" si="35"/>
        <v/>
      </c>
      <c r="AF615" s="73">
        <f t="shared" si="36"/>
        <v>4.0006149999999998</v>
      </c>
      <c r="AG615" s="11" t="str">
        <f t="shared" si="37"/>
        <v/>
      </c>
      <c r="AH615" s="73">
        <f t="shared" si="38"/>
        <v>-0.99938499999999997</v>
      </c>
    </row>
    <row r="616" spans="1:34" ht="14.25" customHeight="1">
      <c r="A616" s="11">
        <v>601</v>
      </c>
      <c r="B616" s="66" t="s">
        <v>35</v>
      </c>
      <c r="C616" s="67">
        <v>45992</v>
      </c>
      <c r="D616" s="67">
        <v>45902</v>
      </c>
      <c r="E616" s="67">
        <v>45944</v>
      </c>
      <c r="F616" s="67"/>
      <c r="G616" s="67" t="s">
        <v>35</v>
      </c>
      <c r="H616" s="67">
        <v>45898</v>
      </c>
      <c r="I616" s="6" t="s">
        <v>1209</v>
      </c>
      <c r="J616" s="9">
        <v>3398103016</v>
      </c>
      <c r="K616" s="68">
        <v>45869</v>
      </c>
      <c r="L616" s="68">
        <v>46022</v>
      </c>
      <c r="M616" s="68">
        <v>46203</v>
      </c>
      <c r="N616" s="69">
        <f t="shared" si="26"/>
        <v>2</v>
      </c>
      <c r="O616" s="69">
        <f t="shared" si="27"/>
        <v>3</v>
      </c>
      <c r="P616" s="70">
        <v>10</v>
      </c>
      <c r="Q616" s="70">
        <v>9</v>
      </c>
      <c r="R616" s="70">
        <v>12</v>
      </c>
      <c r="S616" s="68" t="str">
        <f t="shared" si="28"/>
        <v/>
      </c>
      <c r="T616" s="68"/>
      <c r="U616" s="68"/>
      <c r="V616" s="68"/>
      <c r="W616" s="9"/>
      <c r="X616" s="10"/>
      <c r="Y616" s="71">
        <f t="shared" si="29"/>
        <v>9</v>
      </c>
      <c r="Z616" s="73">
        <f t="shared" si="30"/>
        <v>12</v>
      </c>
      <c r="AA616" s="73">
        <f t="shared" si="31"/>
        <v>2</v>
      </c>
      <c r="AB616" s="73">
        <f t="shared" si="32"/>
        <v>2</v>
      </c>
      <c r="AC616" s="73">
        <f t="shared" si="33"/>
        <v>3</v>
      </c>
      <c r="AD616" s="73">
        <f t="shared" si="34"/>
        <v>3</v>
      </c>
      <c r="AE616" s="73">
        <f t="shared" si="35"/>
        <v>2.0006159999999999</v>
      </c>
      <c r="AF616" s="73">
        <f t="shared" si="36"/>
        <v>2.0006159999999999</v>
      </c>
      <c r="AG616" s="73">
        <f t="shared" si="37"/>
        <v>3.0006159999999999</v>
      </c>
      <c r="AH616" s="73">
        <f t="shared" si="38"/>
        <v>3.0006159999999999</v>
      </c>
    </row>
    <row r="617" spans="1:34" ht="14.25" customHeight="1">
      <c r="A617" s="11">
        <v>602</v>
      </c>
      <c r="B617" s="66"/>
      <c r="C617" s="67"/>
      <c r="D617" s="67"/>
      <c r="E617" s="67"/>
      <c r="F617" s="67"/>
      <c r="G617" s="67" t="s">
        <v>35</v>
      </c>
      <c r="H617" s="67">
        <v>44715</v>
      </c>
      <c r="I617" s="6" t="s">
        <v>1210</v>
      </c>
      <c r="J617" s="9">
        <v>3398701801</v>
      </c>
      <c r="K617" s="68">
        <v>44712</v>
      </c>
      <c r="L617" s="68">
        <v>46022</v>
      </c>
      <c r="M617" s="68">
        <v>46203</v>
      </c>
      <c r="N617" s="69">
        <f t="shared" si="26"/>
        <v>-4</v>
      </c>
      <c r="O617" s="69">
        <f t="shared" si="27"/>
        <v>-5</v>
      </c>
      <c r="P617" s="70">
        <v>18</v>
      </c>
      <c r="Q617" s="70">
        <v>19</v>
      </c>
      <c r="R617" s="70">
        <v>14</v>
      </c>
      <c r="S617" s="68" t="str">
        <f t="shared" si="28"/>
        <v/>
      </c>
      <c r="T617" s="68"/>
      <c r="U617" s="68"/>
      <c r="V617" s="68"/>
      <c r="W617" s="9"/>
      <c r="X617" s="10"/>
      <c r="Y617" s="71">
        <f t="shared" si="29"/>
        <v>19</v>
      </c>
      <c r="Z617" s="73">
        <f t="shared" si="30"/>
        <v>14</v>
      </c>
      <c r="AA617" s="11" t="str">
        <f t="shared" si="31"/>
        <v/>
      </c>
      <c r="AB617" s="73">
        <f t="shared" si="32"/>
        <v>-4</v>
      </c>
      <c r="AC617" s="11" t="str">
        <f t="shared" si="33"/>
        <v/>
      </c>
      <c r="AD617" s="73">
        <f t="shared" si="34"/>
        <v>-5</v>
      </c>
      <c r="AE617" s="11" t="str">
        <f t="shared" si="35"/>
        <v/>
      </c>
      <c r="AF617" s="73">
        <f t="shared" si="36"/>
        <v>-3.9993829999999999</v>
      </c>
      <c r="AG617" s="11" t="str">
        <f t="shared" si="37"/>
        <v/>
      </c>
      <c r="AH617" s="73">
        <f t="shared" si="38"/>
        <v>-4.9993829999999999</v>
      </c>
    </row>
    <row r="618" spans="1:34" ht="14.25" customHeight="1">
      <c r="A618" s="11">
        <v>603</v>
      </c>
      <c r="B618" s="66" t="s">
        <v>1211</v>
      </c>
      <c r="C618" s="67">
        <v>43955</v>
      </c>
      <c r="D618" s="67">
        <v>43938</v>
      </c>
      <c r="E618" s="67"/>
      <c r="F618" s="67"/>
      <c r="G618" s="67"/>
      <c r="H618" s="67"/>
      <c r="I618" s="6" t="s">
        <v>1212</v>
      </c>
      <c r="J618" s="9">
        <v>3418100628</v>
      </c>
      <c r="K618" s="68">
        <v>43921</v>
      </c>
      <c r="L618" s="68">
        <v>46022</v>
      </c>
      <c r="M618" s="68">
        <v>46203</v>
      </c>
      <c r="N618" s="69">
        <f t="shared" si="26"/>
        <v>-6</v>
      </c>
      <c r="O618" s="69">
        <f t="shared" si="27"/>
        <v>0</v>
      </c>
      <c r="P618" s="70">
        <v>8</v>
      </c>
      <c r="Q618" s="70">
        <v>2</v>
      </c>
      <c r="R618" s="70">
        <v>2</v>
      </c>
      <c r="S618" s="68" t="str">
        <f t="shared" si="28"/>
        <v/>
      </c>
      <c r="T618" s="68"/>
      <c r="U618" s="68">
        <v>44926</v>
      </c>
      <c r="V618" s="68"/>
      <c r="W618" s="9"/>
      <c r="X618" s="93" t="s">
        <v>352</v>
      </c>
      <c r="Y618" s="71">
        <f t="shared" si="29"/>
        <v>2</v>
      </c>
      <c r="Z618" s="73">
        <f t="shared" si="30"/>
        <v>2</v>
      </c>
      <c r="AA618" s="73">
        <f t="shared" si="31"/>
        <v>-6</v>
      </c>
      <c r="AB618" s="11" t="str">
        <f t="shared" si="32"/>
        <v/>
      </c>
      <c r="AC618" s="73">
        <f t="shared" si="33"/>
        <v>0</v>
      </c>
      <c r="AD618" s="11" t="str">
        <f t="shared" si="34"/>
        <v/>
      </c>
      <c r="AE618" s="73">
        <f t="shared" si="35"/>
        <v>-5.9993819999999998</v>
      </c>
      <c r="AF618" s="11" t="str">
        <f t="shared" si="36"/>
        <v/>
      </c>
      <c r="AG618" s="73">
        <f t="shared" si="37"/>
        <v>6.1799999999999995E-4</v>
      </c>
      <c r="AH618" s="11" t="str">
        <f t="shared" si="38"/>
        <v/>
      </c>
    </row>
    <row r="619" spans="1:34" ht="14.25" customHeight="1">
      <c r="A619" s="11">
        <v>604</v>
      </c>
      <c r="B619" s="66"/>
      <c r="C619" s="67"/>
      <c r="D619" s="67"/>
      <c r="E619" s="67"/>
      <c r="F619" s="67"/>
      <c r="G619" s="67" t="s">
        <v>35</v>
      </c>
      <c r="H619" s="67">
        <v>45534</v>
      </c>
      <c r="I619" s="6" t="s">
        <v>1213</v>
      </c>
      <c r="J619" s="9">
        <v>3418102024</v>
      </c>
      <c r="K619" s="68">
        <v>45504</v>
      </c>
      <c r="L619" s="68">
        <v>46022</v>
      </c>
      <c r="M619" s="68">
        <v>46203</v>
      </c>
      <c r="N619" s="69">
        <f t="shared" si="26"/>
        <v>5</v>
      </c>
      <c r="O619" s="69">
        <f t="shared" si="27"/>
        <v>-6</v>
      </c>
      <c r="P619" s="70">
        <v>16</v>
      </c>
      <c r="Q619" s="70">
        <v>27</v>
      </c>
      <c r="R619" s="70">
        <v>21</v>
      </c>
      <c r="S619" s="68" t="str">
        <f t="shared" si="28"/>
        <v/>
      </c>
      <c r="T619" s="68"/>
      <c r="U619" s="68"/>
      <c r="V619" s="68"/>
      <c r="W619" s="9"/>
      <c r="X619" s="10"/>
      <c r="Y619" s="71">
        <f t="shared" si="29"/>
        <v>27</v>
      </c>
      <c r="Z619" s="73">
        <f t="shared" si="30"/>
        <v>21</v>
      </c>
      <c r="AA619" s="11" t="str">
        <f t="shared" si="31"/>
        <v/>
      </c>
      <c r="AB619" s="73">
        <f t="shared" si="32"/>
        <v>5</v>
      </c>
      <c r="AC619" s="11" t="str">
        <f t="shared" si="33"/>
        <v/>
      </c>
      <c r="AD619" s="73">
        <f t="shared" si="34"/>
        <v>-6</v>
      </c>
      <c r="AE619" s="11" t="str">
        <f t="shared" si="35"/>
        <v/>
      </c>
      <c r="AF619" s="73">
        <f t="shared" si="36"/>
        <v>5.0006190000000004</v>
      </c>
      <c r="AG619" s="11" t="str">
        <f t="shared" si="37"/>
        <v/>
      </c>
      <c r="AH619" s="73">
        <f t="shared" si="38"/>
        <v>-5.9993809999999996</v>
      </c>
    </row>
    <row r="620" spans="1:34" ht="14.25" customHeight="1">
      <c r="A620" s="11">
        <v>605</v>
      </c>
      <c r="B620" s="66" t="s">
        <v>24</v>
      </c>
      <c r="C620" s="67">
        <v>42552</v>
      </c>
      <c r="D620" s="67"/>
      <c r="E620" s="67"/>
      <c r="F620" s="67"/>
      <c r="G620" s="67"/>
      <c r="H620" s="67"/>
      <c r="I620" s="6" t="s">
        <v>1214</v>
      </c>
      <c r="J620" s="9">
        <v>3418700163</v>
      </c>
      <c r="K620" s="68">
        <v>42551</v>
      </c>
      <c r="L620" s="68" t="s">
        <v>230</v>
      </c>
      <c r="M620" s="68">
        <v>44926</v>
      </c>
      <c r="N620" s="69">
        <f t="shared" si="26"/>
        <v>0</v>
      </c>
      <c r="O620" s="69" t="str">
        <f t="shared" si="27"/>
        <v>N/A</v>
      </c>
      <c r="P620" s="70">
        <v>0</v>
      </c>
      <c r="Q620" s="70"/>
      <c r="R620" s="70">
        <v>0</v>
      </c>
      <c r="S620" s="68">
        <f t="shared" si="28"/>
        <v>44926</v>
      </c>
      <c r="T620" s="68">
        <v>44926</v>
      </c>
      <c r="U620" s="68"/>
      <c r="V620" s="68"/>
      <c r="W620" s="9"/>
      <c r="X620" s="10"/>
      <c r="Y620" s="65" t="str">
        <f t="shared" si="29"/>
        <v/>
      </c>
      <c r="Z620" s="11" t="str">
        <f t="shared" si="30"/>
        <v/>
      </c>
      <c r="AA620" s="73">
        <f t="shared" si="31"/>
        <v>0</v>
      </c>
      <c r="AB620" s="11" t="str">
        <f t="shared" si="32"/>
        <v/>
      </c>
      <c r="AC620" s="11" t="str">
        <f t="shared" si="33"/>
        <v/>
      </c>
      <c r="AD620" s="11" t="str">
        <f t="shared" si="34"/>
        <v/>
      </c>
      <c r="AE620" s="73">
        <f t="shared" si="35"/>
        <v>6.2E-4</v>
      </c>
      <c r="AF620" s="11" t="str">
        <f t="shared" si="36"/>
        <v/>
      </c>
      <c r="AG620" s="11" t="str">
        <f t="shared" si="37"/>
        <v/>
      </c>
      <c r="AH620" s="11" t="str">
        <f t="shared" si="38"/>
        <v/>
      </c>
    </row>
    <row r="621" spans="1:34" ht="14.25" customHeight="1">
      <c r="A621" s="11">
        <v>606</v>
      </c>
      <c r="B621" s="66"/>
      <c r="C621" s="67"/>
      <c r="D621" s="67"/>
      <c r="E621" s="67"/>
      <c r="F621" s="67"/>
      <c r="G621" s="67" t="s">
        <v>35</v>
      </c>
      <c r="H621" s="67">
        <v>45084</v>
      </c>
      <c r="I621" s="6" t="s">
        <v>1215</v>
      </c>
      <c r="J621" s="9">
        <v>3418700746</v>
      </c>
      <c r="K621" s="68">
        <v>45077</v>
      </c>
      <c r="L621" s="68">
        <v>46022</v>
      </c>
      <c r="M621" s="68">
        <v>46203</v>
      </c>
      <c r="N621" s="69">
        <f t="shared" si="26"/>
        <v>13</v>
      </c>
      <c r="O621" s="69">
        <f t="shared" si="27"/>
        <v>7</v>
      </c>
      <c r="P621" s="70">
        <v>22</v>
      </c>
      <c r="Q621" s="70">
        <v>28</v>
      </c>
      <c r="R621" s="70">
        <v>35</v>
      </c>
      <c r="S621" s="68" t="str">
        <f t="shared" si="28"/>
        <v/>
      </c>
      <c r="T621" s="68"/>
      <c r="U621" s="68"/>
      <c r="V621" s="68"/>
      <c r="W621" s="9"/>
      <c r="X621" s="10"/>
      <c r="Y621" s="71">
        <f t="shared" si="29"/>
        <v>28</v>
      </c>
      <c r="Z621" s="73">
        <f t="shared" si="30"/>
        <v>35</v>
      </c>
      <c r="AA621" s="11" t="str">
        <f t="shared" si="31"/>
        <v/>
      </c>
      <c r="AB621" s="73">
        <f t="shared" si="32"/>
        <v>13</v>
      </c>
      <c r="AC621" s="11" t="str">
        <f t="shared" si="33"/>
        <v/>
      </c>
      <c r="AD621" s="73">
        <f t="shared" si="34"/>
        <v>7</v>
      </c>
      <c r="AE621" s="11" t="str">
        <f t="shared" si="35"/>
        <v/>
      </c>
      <c r="AF621" s="73">
        <f t="shared" si="36"/>
        <v>13.000621000000001</v>
      </c>
      <c r="AG621" s="11" t="str">
        <f t="shared" si="37"/>
        <v/>
      </c>
      <c r="AH621" s="73">
        <f t="shared" si="38"/>
        <v>7.0006209999999998</v>
      </c>
    </row>
    <row r="622" spans="1:34" ht="14.25" customHeight="1">
      <c r="A622" s="11">
        <v>607</v>
      </c>
      <c r="B622" s="66" t="s">
        <v>35</v>
      </c>
      <c r="C622" s="67">
        <v>42186</v>
      </c>
      <c r="D622" s="67">
        <v>42271</v>
      </c>
      <c r="E622" s="67"/>
      <c r="F622" s="67"/>
      <c r="G622" s="67" t="s">
        <v>35</v>
      </c>
      <c r="H622" s="67">
        <v>44020</v>
      </c>
      <c r="I622" s="6" t="s">
        <v>1216</v>
      </c>
      <c r="J622" s="9">
        <v>3428100204</v>
      </c>
      <c r="K622" s="68">
        <v>42185</v>
      </c>
      <c r="L622" s="68">
        <v>46022</v>
      </c>
      <c r="M622" s="68">
        <v>46203</v>
      </c>
      <c r="N622" s="69">
        <f t="shared" si="26"/>
        <v>4</v>
      </c>
      <c r="O622" s="69">
        <f t="shared" si="27"/>
        <v>-1</v>
      </c>
      <c r="P622" s="70">
        <v>0</v>
      </c>
      <c r="Q622" s="70">
        <v>5</v>
      </c>
      <c r="R622" s="70">
        <v>4</v>
      </c>
      <c r="S622" s="68" t="str">
        <f t="shared" si="28"/>
        <v/>
      </c>
      <c r="T622" s="68"/>
      <c r="U622" s="68"/>
      <c r="V622" s="68"/>
      <c r="W622" s="9"/>
      <c r="X622" s="10"/>
      <c r="Y622" s="71">
        <f t="shared" si="29"/>
        <v>5</v>
      </c>
      <c r="Z622" s="73">
        <f t="shared" si="30"/>
        <v>4</v>
      </c>
      <c r="AA622" s="73">
        <f t="shared" si="31"/>
        <v>4</v>
      </c>
      <c r="AB622" s="73">
        <f t="shared" si="32"/>
        <v>4</v>
      </c>
      <c r="AC622" s="73">
        <f t="shared" si="33"/>
        <v>-1</v>
      </c>
      <c r="AD622" s="73">
        <f t="shared" si="34"/>
        <v>-1</v>
      </c>
      <c r="AE622" s="73">
        <f t="shared" si="35"/>
        <v>4.0006219999999999</v>
      </c>
      <c r="AF622" s="73">
        <f t="shared" si="36"/>
        <v>4.0006219999999999</v>
      </c>
      <c r="AG622" s="73">
        <f t="shared" si="37"/>
        <v>-0.99937799999999999</v>
      </c>
      <c r="AH622" s="73">
        <f t="shared" si="38"/>
        <v>-0.99937799999999999</v>
      </c>
    </row>
    <row r="623" spans="1:34" ht="14.25" customHeight="1">
      <c r="A623" s="11">
        <v>608</v>
      </c>
      <c r="B623" s="66" t="s">
        <v>35</v>
      </c>
      <c r="C623" s="67">
        <v>45170</v>
      </c>
      <c r="D623" s="67">
        <v>44819</v>
      </c>
      <c r="E623" s="67"/>
      <c r="F623" s="67"/>
      <c r="G623" s="67" t="s">
        <v>35</v>
      </c>
      <c r="H623" s="67">
        <v>44830</v>
      </c>
      <c r="I623" s="6" t="s">
        <v>1217</v>
      </c>
      <c r="J623" s="9">
        <v>3428100499</v>
      </c>
      <c r="K623" s="68">
        <v>44804</v>
      </c>
      <c r="L623" s="68">
        <v>46022</v>
      </c>
      <c r="M623" s="68">
        <v>46203</v>
      </c>
      <c r="N623" s="69">
        <f t="shared" si="26"/>
        <v>3</v>
      </c>
      <c r="O623" s="69">
        <f t="shared" si="27"/>
        <v>-1</v>
      </c>
      <c r="P623" s="70">
        <v>5</v>
      </c>
      <c r="Q623" s="70">
        <v>9</v>
      </c>
      <c r="R623" s="70">
        <v>8</v>
      </c>
      <c r="S623" s="68" t="str">
        <f t="shared" si="28"/>
        <v/>
      </c>
      <c r="T623" s="68"/>
      <c r="U623" s="68"/>
      <c r="V623" s="68"/>
      <c r="W623" s="9"/>
      <c r="X623" s="10"/>
      <c r="Y623" s="71">
        <f t="shared" si="29"/>
        <v>9</v>
      </c>
      <c r="Z623" s="73">
        <f t="shared" si="30"/>
        <v>8</v>
      </c>
      <c r="AA623" s="73">
        <f t="shared" si="31"/>
        <v>3</v>
      </c>
      <c r="AB623" s="73">
        <f t="shared" si="32"/>
        <v>3</v>
      </c>
      <c r="AC623" s="73">
        <f t="shared" si="33"/>
        <v>-1</v>
      </c>
      <c r="AD623" s="73">
        <f t="shared" si="34"/>
        <v>-1</v>
      </c>
      <c r="AE623" s="73">
        <f t="shared" si="35"/>
        <v>3.000623</v>
      </c>
      <c r="AF623" s="73">
        <f t="shared" si="36"/>
        <v>3.000623</v>
      </c>
      <c r="AG623" s="73">
        <f t="shared" si="37"/>
        <v>-0.99937699999999996</v>
      </c>
      <c r="AH623" s="73">
        <f t="shared" si="38"/>
        <v>-0.99937699999999996</v>
      </c>
    </row>
    <row r="624" spans="1:34" ht="14.25" customHeight="1">
      <c r="A624" s="11">
        <v>609</v>
      </c>
      <c r="B624" s="66"/>
      <c r="C624" s="67"/>
      <c r="D624" s="67"/>
      <c r="E624" s="67"/>
      <c r="F624" s="67"/>
      <c r="G624" s="67" t="s">
        <v>35</v>
      </c>
      <c r="H624" s="67">
        <v>43769</v>
      </c>
      <c r="I624" s="6" t="s">
        <v>1218</v>
      </c>
      <c r="J624" s="9">
        <v>3428800523</v>
      </c>
      <c r="K624" s="68">
        <v>43738</v>
      </c>
      <c r="L624" s="68">
        <v>46022</v>
      </c>
      <c r="M624" s="68">
        <v>46203</v>
      </c>
      <c r="N624" s="69">
        <f t="shared" si="26"/>
        <v>-10</v>
      </c>
      <c r="O624" s="69">
        <f t="shared" si="27"/>
        <v>3</v>
      </c>
      <c r="P624" s="70">
        <v>13</v>
      </c>
      <c r="Q624" s="70">
        <v>0</v>
      </c>
      <c r="R624" s="70">
        <v>3</v>
      </c>
      <c r="S624" s="68" t="str">
        <f t="shared" si="28"/>
        <v/>
      </c>
      <c r="T624" s="68"/>
      <c r="U624" s="68"/>
      <c r="V624" s="68"/>
      <c r="W624" s="9"/>
      <c r="X624" s="10"/>
      <c r="Y624" s="71">
        <f t="shared" si="29"/>
        <v>0</v>
      </c>
      <c r="Z624" s="73">
        <f t="shared" si="30"/>
        <v>3</v>
      </c>
      <c r="AA624" s="11" t="str">
        <f t="shared" si="31"/>
        <v/>
      </c>
      <c r="AB624" s="73">
        <f t="shared" si="32"/>
        <v>-10</v>
      </c>
      <c r="AC624" s="11" t="str">
        <f t="shared" si="33"/>
        <v/>
      </c>
      <c r="AD624" s="73">
        <f t="shared" si="34"/>
        <v>3</v>
      </c>
      <c r="AE624" s="11" t="str">
        <f t="shared" si="35"/>
        <v/>
      </c>
      <c r="AF624" s="73">
        <f t="shared" si="36"/>
        <v>-9.9993759999999998</v>
      </c>
      <c r="AG624" s="11" t="str">
        <f t="shared" si="37"/>
        <v/>
      </c>
      <c r="AH624" s="73">
        <f t="shared" si="38"/>
        <v>3.0006240000000002</v>
      </c>
    </row>
    <row r="625" spans="1:34" ht="14.25" customHeight="1">
      <c r="A625" s="11">
        <v>610</v>
      </c>
      <c r="B625" s="66"/>
      <c r="C625" s="67"/>
      <c r="D625" s="67"/>
      <c r="E625" s="67"/>
      <c r="F625" s="67"/>
      <c r="G625" s="67" t="s">
        <v>35</v>
      </c>
      <c r="H625" s="67">
        <v>45254</v>
      </c>
      <c r="I625" s="6" t="s">
        <v>1219</v>
      </c>
      <c r="J625" s="9">
        <v>3438702944</v>
      </c>
      <c r="K625" s="68">
        <v>45230</v>
      </c>
      <c r="L625" s="68">
        <v>46022</v>
      </c>
      <c r="M625" s="68">
        <v>46203</v>
      </c>
      <c r="N625" s="69">
        <f t="shared" si="26"/>
        <v>2</v>
      </c>
      <c r="O625" s="69">
        <f t="shared" si="27"/>
        <v>-2</v>
      </c>
      <c r="P625" s="70">
        <v>1</v>
      </c>
      <c r="Q625" s="70">
        <v>5</v>
      </c>
      <c r="R625" s="70">
        <v>3</v>
      </c>
      <c r="S625" s="68" t="str">
        <f t="shared" si="28"/>
        <v/>
      </c>
      <c r="T625" s="68"/>
      <c r="U625" s="68"/>
      <c r="V625" s="68"/>
      <c r="W625" s="9"/>
      <c r="X625" s="10"/>
      <c r="Y625" s="71">
        <f t="shared" si="29"/>
        <v>5</v>
      </c>
      <c r="Z625" s="73">
        <f t="shared" si="30"/>
        <v>3</v>
      </c>
      <c r="AA625" s="11" t="str">
        <f t="shared" si="31"/>
        <v/>
      </c>
      <c r="AB625" s="73">
        <f t="shared" si="32"/>
        <v>2</v>
      </c>
      <c r="AC625" s="11" t="str">
        <f t="shared" si="33"/>
        <v/>
      </c>
      <c r="AD625" s="73">
        <f t="shared" si="34"/>
        <v>-2</v>
      </c>
      <c r="AE625" s="11" t="str">
        <f t="shared" si="35"/>
        <v/>
      </c>
      <c r="AF625" s="73">
        <f t="shared" si="36"/>
        <v>2.0006249999999999</v>
      </c>
      <c r="AG625" s="11" t="str">
        <f t="shared" si="37"/>
        <v/>
      </c>
      <c r="AH625" s="73">
        <f t="shared" si="38"/>
        <v>-1.9993749999999999</v>
      </c>
    </row>
    <row r="626" spans="1:34" ht="14.25" customHeight="1">
      <c r="A626" s="11">
        <v>611</v>
      </c>
      <c r="B626" s="66"/>
      <c r="C626" s="67"/>
      <c r="D626" s="67"/>
      <c r="E626" s="67"/>
      <c r="F626" s="67"/>
      <c r="G626" s="67" t="s">
        <v>35</v>
      </c>
      <c r="H626" s="67">
        <v>45079</v>
      </c>
      <c r="I626" s="6" t="s">
        <v>1220</v>
      </c>
      <c r="J626" s="9">
        <v>3448802380</v>
      </c>
      <c r="K626" s="68">
        <v>45077</v>
      </c>
      <c r="L626" s="68">
        <v>46022</v>
      </c>
      <c r="M626" s="68">
        <v>46203</v>
      </c>
      <c r="N626" s="69">
        <f t="shared" si="26"/>
        <v>7</v>
      </c>
      <c r="O626" s="69">
        <f t="shared" si="27"/>
        <v>2</v>
      </c>
      <c r="P626" s="70">
        <v>4</v>
      </c>
      <c r="Q626" s="70">
        <v>9</v>
      </c>
      <c r="R626" s="70">
        <v>11</v>
      </c>
      <c r="S626" s="68" t="str">
        <f t="shared" si="28"/>
        <v/>
      </c>
      <c r="T626" s="68"/>
      <c r="U626" s="68"/>
      <c r="V626" s="68"/>
      <c r="W626" s="9"/>
      <c r="X626" s="10"/>
      <c r="Y626" s="71">
        <f t="shared" si="29"/>
        <v>9</v>
      </c>
      <c r="Z626" s="73">
        <f t="shared" si="30"/>
        <v>11</v>
      </c>
      <c r="AA626" s="11" t="str">
        <f t="shared" si="31"/>
        <v/>
      </c>
      <c r="AB626" s="73">
        <f t="shared" si="32"/>
        <v>7</v>
      </c>
      <c r="AC626" s="11" t="str">
        <f t="shared" si="33"/>
        <v/>
      </c>
      <c r="AD626" s="73">
        <f t="shared" si="34"/>
        <v>2</v>
      </c>
      <c r="AE626" s="11" t="str">
        <f t="shared" si="35"/>
        <v/>
      </c>
      <c r="AF626" s="73">
        <f t="shared" si="36"/>
        <v>7.0006259999999996</v>
      </c>
      <c r="AG626" s="11" t="str">
        <f t="shared" si="37"/>
        <v/>
      </c>
      <c r="AH626" s="73">
        <f t="shared" si="38"/>
        <v>2.000626</v>
      </c>
    </row>
    <row r="627" spans="1:34" ht="14.25" customHeight="1">
      <c r="A627" s="11">
        <v>612</v>
      </c>
      <c r="B627" s="66"/>
      <c r="C627" s="67"/>
      <c r="D627" s="67"/>
      <c r="E627" s="67"/>
      <c r="F627" s="67"/>
      <c r="G627" s="67" t="s">
        <v>35</v>
      </c>
      <c r="H627" s="67">
        <v>45369</v>
      </c>
      <c r="I627" s="6" t="s">
        <v>1221</v>
      </c>
      <c r="J627" s="94">
        <v>3458102540</v>
      </c>
      <c r="K627" s="68">
        <v>45930</v>
      </c>
      <c r="L627" s="68">
        <v>46022</v>
      </c>
      <c r="M627" s="68">
        <v>46203</v>
      </c>
      <c r="N627" s="69">
        <f t="shared" si="26"/>
        <v>2</v>
      </c>
      <c r="O627" s="69">
        <f t="shared" si="27"/>
        <v>0</v>
      </c>
      <c r="P627" s="78">
        <v>6</v>
      </c>
      <c r="Q627" s="78">
        <v>8</v>
      </c>
      <c r="R627" s="78">
        <v>8</v>
      </c>
      <c r="S627" s="68" t="str">
        <f t="shared" si="28"/>
        <v/>
      </c>
      <c r="T627" s="68"/>
      <c r="U627" s="95"/>
      <c r="V627" s="68"/>
      <c r="W627" s="6"/>
      <c r="X627" s="93" t="s">
        <v>1149</v>
      </c>
      <c r="Y627" s="71">
        <f t="shared" si="29"/>
        <v>8</v>
      </c>
      <c r="Z627" s="73">
        <f t="shared" si="30"/>
        <v>8</v>
      </c>
      <c r="AA627" s="11" t="str">
        <f t="shared" si="31"/>
        <v/>
      </c>
      <c r="AB627" s="73">
        <f t="shared" si="32"/>
        <v>2</v>
      </c>
      <c r="AC627" s="11" t="str">
        <f t="shared" si="33"/>
        <v/>
      </c>
      <c r="AD627" s="73">
        <f t="shared" si="34"/>
        <v>0</v>
      </c>
      <c r="AE627" s="11" t="str">
        <f t="shared" si="35"/>
        <v/>
      </c>
      <c r="AF627" s="73">
        <f t="shared" si="36"/>
        <v>2.0006270000000002</v>
      </c>
      <c r="AG627" s="11" t="str">
        <f t="shared" si="37"/>
        <v/>
      </c>
      <c r="AH627" s="73">
        <f t="shared" si="38"/>
        <v>6.2699999999999995E-4</v>
      </c>
    </row>
    <row r="628" spans="1:34" ht="14.25" customHeight="1">
      <c r="A628" s="11">
        <v>613</v>
      </c>
      <c r="B628" s="66"/>
      <c r="C628" s="67"/>
      <c r="D628" s="67"/>
      <c r="E628" s="67"/>
      <c r="F628" s="67"/>
      <c r="G628" s="67" t="s">
        <v>35</v>
      </c>
      <c r="H628" s="67">
        <v>45503</v>
      </c>
      <c r="I628" s="6" t="s">
        <v>1222</v>
      </c>
      <c r="J628" s="9">
        <v>3478702489</v>
      </c>
      <c r="K628" s="68">
        <v>45473</v>
      </c>
      <c r="L628" s="68">
        <v>46022</v>
      </c>
      <c r="M628" s="68">
        <v>46203</v>
      </c>
      <c r="N628" s="69">
        <f t="shared" si="26"/>
        <v>1</v>
      </c>
      <c r="O628" s="69">
        <f t="shared" si="27"/>
        <v>2</v>
      </c>
      <c r="P628" s="70">
        <v>5</v>
      </c>
      <c r="Q628" s="70">
        <v>4</v>
      </c>
      <c r="R628" s="70">
        <v>6</v>
      </c>
      <c r="S628" s="68" t="str">
        <f t="shared" si="28"/>
        <v/>
      </c>
      <c r="T628" s="68"/>
      <c r="U628" s="68"/>
      <c r="V628" s="68"/>
      <c r="W628" s="9"/>
      <c r="X628" s="10"/>
      <c r="Y628" s="71">
        <f t="shared" si="29"/>
        <v>4</v>
      </c>
      <c r="Z628" s="73">
        <f t="shared" si="30"/>
        <v>6</v>
      </c>
      <c r="AA628" s="11" t="str">
        <f t="shared" si="31"/>
        <v/>
      </c>
      <c r="AB628" s="73">
        <f t="shared" si="32"/>
        <v>1</v>
      </c>
      <c r="AC628" s="11" t="str">
        <f t="shared" si="33"/>
        <v/>
      </c>
      <c r="AD628" s="73">
        <f t="shared" si="34"/>
        <v>2</v>
      </c>
      <c r="AE628" s="11" t="str">
        <f t="shared" si="35"/>
        <v/>
      </c>
      <c r="AF628" s="73">
        <f t="shared" si="36"/>
        <v>1.0006280000000001</v>
      </c>
      <c r="AG628" s="11" t="str">
        <f t="shared" si="37"/>
        <v/>
      </c>
      <c r="AH628" s="73">
        <f t="shared" si="38"/>
        <v>2.0006279999999999</v>
      </c>
    </row>
    <row r="629" spans="1:34" ht="14.25" customHeight="1">
      <c r="A629" s="11">
        <v>614</v>
      </c>
      <c r="B629" s="66"/>
      <c r="C629" s="67"/>
      <c r="D629" s="67"/>
      <c r="E629" s="67"/>
      <c r="F629" s="67"/>
      <c r="G629" s="67" t="s">
        <v>35</v>
      </c>
      <c r="H629" s="67">
        <v>44859</v>
      </c>
      <c r="I629" s="6" t="s">
        <v>1223</v>
      </c>
      <c r="J629" s="94">
        <v>3488800706</v>
      </c>
      <c r="K629" s="68">
        <v>44834</v>
      </c>
      <c r="L629" s="68">
        <v>46022</v>
      </c>
      <c r="M629" s="68">
        <v>46203</v>
      </c>
      <c r="N629" s="69">
        <f t="shared" si="26"/>
        <v>5</v>
      </c>
      <c r="O629" s="69">
        <f t="shared" si="27"/>
        <v>0</v>
      </c>
      <c r="P629" s="78">
        <v>2</v>
      </c>
      <c r="Q629" s="78">
        <v>7</v>
      </c>
      <c r="R629" s="78">
        <v>7</v>
      </c>
      <c r="S629" s="68" t="str">
        <f t="shared" si="28"/>
        <v/>
      </c>
      <c r="T629" s="68"/>
      <c r="U629" s="95"/>
      <c r="V629" s="68"/>
      <c r="W629" s="6"/>
      <c r="X629" s="10" t="s">
        <v>1224</v>
      </c>
      <c r="Y629" s="71">
        <f t="shared" si="29"/>
        <v>7</v>
      </c>
      <c r="Z629" s="73">
        <f t="shared" si="30"/>
        <v>7</v>
      </c>
      <c r="AA629" s="11" t="str">
        <f t="shared" si="31"/>
        <v/>
      </c>
      <c r="AB629" s="73">
        <f t="shared" si="32"/>
        <v>5</v>
      </c>
      <c r="AC629" s="11" t="str">
        <f t="shared" si="33"/>
        <v/>
      </c>
      <c r="AD629" s="73">
        <f t="shared" si="34"/>
        <v>0</v>
      </c>
      <c r="AE629" s="11" t="str">
        <f t="shared" si="35"/>
        <v/>
      </c>
      <c r="AF629" s="73">
        <f t="shared" si="36"/>
        <v>5.000629</v>
      </c>
      <c r="AG629" s="11" t="str">
        <f t="shared" si="37"/>
        <v/>
      </c>
      <c r="AH629" s="73">
        <f t="shared" si="38"/>
        <v>6.29E-4</v>
      </c>
    </row>
    <row r="630" spans="1:34" ht="14.25" customHeight="1">
      <c r="A630" s="11">
        <v>615</v>
      </c>
      <c r="B630" s="66"/>
      <c r="C630" s="67"/>
      <c r="D630" s="67"/>
      <c r="E630" s="67"/>
      <c r="F630" s="67"/>
      <c r="G630" s="67" t="s">
        <v>35</v>
      </c>
      <c r="H630" s="67">
        <v>45869</v>
      </c>
      <c r="I630" s="6" t="s">
        <v>1225</v>
      </c>
      <c r="J630" s="94">
        <v>3498100767</v>
      </c>
      <c r="K630" s="68">
        <v>45838</v>
      </c>
      <c r="L630" s="68">
        <v>46022</v>
      </c>
      <c r="M630" s="68">
        <v>46203</v>
      </c>
      <c r="N630" s="69">
        <f t="shared" si="26"/>
        <v>-39</v>
      </c>
      <c r="O630" s="69">
        <f t="shared" si="27"/>
        <v>-33</v>
      </c>
      <c r="P630" s="70">
        <v>153</v>
      </c>
      <c r="Q630" s="70">
        <v>147</v>
      </c>
      <c r="R630" s="70">
        <v>114</v>
      </c>
      <c r="S630" s="68" t="str">
        <f t="shared" si="28"/>
        <v/>
      </c>
      <c r="T630" s="68"/>
      <c r="U630" s="95"/>
      <c r="V630" s="68"/>
      <c r="W630" s="6"/>
      <c r="X630" s="10"/>
      <c r="Y630" s="71">
        <f t="shared" si="29"/>
        <v>147</v>
      </c>
      <c r="Z630" s="73">
        <f t="shared" si="30"/>
        <v>114</v>
      </c>
      <c r="AA630" s="11" t="str">
        <f t="shared" si="31"/>
        <v/>
      </c>
      <c r="AB630" s="73">
        <f t="shared" si="32"/>
        <v>-39</v>
      </c>
      <c r="AC630" s="11" t="str">
        <f t="shared" si="33"/>
        <v/>
      </c>
      <c r="AD630" s="73">
        <f t="shared" si="34"/>
        <v>-33</v>
      </c>
      <c r="AE630" s="11" t="str">
        <f t="shared" si="35"/>
        <v/>
      </c>
      <c r="AF630" s="73">
        <f t="shared" si="36"/>
        <v>-38.999369999999999</v>
      </c>
      <c r="AG630" s="11" t="str">
        <f t="shared" si="37"/>
        <v/>
      </c>
      <c r="AH630" s="73">
        <f t="shared" si="38"/>
        <v>-32.999369999999999</v>
      </c>
    </row>
    <row r="631" spans="1:34" ht="14.25" customHeight="1">
      <c r="A631" s="11">
        <v>616</v>
      </c>
      <c r="B631" s="66" t="s">
        <v>681</v>
      </c>
      <c r="C631" s="67"/>
      <c r="D631" s="67">
        <v>43409</v>
      </c>
      <c r="E631" s="67"/>
      <c r="F631" s="67"/>
      <c r="G631" s="67"/>
      <c r="H631" s="67"/>
      <c r="I631" s="6" t="s">
        <v>1226</v>
      </c>
      <c r="J631" s="9">
        <v>3498600990</v>
      </c>
      <c r="K631" s="68">
        <v>43404</v>
      </c>
      <c r="L631" s="68" t="s">
        <v>230</v>
      </c>
      <c r="M631" s="68">
        <v>44104</v>
      </c>
      <c r="N631" s="69">
        <f t="shared" si="26"/>
        <v>34</v>
      </c>
      <c r="O631" s="69" t="str">
        <f t="shared" si="27"/>
        <v>N/A</v>
      </c>
      <c r="P631" s="70">
        <v>7</v>
      </c>
      <c r="Q631" s="70"/>
      <c r="R631" s="70">
        <v>41</v>
      </c>
      <c r="S631" s="68">
        <f t="shared" si="28"/>
        <v>44103</v>
      </c>
      <c r="T631" s="68">
        <v>45240</v>
      </c>
      <c r="U631" s="68"/>
      <c r="V631" s="68">
        <v>44103</v>
      </c>
      <c r="W631" s="9"/>
      <c r="X631" s="10"/>
      <c r="Y631" s="65" t="str">
        <f t="shared" si="29"/>
        <v/>
      </c>
      <c r="Z631" s="11" t="str">
        <f t="shared" si="30"/>
        <v/>
      </c>
      <c r="AA631" s="73">
        <f t="shared" si="31"/>
        <v>34</v>
      </c>
      <c r="AB631" s="11" t="str">
        <f t="shared" si="32"/>
        <v/>
      </c>
      <c r="AC631" s="11" t="str">
        <f t="shared" si="33"/>
        <v/>
      </c>
      <c r="AD631" s="11" t="str">
        <f t="shared" si="34"/>
        <v/>
      </c>
      <c r="AE631" s="73">
        <f t="shared" si="35"/>
        <v>34.000630999999998</v>
      </c>
      <c r="AF631" s="11" t="str">
        <f t="shared" si="36"/>
        <v/>
      </c>
      <c r="AG631" s="11" t="str">
        <f t="shared" si="37"/>
        <v/>
      </c>
      <c r="AH631" s="11" t="str">
        <f t="shared" si="38"/>
        <v/>
      </c>
    </row>
    <row r="632" spans="1:34" ht="14.25" customHeight="1">
      <c r="A632" s="11">
        <v>617</v>
      </c>
      <c r="B632" s="66"/>
      <c r="C632" s="67"/>
      <c r="D632" s="67"/>
      <c r="E632" s="67"/>
      <c r="F632" s="67"/>
      <c r="G632" s="67" t="s">
        <v>35</v>
      </c>
      <c r="H632" s="67">
        <v>45436</v>
      </c>
      <c r="I632" s="6" t="s">
        <v>1227</v>
      </c>
      <c r="J632" s="9">
        <v>3528601374</v>
      </c>
      <c r="K632" s="68">
        <v>45412</v>
      </c>
      <c r="L632" s="68">
        <v>46022</v>
      </c>
      <c r="M632" s="68">
        <v>46203</v>
      </c>
      <c r="N632" s="69">
        <f t="shared" si="26"/>
        <v>10</v>
      </c>
      <c r="O632" s="69">
        <f t="shared" si="27"/>
        <v>6</v>
      </c>
      <c r="P632" s="70">
        <v>3</v>
      </c>
      <c r="Q632" s="70">
        <v>7</v>
      </c>
      <c r="R632" s="70">
        <v>13</v>
      </c>
      <c r="S632" s="68" t="str">
        <f t="shared" si="28"/>
        <v/>
      </c>
      <c r="T632" s="68"/>
      <c r="U632" s="68"/>
      <c r="V632" s="68"/>
      <c r="W632" s="9"/>
      <c r="X632" s="10"/>
      <c r="Y632" s="71">
        <f t="shared" si="29"/>
        <v>7</v>
      </c>
      <c r="Z632" s="73">
        <f t="shared" si="30"/>
        <v>13</v>
      </c>
      <c r="AA632" s="11" t="str">
        <f t="shared" si="31"/>
        <v/>
      </c>
      <c r="AB632" s="73">
        <f t="shared" si="32"/>
        <v>10</v>
      </c>
      <c r="AC632" s="11" t="str">
        <f t="shared" si="33"/>
        <v/>
      </c>
      <c r="AD632" s="73">
        <f t="shared" si="34"/>
        <v>6</v>
      </c>
      <c r="AE632" s="11" t="str">
        <f t="shared" si="35"/>
        <v/>
      </c>
      <c r="AF632" s="73">
        <f t="shared" si="36"/>
        <v>10.000632</v>
      </c>
      <c r="AG632" s="11" t="str">
        <f t="shared" si="37"/>
        <v/>
      </c>
      <c r="AH632" s="73">
        <f t="shared" si="38"/>
        <v>6.0006320000000004</v>
      </c>
    </row>
    <row r="633" spans="1:34" ht="14.25" customHeight="1">
      <c r="A633" s="11">
        <v>618</v>
      </c>
      <c r="B633" s="66"/>
      <c r="C633" s="67"/>
      <c r="D633" s="67"/>
      <c r="E633" s="67"/>
      <c r="F633" s="67"/>
      <c r="G633" s="67" t="s">
        <v>35</v>
      </c>
      <c r="H633" s="67">
        <v>44699</v>
      </c>
      <c r="I633" s="6" t="s">
        <v>1228</v>
      </c>
      <c r="J633" s="9">
        <v>3548700290</v>
      </c>
      <c r="K633" s="68">
        <v>44681</v>
      </c>
      <c r="L633" s="68">
        <v>46022</v>
      </c>
      <c r="M633" s="68">
        <v>46203</v>
      </c>
      <c r="N633" s="69">
        <f t="shared" si="26"/>
        <v>0</v>
      </c>
      <c r="O633" s="69">
        <f t="shared" si="27"/>
        <v>-3</v>
      </c>
      <c r="P633" s="70">
        <v>5</v>
      </c>
      <c r="Q633" s="70">
        <v>8</v>
      </c>
      <c r="R633" s="70">
        <v>5</v>
      </c>
      <c r="S633" s="68" t="str">
        <f t="shared" si="28"/>
        <v/>
      </c>
      <c r="T633" s="68"/>
      <c r="U633" s="68"/>
      <c r="V633" s="68"/>
      <c r="W633" s="9"/>
      <c r="X633" s="10"/>
      <c r="Y633" s="71">
        <f t="shared" si="29"/>
        <v>8</v>
      </c>
      <c r="Z633" s="73">
        <f t="shared" si="30"/>
        <v>5</v>
      </c>
      <c r="AA633" s="11" t="str">
        <f t="shared" si="31"/>
        <v/>
      </c>
      <c r="AB633" s="73">
        <f t="shared" si="32"/>
        <v>0</v>
      </c>
      <c r="AC633" s="11" t="str">
        <f t="shared" si="33"/>
        <v/>
      </c>
      <c r="AD633" s="73">
        <f t="shared" si="34"/>
        <v>-3</v>
      </c>
      <c r="AE633" s="11" t="str">
        <f t="shared" si="35"/>
        <v/>
      </c>
      <c r="AF633" s="73">
        <f t="shared" si="36"/>
        <v>6.3299999999999999E-4</v>
      </c>
      <c r="AG633" s="11" t="str">
        <f t="shared" si="37"/>
        <v/>
      </c>
      <c r="AH633" s="73">
        <f t="shared" si="38"/>
        <v>-2.9993669999999999</v>
      </c>
    </row>
    <row r="634" spans="1:34" ht="14.25" customHeight="1">
      <c r="A634" s="11">
        <v>619</v>
      </c>
      <c r="B634" s="66"/>
      <c r="C634" s="67"/>
      <c r="D634" s="67"/>
      <c r="E634" s="67"/>
      <c r="F634" s="67"/>
      <c r="G634" s="67" t="s">
        <v>35</v>
      </c>
      <c r="H634" s="67">
        <v>44501</v>
      </c>
      <c r="I634" s="6" t="s">
        <v>1229</v>
      </c>
      <c r="J634" s="9">
        <v>3558802212</v>
      </c>
      <c r="K634" s="68">
        <v>44500</v>
      </c>
      <c r="L634" s="68">
        <v>46022</v>
      </c>
      <c r="M634" s="68">
        <v>46203</v>
      </c>
      <c r="N634" s="69">
        <f t="shared" si="26"/>
        <v>15</v>
      </c>
      <c r="O634" s="69">
        <f t="shared" si="27"/>
        <v>-2</v>
      </c>
      <c r="P634" s="70">
        <v>5</v>
      </c>
      <c r="Q634" s="70">
        <v>22</v>
      </c>
      <c r="R634" s="70">
        <v>20</v>
      </c>
      <c r="S634" s="68" t="str">
        <f t="shared" si="28"/>
        <v/>
      </c>
      <c r="T634" s="68"/>
      <c r="U634" s="68"/>
      <c r="V634" s="68"/>
      <c r="W634" s="9"/>
      <c r="X634" s="10"/>
      <c r="Y634" s="71">
        <f t="shared" si="29"/>
        <v>22</v>
      </c>
      <c r="Z634" s="73">
        <f t="shared" si="30"/>
        <v>20</v>
      </c>
      <c r="AA634" s="11" t="str">
        <f t="shared" si="31"/>
        <v/>
      </c>
      <c r="AB634" s="73">
        <f t="shared" si="32"/>
        <v>15</v>
      </c>
      <c r="AC634" s="11" t="str">
        <f t="shared" si="33"/>
        <v/>
      </c>
      <c r="AD634" s="73">
        <f t="shared" si="34"/>
        <v>-2</v>
      </c>
      <c r="AE634" s="11" t="str">
        <f t="shared" si="35"/>
        <v/>
      </c>
      <c r="AF634" s="73">
        <f t="shared" si="36"/>
        <v>15.000634</v>
      </c>
      <c r="AG634" s="11" t="str">
        <f t="shared" si="37"/>
        <v/>
      </c>
      <c r="AH634" s="73">
        <f t="shared" si="38"/>
        <v>-1.999366</v>
      </c>
    </row>
    <row r="635" spans="1:34" ht="14.25" customHeight="1">
      <c r="A635" s="11">
        <v>620</v>
      </c>
      <c r="B635" s="66" t="s">
        <v>35</v>
      </c>
      <c r="C635" s="67"/>
      <c r="D635" s="67">
        <v>42838</v>
      </c>
      <c r="E635" s="67"/>
      <c r="F635" s="67"/>
      <c r="G635" s="67"/>
      <c r="H635" s="67"/>
      <c r="I635" s="6" t="s">
        <v>1230</v>
      </c>
      <c r="J635" s="9">
        <v>3568700243</v>
      </c>
      <c r="K635" s="68">
        <v>42825</v>
      </c>
      <c r="L635" s="68">
        <v>46022</v>
      </c>
      <c r="M635" s="68">
        <v>46203</v>
      </c>
      <c r="N635" s="69">
        <f t="shared" si="26"/>
        <v>84</v>
      </c>
      <c r="O635" s="69">
        <f t="shared" si="27"/>
        <v>6</v>
      </c>
      <c r="P635" s="70">
        <v>9</v>
      </c>
      <c r="Q635" s="70">
        <v>87</v>
      </c>
      <c r="R635" s="70">
        <v>93</v>
      </c>
      <c r="S635" s="68" t="str">
        <f t="shared" si="28"/>
        <v/>
      </c>
      <c r="T635" s="68"/>
      <c r="U635" s="68"/>
      <c r="V635" s="68"/>
      <c r="W635" s="9"/>
      <c r="X635" s="10"/>
      <c r="Y635" s="71">
        <f t="shared" si="29"/>
        <v>87</v>
      </c>
      <c r="Z635" s="73">
        <f t="shared" si="30"/>
        <v>93</v>
      </c>
      <c r="AA635" s="73">
        <f t="shared" si="31"/>
        <v>84</v>
      </c>
      <c r="AB635" s="11" t="str">
        <f t="shared" si="32"/>
        <v/>
      </c>
      <c r="AC635" s="73">
        <f t="shared" si="33"/>
        <v>6</v>
      </c>
      <c r="AD635" s="11" t="str">
        <f t="shared" si="34"/>
        <v/>
      </c>
      <c r="AE635" s="73">
        <f t="shared" si="35"/>
        <v>84.000635000000003</v>
      </c>
      <c r="AF635" s="11" t="str">
        <f t="shared" si="36"/>
        <v/>
      </c>
      <c r="AG635" s="73">
        <f t="shared" si="37"/>
        <v>6.0006349999999999</v>
      </c>
      <c r="AH635" s="11" t="str">
        <f t="shared" si="38"/>
        <v/>
      </c>
    </row>
    <row r="636" spans="1:34" ht="14.25" customHeight="1">
      <c r="A636" s="11">
        <v>621</v>
      </c>
      <c r="B636" s="66"/>
      <c r="C636" s="67"/>
      <c r="D636" s="67"/>
      <c r="E636" s="67"/>
      <c r="F636" s="67"/>
      <c r="G636" s="67" t="s">
        <v>35</v>
      </c>
      <c r="H636" s="67">
        <v>43439</v>
      </c>
      <c r="I636" s="6" t="s">
        <v>1231</v>
      </c>
      <c r="J636" s="9">
        <v>3568800202</v>
      </c>
      <c r="K636" s="68">
        <v>43434</v>
      </c>
      <c r="L636" s="68">
        <v>46022</v>
      </c>
      <c r="M636" s="68">
        <v>46203</v>
      </c>
      <c r="N636" s="69">
        <f t="shared" si="26"/>
        <v>-5</v>
      </c>
      <c r="O636" s="69">
        <f t="shared" si="27"/>
        <v>0</v>
      </c>
      <c r="P636" s="70">
        <v>6</v>
      </c>
      <c r="Q636" s="70">
        <v>1</v>
      </c>
      <c r="R636" s="70">
        <v>1</v>
      </c>
      <c r="S636" s="68" t="str">
        <f t="shared" si="28"/>
        <v/>
      </c>
      <c r="T636" s="68"/>
      <c r="U636" s="68"/>
      <c r="V636" s="68"/>
      <c r="W636" s="9"/>
      <c r="X636" s="10"/>
      <c r="Y636" s="71">
        <f t="shared" si="29"/>
        <v>1</v>
      </c>
      <c r="Z636" s="73">
        <f t="shared" si="30"/>
        <v>1</v>
      </c>
      <c r="AA636" s="11" t="str">
        <f t="shared" si="31"/>
        <v/>
      </c>
      <c r="AB636" s="73">
        <f t="shared" si="32"/>
        <v>-5</v>
      </c>
      <c r="AC636" s="11" t="str">
        <f t="shared" si="33"/>
        <v/>
      </c>
      <c r="AD636" s="73">
        <f t="shared" si="34"/>
        <v>0</v>
      </c>
      <c r="AE636" s="11" t="str">
        <f t="shared" si="35"/>
        <v/>
      </c>
      <c r="AF636" s="73">
        <f t="shared" si="36"/>
        <v>-4.9993639999999999</v>
      </c>
      <c r="AG636" s="11" t="str">
        <f t="shared" si="37"/>
        <v/>
      </c>
      <c r="AH636" s="73">
        <f t="shared" si="38"/>
        <v>6.3599999999999996E-4</v>
      </c>
    </row>
    <row r="637" spans="1:34" ht="14.25" customHeight="1">
      <c r="A637" s="11">
        <v>622</v>
      </c>
      <c r="B637" s="66"/>
      <c r="C637" s="67"/>
      <c r="D637" s="67"/>
      <c r="E637" s="67"/>
      <c r="F637" s="67"/>
      <c r="G637" s="67" t="s">
        <v>35</v>
      </c>
      <c r="H637" s="67">
        <v>45533</v>
      </c>
      <c r="I637" s="6" t="s">
        <v>1232</v>
      </c>
      <c r="J637" s="9">
        <v>3568801176</v>
      </c>
      <c r="K637" s="68">
        <v>45504</v>
      </c>
      <c r="L637" s="68">
        <v>46022</v>
      </c>
      <c r="M637" s="68">
        <v>46203</v>
      </c>
      <c r="N637" s="69">
        <f t="shared" si="26"/>
        <v>16</v>
      </c>
      <c r="O637" s="69">
        <f t="shared" si="27"/>
        <v>0</v>
      </c>
      <c r="P637" s="70">
        <v>24</v>
      </c>
      <c r="Q637" s="70">
        <v>40</v>
      </c>
      <c r="R637" s="70">
        <v>40</v>
      </c>
      <c r="S637" s="68" t="str">
        <f t="shared" si="28"/>
        <v/>
      </c>
      <c r="T637" s="68"/>
      <c r="U637" s="68"/>
      <c r="V637" s="68"/>
      <c r="W637" s="9"/>
      <c r="X637" s="10"/>
      <c r="Y637" s="71">
        <f t="shared" si="29"/>
        <v>40</v>
      </c>
      <c r="Z637" s="73">
        <f t="shared" si="30"/>
        <v>40</v>
      </c>
      <c r="AA637" s="11" t="str">
        <f t="shared" si="31"/>
        <v/>
      </c>
      <c r="AB637" s="73">
        <f t="shared" si="32"/>
        <v>16</v>
      </c>
      <c r="AC637" s="11" t="str">
        <f t="shared" si="33"/>
        <v/>
      </c>
      <c r="AD637" s="73">
        <f t="shared" si="34"/>
        <v>0</v>
      </c>
      <c r="AE637" s="11" t="str">
        <f t="shared" si="35"/>
        <v/>
      </c>
      <c r="AF637" s="73">
        <f t="shared" si="36"/>
        <v>16.000637000000001</v>
      </c>
      <c r="AG637" s="11" t="str">
        <f t="shared" si="37"/>
        <v/>
      </c>
      <c r="AH637" s="73">
        <f t="shared" si="38"/>
        <v>6.3699999999999998E-4</v>
      </c>
    </row>
    <row r="638" spans="1:34" ht="14.25" customHeight="1">
      <c r="A638" s="11">
        <v>623</v>
      </c>
      <c r="B638" s="66" t="s">
        <v>35</v>
      </c>
      <c r="C638" s="67">
        <v>45839</v>
      </c>
      <c r="D638" s="67"/>
      <c r="E638" s="67"/>
      <c r="F638" s="67"/>
      <c r="G638" s="67"/>
      <c r="H638" s="67"/>
      <c r="I638" s="6" t="s">
        <v>1233</v>
      </c>
      <c r="J638" s="9">
        <v>3568802137</v>
      </c>
      <c r="K638" s="68">
        <v>45838</v>
      </c>
      <c r="L638" s="68">
        <v>46022</v>
      </c>
      <c r="M638" s="68">
        <v>46203</v>
      </c>
      <c r="N638" s="69">
        <f t="shared" si="26"/>
        <v>1</v>
      </c>
      <c r="O638" s="69">
        <f t="shared" si="27"/>
        <v>-1</v>
      </c>
      <c r="P638" s="70">
        <v>7</v>
      </c>
      <c r="Q638" s="70">
        <v>9</v>
      </c>
      <c r="R638" s="70">
        <v>8</v>
      </c>
      <c r="S638" s="68" t="str">
        <f t="shared" si="28"/>
        <v/>
      </c>
      <c r="T638" s="68"/>
      <c r="U638" s="68"/>
      <c r="V638" s="68"/>
      <c r="W638" s="9"/>
      <c r="X638" s="10"/>
      <c r="Y638" s="71">
        <f t="shared" si="29"/>
        <v>9</v>
      </c>
      <c r="Z638" s="73">
        <f t="shared" si="30"/>
        <v>8</v>
      </c>
      <c r="AA638" s="73">
        <f t="shared" si="31"/>
        <v>1</v>
      </c>
      <c r="AB638" s="11" t="str">
        <f t="shared" si="32"/>
        <v/>
      </c>
      <c r="AC638" s="73">
        <f t="shared" si="33"/>
        <v>-1</v>
      </c>
      <c r="AD638" s="11" t="str">
        <f t="shared" si="34"/>
        <v/>
      </c>
      <c r="AE638" s="73">
        <f t="shared" si="35"/>
        <v>1.0006379999999999</v>
      </c>
      <c r="AF638" s="11" t="str">
        <f t="shared" si="36"/>
        <v/>
      </c>
      <c r="AG638" s="73">
        <f t="shared" si="37"/>
        <v>-0.99936199999999997</v>
      </c>
      <c r="AH638" s="11" t="str">
        <f t="shared" si="38"/>
        <v/>
      </c>
    </row>
    <row r="639" spans="1:34" ht="14.25" customHeight="1">
      <c r="A639" s="11">
        <v>624</v>
      </c>
      <c r="B639" s="66"/>
      <c r="C639" s="67"/>
      <c r="D639" s="67"/>
      <c r="E639" s="67"/>
      <c r="F639" s="67"/>
      <c r="G639" s="67" t="s">
        <v>35</v>
      </c>
      <c r="H639" s="67">
        <v>45518</v>
      </c>
      <c r="I639" s="6" t="s">
        <v>1234</v>
      </c>
      <c r="J639" s="9">
        <v>3578601286</v>
      </c>
      <c r="K639" s="68">
        <v>45504</v>
      </c>
      <c r="L639" s="68">
        <v>46022</v>
      </c>
      <c r="M639" s="68">
        <v>46203</v>
      </c>
      <c r="N639" s="69">
        <f t="shared" si="26"/>
        <v>0</v>
      </c>
      <c r="O639" s="69">
        <f t="shared" si="27"/>
        <v>0</v>
      </c>
      <c r="P639" s="70">
        <v>17</v>
      </c>
      <c r="Q639" s="70">
        <v>17</v>
      </c>
      <c r="R639" s="70">
        <v>17</v>
      </c>
      <c r="S639" s="68" t="str">
        <f t="shared" si="28"/>
        <v/>
      </c>
      <c r="T639" s="68"/>
      <c r="U639" s="68"/>
      <c r="V639" s="68"/>
      <c r="W639" s="9"/>
      <c r="X639" s="10"/>
      <c r="Y639" s="71">
        <f t="shared" si="29"/>
        <v>17</v>
      </c>
      <c r="Z639" s="73">
        <f t="shared" si="30"/>
        <v>17</v>
      </c>
      <c r="AA639" s="11" t="str">
        <f t="shared" si="31"/>
        <v/>
      </c>
      <c r="AB639" s="73">
        <f t="shared" si="32"/>
        <v>0</v>
      </c>
      <c r="AC639" s="11" t="str">
        <f t="shared" si="33"/>
        <v/>
      </c>
      <c r="AD639" s="73">
        <f t="shared" si="34"/>
        <v>0</v>
      </c>
      <c r="AE639" s="11" t="str">
        <f t="shared" si="35"/>
        <v/>
      </c>
      <c r="AF639" s="73">
        <f t="shared" si="36"/>
        <v>6.3900000000000003E-4</v>
      </c>
      <c r="AG639" s="11" t="str">
        <f t="shared" si="37"/>
        <v/>
      </c>
      <c r="AH639" s="73">
        <f t="shared" si="38"/>
        <v>6.3900000000000003E-4</v>
      </c>
    </row>
    <row r="640" spans="1:34" ht="14.25" customHeight="1">
      <c r="A640" s="11">
        <v>625</v>
      </c>
      <c r="B640" s="66"/>
      <c r="C640" s="67"/>
      <c r="D640" s="67"/>
      <c r="E640" s="67"/>
      <c r="F640" s="67"/>
      <c r="G640" s="67" t="s">
        <v>35</v>
      </c>
      <c r="H640" s="67">
        <v>45645</v>
      </c>
      <c r="I640" s="6" t="s">
        <v>1235</v>
      </c>
      <c r="J640" s="9">
        <v>3578702865</v>
      </c>
      <c r="K640" s="68">
        <v>45626</v>
      </c>
      <c r="L640" s="68">
        <v>46022</v>
      </c>
      <c r="M640" s="68">
        <v>46203</v>
      </c>
      <c r="N640" s="69">
        <f t="shared" si="26"/>
        <v>2</v>
      </c>
      <c r="O640" s="69">
        <f t="shared" si="27"/>
        <v>-1</v>
      </c>
      <c r="P640" s="70">
        <v>0</v>
      </c>
      <c r="Q640" s="70">
        <v>3</v>
      </c>
      <c r="R640" s="70">
        <v>2</v>
      </c>
      <c r="S640" s="68" t="str">
        <f t="shared" si="28"/>
        <v/>
      </c>
      <c r="T640" s="68"/>
      <c r="U640" s="68"/>
      <c r="V640" s="68"/>
      <c r="W640" s="9"/>
      <c r="X640" s="10"/>
      <c r="Y640" s="71">
        <f t="shared" si="29"/>
        <v>3</v>
      </c>
      <c r="Z640" s="73">
        <f t="shared" si="30"/>
        <v>2</v>
      </c>
      <c r="AA640" s="11" t="str">
        <f t="shared" si="31"/>
        <v/>
      </c>
      <c r="AB640" s="73">
        <f t="shared" si="32"/>
        <v>2</v>
      </c>
      <c r="AC640" s="11" t="str">
        <f t="shared" si="33"/>
        <v/>
      </c>
      <c r="AD640" s="73">
        <f t="shared" si="34"/>
        <v>-1</v>
      </c>
      <c r="AE640" s="11" t="str">
        <f t="shared" si="35"/>
        <v/>
      </c>
      <c r="AF640" s="73">
        <f t="shared" si="36"/>
        <v>2.0006400000000002</v>
      </c>
      <c r="AG640" s="11" t="str">
        <f t="shared" si="37"/>
        <v/>
      </c>
      <c r="AH640" s="73">
        <f t="shared" si="38"/>
        <v>-0.99936000000000003</v>
      </c>
    </row>
    <row r="641" spans="1:34" ht="14.25" customHeight="1">
      <c r="A641" s="11">
        <v>626</v>
      </c>
      <c r="B641" s="66"/>
      <c r="C641" s="67"/>
      <c r="D641" s="67"/>
      <c r="E641" s="67"/>
      <c r="F641" s="67"/>
      <c r="G641" s="67" t="s">
        <v>35</v>
      </c>
      <c r="H641" s="67">
        <v>43994</v>
      </c>
      <c r="I641" s="6" t="s">
        <v>1236</v>
      </c>
      <c r="J641" s="9">
        <v>3588100820</v>
      </c>
      <c r="K641" s="68">
        <v>43982</v>
      </c>
      <c r="L641" s="68">
        <v>46022</v>
      </c>
      <c r="M641" s="68">
        <v>46203</v>
      </c>
      <c r="N641" s="69">
        <f t="shared" si="26"/>
        <v>169</v>
      </c>
      <c r="O641" s="69">
        <f t="shared" si="27"/>
        <v>32</v>
      </c>
      <c r="P641" s="70">
        <v>27</v>
      </c>
      <c r="Q641" s="70">
        <v>164</v>
      </c>
      <c r="R641" s="70">
        <v>196</v>
      </c>
      <c r="S641" s="68" t="str">
        <f t="shared" si="28"/>
        <v/>
      </c>
      <c r="T641" s="68"/>
      <c r="U641" s="68"/>
      <c r="V641" s="68"/>
      <c r="W641" s="9"/>
      <c r="X641" s="10"/>
      <c r="Y641" s="71">
        <f t="shared" si="29"/>
        <v>164</v>
      </c>
      <c r="Z641" s="73">
        <f t="shared" si="30"/>
        <v>196</v>
      </c>
      <c r="AA641" s="11" t="str">
        <f t="shared" si="31"/>
        <v/>
      </c>
      <c r="AB641" s="73">
        <f t="shared" si="32"/>
        <v>169</v>
      </c>
      <c r="AC641" s="11" t="str">
        <f t="shared" si="33"/>
        <v/>
      </c>
      <c r="AD641" s="73">
        <f t="shared" si="34"/>
        <v>32</v>
      </c>
      <c r="AE641" s="11" t="str">
        <f t="shared" si="35"/>
        <v/>
      </c>
      <c r="AF641" s="73">
        <f t="shared" si="36"/>
        <v>169.000641</v>
      </c>
      <c r="AG641" s="11" t="str">
        <f t="shared" si="37"/>
        <v/>
      </c>
      <c r="AH641" s="73">
        <f t="shared" si="38"/>
        <v>32.000641000000002</v>
      </c>
    </row>
    <row r="642" spans="1:34" ht="14.25" customHeight="1">
      <c r="A642" s="11">
        <v>627</v>
      </c>
      <c r="B642" s="66" t="s">
        <v>35</v>
      </c>
      <c r="C642" s="67"/>
      <c r="D642" s="67">
        <v>45330</v>
      </c>
      <c r="E642" s="67"/>
      <c r="F642" s="67"/>
      <c r="G642" s="67"/>
      <c r="H642" s="67"/>
      <c r="I642" s="6" t="s">
        <v>1237</v>
      </c>
      <c r="J642" s="9">
        <v>3588101377</v>
      </c>
      <c r="K642" s="68">
        <v>45322</v>
      </c>
      <c r="L642" s="68">
        <v>46022</v>
      </c>
      <c r="M642" s="68">
        <v>46203</v>
      </c>
      <c r="N642" s="69">
        <f t="shared" si="26"/>
        <v>12</v>
      </c>
      <c r="O642" s="69">
        <f t="shared" si="27"/>
        <v>-3</v>
      </c>
      <c r="P642" s="70">
        <v>8</v>
      </c>
      <c r="Q642" s="70">
        <v>23</v>
      </c>
      <c r="R642" s="70">
        <v>20</v>
      </c>
      <c r="S642" s="68" t="str">
        <f t="shared" si="28"/>
        <v/>
      </c>
      <c r="T642" s="68"/>
      <c r="U642" s="68"/>
      <c r="V642" s="68"/>
      <c r="W642" s="9"/>
      <c r="X642" s="10"/>
      <c r="Y642" s="71">
        <f t="shared" si="29"/>
        <v>23</v>
      </c>
      <c r="Z642" s="73">
        <f t="shared" si="30"/>
        <v>20</v>
      </c>
      <c r="AA642" s="73">
        <f t="shared" si="31"/>
        <v>12</v>
      </c>
      <c r="AB642" s="11" t="str">
        <f t="shared" si="32"/>
        <v/>
      </c>
      <c r="AC642" s="73">
        <f t="shared" si="33"/>
        <v>-3</v>
      </c>
      <c r="AD642" s="11" t="str">
        <f t="shared" si="34"/>
        <v/>
      </c>
      <c r="AE642" s="73">
        <f t="shared" si="35"/>
        <v>12.000641999999999</v>
      </c>
      <c r="AF642" s="11" t="str">
        <f t="shared" si="36"/>
        <v/>
      </c>
      <c r="AG642" s="73">
        <f t="shared" si="37"/>
        <v>-2.999358</v>
      </c>
      <c r="AH642" s="11" t="str">
        <f t="shared" si="38"/>
        <v/>
      </c>
    </row>
    <row r="643" spans="1:34" ht="14.25" customHeight="1">
      <c r="A643" s="11">
        <v>628</v>
      </c>
      <c r="B643" s="66"/>
      <c r="C643" s="67"/>
      <c r="D643" s="67"/>
      <c r="E643" s="67"/>
      <c r="F643" s="67"/>
      <c r="G643" s="67" t="s">
        <v>35</v>
      </c>
      <c r="H643" s="67">
        <v>44054</v>
      </c>
      <c r="I643" s="6" t="s">
        <v>1238</v>
      </c>
      <c r="J643" s="9">
        <v>3588101421</v>
      </c>
      <c r="K643" s="68">
        <v>44043</v>
      </c>
      <c r="L643" s="68">
        <v>46022</v>
      </c>
      <c r="M643" s="68">
        <v>46203</v>
      </c>
      <c r="N643" s="69">
        <f t="shared" si="26"/>
        <v>2</v>
      </c>
      <c r="O643" s="69">
        <f t="shared" si="27"/>
        <v>-8</v>
      </c>
      <c r="P643" s="70">
        <v>3</v>
      </c>
      <c r="Q643" s="70">
        <v>13</v>
      </c>
      <c r="R643" s="70">
        <v>5</v>
      </c>
      <c r="S643" s="68" t="str">
        <f t="shared" si="28"/>
        <v/>
      </c>
      <c r="T643" s="68"/>
      <c r="U643" s="68"/>
      <c r="V643" s="68"/>
      <c r="W643" s="9"/>
      <c r="X643" s="10"/>
      <c r="Y643" s="71">
        <f t="shared" si="29"/>
        <v>13</v>
      </c>
      <c r="Z643" s="73">
        <f t="shared" si="30"/>
        <v>5</v>
      </c>
      <c r="AA643" s="11" t="str">
        <f t="shared" si="31"/>
        <v/>
      </c>
      <c r="AB643" s="73">
        <f t="shared" si="32"/>
        <v>2</v>
      </c>
      <c r="AC643" s="11" t="str">
        <f t="shared" si="33"/>
        <v/>
      </c>
      <c r="AD643" s="73">
        <f t="shared" si="34"/>
        <v>-8</v>
      </c>
      <c r="AE643" s="11" t="str">
        <f t="shared" si="35"/>
        <v/>
      </c>
      <c r="AF643" s="73">
        <f t="shared" si="36"/>
        <v>2.0006430000000002</v>
      </c>
      <c r="AG643" s="11" t="str">
        <f t="shared" si="37"/>
        <v/>
      </c>
      <c r="AH643" s="73">
        <f t="shared" si="38"/>
        <v>-7.9993569999999998</v>
      </c>
    </row>
    <row r="644" spans="1:34" ht="14.25" customHeight="1">
      <c r="A644" s="11">
        <v>629</v>
      </c>
      <c r="B644" s="66"/>
      <c r="C644" s="67"/>
      <c r="D644" s="67"/>
      <c r="E644" s="67"/>
      <c r="F644" s="67"/>
      <c r="G644" s="67" t="s">
        <v>35</v>
      </c>
      <c r="H644" s="67">
        <v>45162</v>
      </c>
      <c r="I644" s="6" t="s">
        <v>1239</v>
      </c>
      <c r="J644" s="9">
        <v>3588102454</v>
      </c>
      <c r="K644" s="68">
        <v>45138</v>
      </c>
      <c r="L644" s="68">
        <v>46022</v>
      </c>
      <c r="M644" s="68">
        <v>46203</v>
      </c>
      <c r="N644" s="69">
        <f t="shared" si="26"/>
        <v>5</v>
      </c>
      <c r="O644" s="69">
        <f t="shared" si="27"/>
        <v>-1</v>
      </c>
      <c r="P644" s="70">
        <v>3</v>
      </c>
      <c r="Q644" s="70">
        <v>9</v>
      </c>
      <c r="R644" s="70">
        <v>8</v>
      </c>
      <c r="S644" s="68" t="str">
        <f t="shared" si="28"/>
        <v/>
      </c>
      <c r="T644" s="68"/>
      <c r="U644" s="68"/>
      <c r="V644" s="68"/>
      <c r="W644" s="9"/>
      <c r="X644" s="10"/>
      <c r="Y644" s="71">
        <f t="shared" si="29"/>
        <v>9</v>
      </c>
      <c r="Z644" s="73">
        <f t="shared" si="30"/>
        <v>8</v>
      </c>
      <c r="AA644" s="11" t="str">
        <f t="shared" si="31"/>
        <v/>
      </c>
      <c r="AB644" s="73">
        <f t="shared" si="32"/>
        <v>5</v>
      </c>
      <c r="AC644" s="11" t="str">
        <f t="shared" si="33"/>
        <v/>
      </c>
      <c r="AD644" s="73">
        <f t="shared" si="34"/>
        <v>-1</v>
      </c>
      <c r="AE644" s="11" t="str">
        <f t="shared" si="35"/>
        <v/>
      </c>
      <c r="AF644" s="73">
        <f t="shared" si="36"/>
        <v>5.0006440000000003</v>
      </c>
      <c r="AG644" s="11" t="str">
        <f t="shared" si="37"/>
        <v/>
      </c>
      <c r="AH644" s="73">
        <f t="shared" si="38"/>
        <v>-0.99935600000000002</v>
      </c>
    </row>
    <row r="645" spans="1:34" ht="14.25" customHeight="1">
      <c r="A645" s="11">
        <v>630</v>
      </c>
      <c r="B645" s="66"/>
      <c r="C645" s="67"/>
      <c r="D645" s="67"/>
      <c r="E645" s="67"/>
      <c r="F645" s="67"/>
      <c r="G645" s="67" t="s">
        <v>35</v>
      </c>
      <c r="H645" s="67">
        <v>43140</v>
      </c>
      <c r="I645" s="6" t="s">
        <v>1240</v>
      </c>
      <c r="J645" s="9">
        <v>3598100750</v>
      </c>
      <c r="K645" s="68">
        <v>43131</v>
      </c>
      <c r="L645" s="68">
        <v>46022</v>
      </c>
      <c r="M645" s="68">
        <v>46203</v>
      </c>
      <c r="N645" s="69">
        <f t="shared" si="26"/>
        <v>-2</v>
      </c>
      <c r="O645" s="69">
        <f t="shared" si="27"/>
        <v>0</v>
      </c>
      <c r="P645" s="70">
        <v>2</v>
      </c>
      <c r="Q645" s="70">
        <v>0</v>
      </c>
      <c r="R645" s="70">
        <v>0</v>
      </c>
      <c r="S645" s="68" t="str">
        <f t="shared" si="28"/>
        <v/>
      </c>
      <c r="T645" s="68"/>
      <c r="U645" s="68"/>
      <c r="V645" s="68"/>
      <c r="W645" s="9"/>
      <c r="X645" s="10"/>
      <c r="Y645" s="71">
        <f t="shared" si="29"/>
        <v>0</v>
      </c>
      <c r="Z645" s="73">
        <f t="shared" si="30"/>
        <v>0</v>
      </c>
      <c r="AA645" s="11" t="str">
        <f t="shared" si="31"/>
        <v/>
      </c>
      <c r="AB645" s="73">
        <f t="shared" si="32"/>
        <v>-2</v>
      </c>
      <c r="AC645" s="11" t="str">
        <f t="shared" si="33"/>
        <v/>
      </c>
      <c r="AD645" s="73">
        <f t="shared" si="34"/>
        <v>0</v>
      </c>
      <c r="AE645" s="11" t="str">
        <f t="shared" si="35"/>
        <v/>
      </c>
      <c r="AF645" s="73">
        <f t="shared" si="36"/>
        <v>-1.999355</v>
      </c>
      <c r="AG645" s="11" t="str">
        <f t="shared" si="37"/>
        <v/>
      </c>
      <c r="AH645" s="73">
        <f t="shared" si="38"/>
        <v>6.4499999999999996E-4</v>
      </c>
    </row>
    <row r="646" spans="1:34" ht="14.25" customHeight="1">
      <c r="A646" s="11">
        <v>631</v>
      </c>
      <c r="B646" s="66" t="s">
        <v>35</v>
      </c>
      <c r="C646" s="67">
        <v>44531</v>
      </c>
      <c r="D646" s="67">
        <v>44315</v>
      </c>
      <c r="E646" s="67"/>
      <c r="F646" s="67"/>
      <c r="G646" s="67"/>
      <c r="H646" s="67"/>
      <c r="I646" s="6" t="s">
        <v>1241</v>
      </c>
      <c r="J646" s="9">
        <v>3608700811</v>
      </c>
      <c r="K646" s="68">
        <v>44286</v>
      </c>
      <c r="L646" s="68">
        <v>46022</v>
      </c>
      <c r="M646" s="68">
        <v>46203</v>
      </c>
      <c r="N646" s="69">
        <f t="shared" si="26"/>
        <v>-11</v>
      </c>
      <c r="O646" s="69">
        <f t="shared" si="27"/>
        <v>2</v>
      </c>
      <c r="P646" s="70">
        <v>15</v>
      </c>
      <c r="Q646" s="70">
        <v>2</v>
      </c>
      <c r="R646" s="70">
        <v>4</v>
      </c>
      <c r="S646" s="68" t="str">
        <f t="shared" si="28"/>
        <v/>
      </c>
      <c r="T646" s="68"/>
      <c r="U646" s="68"/>
      <c r="V646" s="68"/>
      <c r="W646" s="9"/>
      <c r="X646" s="10"/>
      <c r="Y646" s="71">
        <f t="shared" si="29"/>
        <v>2</v>
      </c>
      <c r="Z646" s="73">
        <f t="shared" si="30"/>
        <v>4</v>
      </c>
      <c r="AA646" s="73">
        <f t="shared" si="31"/>
        <v>-11</v>
      </c>
      <c r="AB646" s="11" t="str">
        <f t="shared" si="32"/>
        <v/>
      </c>
      <c r="AC646" s="73">
        <f t="shared" si="33"/>
        <v>2</v>
      </c>
      <c r="AD646" s="11" t="str">
        <f t="shared" si="34"/>
        <v/>
      </c>
      <c r="AE646" s="73">
        <f t="shared" si="35"/>
        <v>-10.999354</v>
      </c>
      <c r="AF646" s="11" t="str">
        <f t="shared" si="36"/>
        <v/>
      </c>
      <c r="AG646" s="73">
        <f t="shared" si="37"/>
        <v>2.0006460000000001</v>
      </c>
      <c r="AH646" s="11" t="str">
        <f t="shared" si="38"/>
        <v/>
      </c>
    </row>
    <row r="647" spans="1:34" ht="14.25" customHeight="1">
      <c r="A647" s="11">
        <v>632</v>
      </c>
      <c r="B647" s="66"/>
      <c r="C647" s="67"/>
      <c r="D647" s="67"/>
      <c r="E647" s="67"/>
      <c r="F647" s="67"/>
      <c r="G647" s="67" t="s">
        <v>24</v>
      </c>
      <c r="H647" s="67">
        <v>42438</v>
      </c>
      <c r="I647" s="6" t="s">
        <v>1242</v>
      </c>
      <c r="J647" s="9">
        <v>3608800138</v>
      </c>
      <c r="K647" s="68">
        <v>42429</v>
      </c>
      <c r="L647" s="68" t="s">
        <v>230</v>
      </c>
      <c r="M647" s="68">
        <v>44926</v>
      </c>
      <c r="N647" s="69">
        <f t="shared" si="26"/>
        <v>0</v>
      </c>
      <c r="O647" s="69" t="str">
        <f t="shared" si="27"/>
        <v>N/A</v>
      </c>
      <c r="P647" s="70">
        <v>0</v>
      </c>
      <c r="Q647" s="70"/>
      <c r="R647" s="70">
        <v>0</v>
      </c>
      <c r="S647" s="68">
        <f t="shared" si="28"/>
        <v>44926</v>
      </c>
      <c r="T647" s="68">
        <v>44926</v>
      </c>
      <c r="U647" s="68"/>
      <c r="V647" s="68"/>
      <c r="W647" s="9"/>
      <c r="X647" s="10"/>
      <c r="Y647" s="65" t="str">
        <f t="shared" si="29"/>
        <v/>
      </c>
      <c r="Z647" s="11" t="str">
        <f t="shared" si="30"/>
        <v/>
      </c>
      <c r="AA647" s="11" t="str">
        <f t="shared" si="31"/>
        <v/>
      </c>
      <c r="AB647" s="73">
        <f t="shared" si="32"/>
        <v>0</v>
      </c>
      <c r="AC647" s="11" t="str">
        <f t="shared" si="33"/>
        <v/>
      </c>
      <c r="AD647" s="11" t="str">
        <f t="shared" si="34"/>
        <v/>
      </c>
      <c r="AE647" s="11" t="str">
        <f t="shared" si="35"/>
        <v/>
      </c>
      <c r="AF647" s="73">
        <f t="shared" si="36"/>
        <v>6.4700000000000001E-4</v>
      </c>
      <c r="AG647" s="11" t="str">
        <f t="shared" si="37"/>
        <v/>
      </c>
      <c r="AH647" s="11" t="str">
        <f t="shared" si="38"/>
        <v/>
      </c>
    </row>
    <row r="648" spans="1:34" ht="14.25" customHeight="1">
      <c r="A648" s="11">
        <v>633</v>
      </c>
      <c r="B648" s="66"/>
      <c r="C648" s="67"/>
      <c r="D648" s="67"/>
      <c r="E648" s="67"/>
      <c r="F648" s="67"/>
      <c r="G648" s="67" t="s">
        <v>35</v>
      </c>
      <c r="H648" s="67">
        <v>45156</v>
      </c>
      <c r="I648" s="6" t="s">
        <v>1243</v>
      </c>
      <c r="J648" s="9">
        <v>3618700890</v>
      </c>
      <c r="K648" s="68">
        <v>45138</v>
      </c>
      <c r="L648" s="68">
        <v>46022</v>
      </c>
      <c r="M648" s="68">
        <v>46203</v>
      </c>
      <c r="N648" s="69">
        <f t="shared" si="26"/>
        <v>2</v>
      </c>
      <c r="O648" s="69">
        <f t="shared" si="27"/>
        <v>0</v>
      </c>
      <c r="P648" s="70">
        <v>3</v>
      </c>
      <c r="Q648" s="70">
        <v>5</v>
      </c>
      <c r="R648" s="70">
        <v>5</v>
      </c>
      <c r="S648" s="68" t="str">
        <f t="shared" si="28"/>
        <v/>
      </c>
      <c r="T648" s="68"/>
      <c r="U648" s="68"/>
      <c r="V648" s="68"/>
      <c r="W648" s="9"/>
      <c r="X648" s="10"/>
      <c r="Y648" s="71">
        <f t="shared" si="29"/>
        <v>5</v>
      </c>
      <c r="Z648" s="73">
        <f t="shared" si="30"/>
        <v>5</v>
      </c>
      <c r="AA648" s="11" t="str">
        <f t="shared" si="31"/>
        <v/>
      </c>
      <c r="AB648" s="73">
        <f t="shared" si="32"/>
        <v>2</v>
      </c>
      <c r="AC648" s="11" t="str">
        <f t="shared" si="33"/>
        <v/>
      </c>
      <c r="AD648" s="73">
        <f t="shared" si="34"/>
        <v>0</v>
      </c>
      <c r="AE648" s="11" t="str">
        <f t="shared" si="35"/>
        <v/>
      </c>
      <c r="AF648" s="73">
        <f t="shared" si="36"/>
        <v>2.000648</v>
      </c>
      <c r="AG648" s="11" t="str">
        <f t="shared" si="37"/>
        <v/>
      </c>
      <c r="AH648" s="73">
        <f t="shared" si="38"/>
        <v>6.4800000000000003E-4</v>
      </c>
    </row>
    <row r="649" spans="1:34" ht="14.25" customHeight="1">
      <c r="A649" s="11">
        <v>634</v>
      </c>
      <c r="B649" s="66" t="s">
        <v>35</v>
      </c>
      <c r="C649" s="67"/>
      <c r="D649" s="67">
        <v>43795</v>
      </c>
      <c r="E649" s="67"/>
      <c r="F649" s="67"/>
      <c r="G649" s="67"/>
      <c r="H649" s="67"/>
      <c r="I649" s="6" t="s">
        <v>1244</v>
      </c>
      <c r="J649" s="9">
        <v>3628101172</v>
      </c>
      <c r="K649" s="68">
        <v>43769</v>
      </c>
      <c r="L649" s="68">
        <v>46022</v>
      </c>
      <c r="M649" s="68">
        <v>46203</v>
      </c>
      <c r="N649" s="69">
        <f t="shared" si="26"/>
        <v>-6</v>
      </c>
      <c r="O649" s="69">
        <f t="shared" si="27"/>
        <v>-11</v>
      </c>
      <c r="P649" s="70">
        <v>7</v>
      </c>
      <c r="Q649" s="70">
        <v>12</v>
      </c>
      <c r="R649" s="70">
        <v>1</v>
      </c>
      <c r="S649" s="68" t="str">
        <f t="shared" si="28"/>
        <v/>
      </c>
      <c r="T649" s="68"/>
      <c r="U649" s="68"/>
      <c r="V649" s="68"/>
      <c r="W649" s="9"/>
      <c r="X649" s="10"/>
      <c r="Y649" s="71">
        <f t="shared" si="29"/>
        <v>12</v>
      </c>
      <c r="Z649" s="73">
        <f t="shared" si="30"/>
        <v>1</v>
      </c>
      <c r="AA649" s="73">
        <f t="shared" si="31"/>
        <v>-6</v>
      </c>
      <c r="AB649" s="11" t="str">
        <f t="shared" si="32"/>
        <v/>
      </c>
      <c r="AC649" s="73">
        <f t="shared" si="33"/>
        <v>-11</v>
      </c>
      <c r="AD649" s="11" t="str">
        <f t="shared" si="34"/>
        <v/>
      </c>
      <c r="AE649" s="73">
        <f t="shared" si="35"/>
        <v>-5.9993509999999999</v>
      </c>
      <c r="AF649" s="11" t="str">
        <f t="shared" si="36"/>
        <v/>
      </c>
      <c r="AG649" s="73">
        <f t="shared" si="37"/>
        <v>-10.999351000000001</v>
      </c>
      <c r="AH649" s="11" t="str">
        <f t="shared" si="38"/>
        <v/>
      </c>
    </row>
    <row r="650" spans="1:34" ht="14.25" customHeight="1">
      <c r="A650" s="11">
        <v>635</v>
      </c>
      <c r="B650" s="66"/>
      <c r="C650" s="67"/>
      <c r="D650" s="67"/>
      <c r="E650" s="67"/>
      <c r="F650" s="67"/>
      <c r="G650" s="67" t="s">
        <v>24</v>
      </c>
      <c r="H650" s="67">
        <v>43132</v>
      </c>
      <c r="I650" s="6" t="s">
        <v>1245</v>
      </c>
      <c r="J650" s="9">
        <v>3628800376</v>
      </c>
      <c r="K650" s="68">
        <v>43131</v>
      </c>
      <c r="L650" s="68" t="s">
        <v>230</v>
      </c>
      <c r="M650" s="68">
        <v>44074</v>
      </c>
      <c r="N650" s="69">
        <f t="shared" si="26"/>
        <v>-2</v>
      </c>
      <c r="O650" s="69" t="str">
        <f t="shared" si="27"/>
        <v>N/A</v>
      </c>
      <c r="P650" s="70">
        <v>2</v>
      </c>
      <c r="Q650" s="70"/>
      <c r="R650" s="70">
        <v>0</v>
      </c>
      <c r="S650" s="68">
        <f t="shared" si="28"/>
        <v>44074</v>
      </c>
      <c r="T650" s="68">
        <v>44074</v>
      </c>
      <c r="U650" s="68"/>
      <c r="V650" s="68"/>
      <c r="W650" s="9"/>
      <c r="X650" s="10"/>
      <c r="Y650" s="65" t="str">
        <f t="shared" si="29"/>
        <v/>
      </c>
      <c r="Z650" s="11" t="str">
        <f t="shared" si="30"/>
        <v/>
      </c>
      <c r="AA650" s="11" t="str">
        <f t="shared" si="31"/>
        <v/>
      </c>
      <c r="AB650" s="73">
        <f t="shared" si="32"/>
        <v>-2</v>
      </c>
      <c r="AC650" s="11" t="str">
        <f t="shared" si="33"/>
        <v/>
      </c>
      <c r="AD650" s="11" t="str">
        <f t="shared" si="34"/>
        <v/>
      </c>
      <c r="AE650" s="11" t="str">
        <f t="shared" si="35"/>
        <v/>
      </c>
      <c r="AF650" s="73">
        <f t="shared" si="36"/>
        <v>-1.99935</v>
      </c>
      <c r="AG650" s="11" t="str">
        <f t="shared" si="37"/>
        <v/>
      </c>
      <c r="AH650" s="11" t="str">
        <f t="shared" si="38"/>
        <v/>
      </c>
    </row>
    <row r="651" spans="1:34" ht="14.25" customHeight="1">
      <c r="A651" s="11">
        <v>636</v>
      </c>
      <c r="B651" s="66"/>
      <c r="C651" s="67"/>
      <c r="D651" s="67"/>
      <c r="E651" s="67"/>
      <c r="F651" s="67"/>
      <c r="G651" s="67" t="s">
        <v>35</v>
      </c>
      <c r="H651" s="67">
        <v>45273</v>
      </c>
      <c r="I651" s="6" t="s">
        <v>1246</v>
      </c>
      <c r="J651" s="9">
        <v>3638101044</v>
      </c>
      <c r="K651" s="68">
        <v>45260</v>
      </c>
      <c r="L651" s="68">
        <v>46022</v>
      </c>
      <c r="M651" s="68">
        <v>46203</v>
      </c>
      <c r="N651" s="69">
        <f t="shared" si="26"/>
        <v>-30</v>
      </c>
      <c r="O651" s="69">
        <f t="shared" si="27"/>
        <v>1</v>
      </c>
      <c r="P651" s="70">
        <v>37</v>
      </c>
      <c r="Q651" s="70">
        <v>6</v>
      </c>
      <c r="R651" s="70">
        <v>7</v>
      </c>
      <c r="S651" s="68" t="str">
        <f t="shared" si="28"/>
        <v/>
      </c>
      <c r="T651" s="68"/>
      <c r="U651" s="68"/>
      <c r="V651" s="68"/>
      <c r="W651" s="9"/>
      <c r="X651" s="10"/>
      <c r="Y651" s="71">
        <f t="shared" si="29"/>
        <v>6</v>
      </c>
      <c r="Z651" s="73">
        <f t="shared" si="30"/>
        <v>7</v>
      </c>
      <c r="AA651" s="11" t="str">
        <f t="shared" si="31"/>
        <v/>
      </c>
      <c r="AB651" s="73">
        <f t="shared" si="32"/>
        <v>-30</v>
      </c>
      <c r="AC651" s="11" t="str">
        <f t="shared" si="33"/>
        <v/>
      </c>
      <c r="AD651" s="73">
        <f t="shared" si="34"/>
        <v>1</v>
      </c>
      <c r="AE651" s="11" t="str">
        <f t="shared" si="35"/>
        <v/>
      </c>
      <c r="AF651" s="73">
        <f t="shared" si="36"/>
        <v>-29.999348999999999</v>
      </c>
      <c r="AG651" s="11" t="str">
        <f t="shared" si="37"/>
        <v/>
      </c>
      <c r="AH651" s="73">
        <f t="shared" si="38"/>
        <v>1.000651</v>
      </c>
    </row>
    <row r="652" spans="1:34" ht="14.25" customHeight="1">
      <c r="A652" s="11">
        <v>637</v>
      </c>
      <c r="B652" s="66" t="s">
        <v>35</v>
      </c>
      <c r="C652" s="67"/>
      <c r="D652" s="67">
        <v>44998</v>
      </c>
      <c r="E652" s="67"/>
      <c r="F652" s="67"/>
      <c r="G652" s="67"/>
      <c r="H652" s="67"/>
      <c r="I652" s="6" t="s">
        <v>1247</v>
      </c>
      <c r="J652" s="9">
        <v>3638801795</v>
      </c>
      <c r="K652" s="68">
        <v>44985</v>
      </c>
      <c r="L652" s="68">
        <v>46022</v>
      </c>
      <c r="M652" s="68">
        <v>46203</v>
      </c>
      <c r="N652" s="69">
        <f t="shared" si="26"/>
        <v>4</v>
      </c>
      <c r="O652" s="69">
        <f t="shared" si="27"/>
        <v>1</v>
      </c>
      <c r="P652" s="70">
        <v>5</v>
      </c>
      <c r="Q652" s="70">
        <v>8</v>
      </c>
      <c r="R652" s="70">
        <v>9</v>
      </c>
      <c r="S652" s="68" t="str">
        <f t="shared" si="28"/>
        <v/>
      </c>
      <c r="T652" s="68"/>
      <c r="U652" s="68"/>
      <c r="V652" s="68"/>
      <c r="W652" s="9"/>
      <c r="X652" s="10"/>
      <c r="Y652" s="71">
        <f t="shared" si="29"/>
        <v>8</v>
      </c>
      <c r="Z652" s="73">
        <f t="shared" si="30"/>
        <v>9</v>
      </c>
      <c r="AA652" s="73">
        <f t="shared" si="31"/>
        <v>4</v>
      </c>
      <c r="AB652" s="11" t="str">
        <f t="shared" si="32"/>
        <v/>
      </c>
      <c r="AC652" s="73">
        <f t="shared" si="33"/>
        <v>1</v>
      </c>
      <c r="AD652" s="11" t="str">
        <f t="shared" si="34"/>
        <v/>
      </c>
      <c r="AE652" s="73">
        <f t="shared" si="35"/>
        <v>4.0006519999999997</v>
      </c>
      <c r="AF652" s="11" t="str">
        <f t="shared" si="36"/>
        <v/>
      </c>
      <c r="AG652" s="73">
        <f t="shared" si="37"/>
        <v>1.0006520000000001</v>
      </c>
      <c r="AH652" s="11" t="str">
        <f t="shared" si="38"/>
        <v/>
      </c>
    </row>
    <row r="653" spans="1:34" ht="14.25" customHeight="1">
      <c r="A653" s="11">
        <v>638</v>
      </c>
      <c r="B653" s="66"/>
      <c r="C653" s="67"/>
      <c r="D653" s="67"/>
      <c r="E653" s="67"/>
      <c r="F653" s="67"/>
      <c r="G653" s="67" t="s">
        <v>35</v>
      </c>
      <c r="H653" s="67">
        <v>44414</v>
      </c>
      <c r="I653" s="6" t="s">
        <v>1248</v>
      </c>
      <c r="J653" s="9">
        <v>3648600096</v>
      </c>
      <c r="K653" s="68">
        <v>44408</v>
      </c>
      <c r="L653" s="68">
        <v>46022</v>
      </c>
      <c r="M653" s="68">
        <v>46203</v>
      </c>
      <c r="N653" s="69">
        <f t="shared" si="26"/>
        <v>30</v>
      </c>
      <c r="O653" s="69">
        <f t="shared" si="27"/>
        <v>-5</v>
      </c>
      <c r="P653" s="70">
        <v>3</v>
      </c>
      <c r="Q653" s="70">
        <v>38</v>
      </c>
      <c r="R653" s="70">
        <v>33</v>
      </c>
      <c r="S653" s="68" t="str">
        <f t="shared" si="28"/>
        <v/>
      </c>
      <c r="T653" s="68"/>
      <c r="U653" s="68"/>
      <c r="V653" s="68"/>
      <c r="W653" s="9"/>
      <c r="X653" s="10"/>
      <c r="Y653" s="71">
        <f t="shared" si="29"/>
        <v>38</v>
      </c>
      <c r="Z653" s="73">
        <f t="shared" si="30"/>
        <v>33</v>
      </c>
      <c r="AA653" s="11" t="str">
        <f t="shared" si="31"/>
        <v/>
      </c>
      <c r="AB653" s="73">
        <f t="shared" si="32"/>
        <v>30</v>
      </c>
      <c r="AC653" s="11" t="str">
        <f t="shared" si="33"/>
        <v/>
      </c>
      <c r="AD653" s="73">
        <f t="shared" si="34"/>
        <v>-5</v>
      </c>
      <c r="AE653" s="11" t="str">
        <f t="shared" si="35"/>
        <v/>
      </c>
      <c r="AF653" s="73">
        <f t="shared" si="36"/>
        <v>30.000653</v>
      </c>
      <c r="AG653" s="11" t="str">
        <f t="shared" si="37"/>
        <v/>
      </c>
      <c r="AH653" s="73">
        <f t="shared" si="38"/>
        <v>-4.9993470000000002</v>
      </c>
    </row>
    <row r="654" spans="1:34" ht="14.25" customHeight="1">
      <c r="A654" s="11">
        <v>639</v>
      </c>
      <c r="B654" s="66" t="s">
        <v>35</v>
      </c>
      <c r="C654" s="67"/>
      <c r="D654" s="67"/>
      <c r="E654" s="67"/>
      <c r="F654" s="67">
        <v>46184</v>
      </c>
      <c r="G654" s="67"/>
      <c r="H654" s="67"/>
      <c r="I654" s="6" t="s">
        <v>1249</v>
      </c>
      <c r="J654" s="37">
        <v>3648701374</v>
      </c>
      <c r="K654" s="68">
        <v>46173</v>
      </c>
      <c r="L654" s="68" t="s">
        <v>230</v>
      </c>
      <c r="M654" s="68">
        <v>46203</v>
      </c>
      <c r="N654" s="69">
        <f t="shared" si="26"/>
        <v>-1</v>
      </c>
      <c r="O654" s="69">
        <f t="shared" si="27"/>
        <v>-1</v>
      </c>
      <c r="P654" s="70">
        <v>30</v>
      </c>
      <c r="Q654" s="70"/>
      <c r="R654" s="70">
        <v>29</v>
      </c>
      <c r="S654" s="68" t="str">
        <f t="shared" si="28"/>
        <v/>
      </c>
      <c r="T654" s="68"/>
      <c r="U654" s="95"/>
      <c r="V654" s="68"/>
      <c r="W654" s="6"/>
      <c r="X654" s="93"/>
      <c r="Y654" s="71">
        <f t="shared" si="29"/>
        <v>30</v>
      </c>
      <c r="Z654" s="73">
        <f t="shared" si="30"/>
        <v>29</v>
      </c>
      <c r="AA654" s="73">
        <f t="shared" si="31"/>
        <v>-1</v>
      </c>
      <c r="AB654" s="11" t="str">
        <f t="shared" si="32"/>
        <v/>
      </c>
      <c r="AC654" s="73">
        <f t="shared" si="33"/>
        <v>-1</v>
      </c>
      <c r="AD654" s="11" t="str">
        <f t="shared" si="34"/>
        <v/>
      </c>
      <c r="AE654" s="73">
        <f t="shared" si="35"/>
        <v>-0.99934599999999996</v>
      </c>
      <c r="AF654" s="11" t="str">
        <f t="shared" si="36"/>
        <v/>
      </c>
      <c r="AG654" s="73">
        <f t="shared" si="37"/>
        <v>-0.99934599999999996</v>
      </c>
      <c r="AH654" s="11" t="str">
        <f t="shared" si="38"/>
        <v/>
      </c>
    </row>
    <row r="655" spans="1:34" ht="14.25" customHeight="1">
      <c r="A655" s="11">
        <v>640</v>
      </c>
      <c r="B655" s="66"/>
      <c r="C655" s="67"/>
      <c r="D655" s="67"/>
      <c r="E655" s="67"/>
      <c r="F655" s="67"/>
      <c r="G655" s="67" t="s">
        <v>35</v>
      </c>
      <c r="H655" s="67">
        <v>45380</v>
      </c>
      <c r="I655" s="6" t="s">
        <v>1250</v>
      </c>
      <c r="J655" s="9">
        <v>3648702674</v>
      </c>
      <c r="K655" s="68">
        <v>45351</v>
      </c>
      <c r="L655" s="68">
        <v>46022</v>
      </c>
      <c r="M655" s="68">
        <v>46203</v>
      </c>
      <c r="N655" s="69">
        <f t="shared" si="26"/>
        <v>1</v>
      </c>
      <c r="O655" s="69">
        <f t="shared" si="27"/>
        <v>-1</v>
      </c>
      <c r="P655" s="70">
        <v>5</v>
      </c>
      <c r="Q655" s="70">
        <v>7</v>
      </c>
      <c r="R655" s="70">
        <v>6</v>
      </c>
      <c r="S655" s="68" t="str">
        <f t="shared" si="28"/>
        <v/>
      </c>
      <c r="T655" s="68"/>
      <c r="U655" s="68"/>
      <c r="V655" s="68"/>
      <c r="W655" s="9"/>
      <c r="X655" s="10"/>
      <c r="Y655" s="71">
        <f t="shared" si="29"/>
        <v>7</v>
      </c>
      <c r="Z655" s="73">
        <f t="shared" si="30"/>
        <v>6</v>
      </c>
      <c r="AA655" s="11" t="str">
        <f t="shared" si="31"/>
        <v/>
      </c>
      <c r="AB655" s="73">
        <f t="shared" si="32"/>
        <v>1</v>
      </c>
      <c r="AC655" s="11" t="str">
        <f t="shared" si="33"/>
        <v/>
      </c>
      <c r="AD655" s="73">
        <f t="shared" si="34"/>
        <v>-1</v>
      </c>
      <c r="AE655" s="11" t="str">
        <f t="shared" si="35"/>
        <v/>
      </c>
      <c r="AF655" s="73">
        <f t="shared" si="36"/>
        <v>1.0006550000000001</v>
      </c>
      <c r="AG655" s="11" t="str">
        <f t="shared" si="37"/>
        <v/>
      </c>
      <c r="AH655" s="73">
        <f t="shared" si="38"/>
        <v>-0.99934500000000004</v>
      </c>
    </row>
    <row r="656" spans="1:34" ht="14.25" customHeight="1">
      <c r="A656" s="11">
        <v>641</v>
      </c>
      <c r="B656" s="66"/>
      <c r="C656" s="67"/>
      <c r="D656" s="67"/>
      <c r="E656" s="67"/>
      <c r="F656" s="67"/>
      <c r="G656" s="67" t="s">
        <v>35</v>
      </c>
      <c r="H656" s="67">
        <v>45140</v>
      </c>
      <c r="I656" s="6" t="s">
        <v>1251</v>
      </c>
      <c r="J656" s="9">
        <v>3658802179</v>
      </c>
      <c r="K656" s="68">
        <v>45138</v>
      </c>
      <c r="L656" s="68">
        <v>46022</v>
      </c>
      <c r="M656" s="68">
        <v>46203</v>
      </c>
      <c r="N656" s="69">
        <f t="shared" si="26"/>
        <v>18</v>
      </c>
      <c r="O656" s="69">
        <f t="shared" si="27"/>
        <v>4</v>
      </c>
      <c r="P656" s="70">
        <v>8</v>
      </c>
      <c r="Q656" s="70">
        <v>22</v>
      </c>
      <c r="R656" s="70">
        <v>26</v>
      </c>
      <c r="S656" s="68" t="str">
        <f t="shared" si="28"/>
        <v/>
      </c>
      <c r="T656" s="68"/>
      <c r="U656" s="68"/>
      <c r="V656" s="68"/>
      <c r="W656" s="9"/>
      <c r="X656" s="10"/>
      <c r="Y656" s="71">
        <f t="shared" si="29"/>
        <v>22</v>
      </c>
      <c r="Z656" s="73">
        <f t="shared" si="30"/>
        <v>26</v>
      </c>
      <c r="AA656" s="11" t="str">
        <f t="shared" si="31"/>
        <v/>
      </c>
      <c r="AB656" s="73">
        <f t="shared" si="32"/>
        <v>18</v>
      </c>
      <c r="AC656" s="11" t="str">
        <f t="shared" si="33"/>
        <v/>
      </c>
      <c r="AD656" s="73">
        <f t="shared" si="34"/>
        <v>4</v>
      </c>
      <c r="AE656" s="11" t="str">
        <f t="shared" si="35"/>
        <v/>
      </c>
      <c r="AF656" s="73">
        <f t="shared" si="36"/>
        <v>18.000655999999999</v>
      </c>
      <c r="AG656" s="11" t="str">
        <f t="shared" si="37"/>
        <v/>
      </c>
      <c r="AH656" s="73">
        <f t="shared" si="38"/>
        <v>4.0006560000000002</v>
      </c>
    </row>
    <row r="657" spans="1:34" ht="14.25" customHeight="1">
      <c r="A657" s="11">
        <v>642</v>
      </c>
      <c r="B657" s="66" t="s">
        <v>35</v>
      </c>
      <c r="C657" s="67"/>
      <c r="D657" s="67"/>
      <c r="E657" s="67">
        <v>46023</v>
      </c>
      <c r="F657" s="67"/>
      <c r="G657" s="67" t="s">
        <v>35</v>
      </c>
      <c r="H657" s="67">
        <v>45870</v>
      </c>
      <c r="I657" s="6" t="s">
        <v>1252</v>
      </c>
      <c r="J657" s="94">
        <v>3678102273</v>
      </c>
      <c r="K657" s="68">
        <v>45869</v>
      </c>
      <c r="L657" s="68">
        <v>46022</v>
      </c>
      <c r="M657" s="68">
        <v>46203</v>
      </c>
      <c r="N657" s="69">
        <f t="shared" si="26"/>
        <v>15</v>
      </c>
      <c r="O657" s="69">
        <f t="shared" si="27"/>
        <v>10</v>
      </c>
      <c r="P657" s="70">
        <v>17</v>
      </c>
      <c r="Q657" s="70">
        <v>22</v>
      </c>
      <c r="R657" s="70">
        <v>32</v>
      </c>
      <c r="S657" s="68" t="str">
        <f t="shared" si="28"/>
        <v/>
      </c>
      <c r="T657" s="68"/>
      <c r="U657" s="95"/>
      <c r="V657" s="68"/>
      <c r="W657" s="6"/>
      <c r="X657" s="10"/>
      <c r="Y657" s="71">
        <f t="shared" si="29"/>
        <v>22</v>
      </c>
      <c r="Z657" s="73">
        <f t="shared" si="30"/>
        <v>32</v>
      </c>
      <c r="AA657" s="73">
        <f t="shared" si="31"/>
        <v>15</v>
      </c>
      <c r="AB657" s="73">
        <f t="shared" si="32"/>
        <v>15</v>
      </c>
      <c r="AC657" s="73">
        <f t="shared" si="33"/>
        <v>10</v>
      </c>
      <c r="AD657" s="73">
        <f t="shared" si="34"/>
        <v>10</v>
      </c>
      <c r="AE657" s="73">
        <f t="shared" si="35"/>
        <v>15.000657</v>
      </c>
      <c r="AF657" s="73">
        <f t="shared" si="36"/>
        <v>15.000657</v>
      </c>
      <c r="AG657" s="73">
        <f t="shared" si="37"/>
        <v>10.000657</v>
      </c>
      <c r="AH657" s="73">
        <f t="shared" si="38"/>
        <v>10.000657</v>
      </c>
    </row>
    <row r="658" spans="1:34" ht="14.25" customHeight="1">
      <c r="A658" s="11">
        <v>643</v>
      </c>
      <c r="B658" s="66"/>
      <c r="C658" s="67"/>
      <c r="D658" s="67"/>
      <c r="E658" s="67"/>
      <c r="F658" s="67"/>
      <c r="G658" s="67" t="s">
        <v>35</v>
      </c>
      <c r="H658" s="67">
        <v>45688</v>
      </c>
      <c r="I658" s="6" t="s">
        <v>1253</v>
      </c>
      <c r="J658" s="9">
        <v>3678103364</v>
      </c>
      <c r="K658" s="68">
        <v>45657</v>
      </c>
      <c r="L658" s="68">
        <v>46022</v>
      </c>
      <c r="M658" s="68">
        <v>46203</v>
      </c>
      <c r="N658" s="69">
        <f t="shared" si="26"/>
        <v>0</v>
      </c>
      <c r="O658" s="69">
        <f t="shared" si="27"/>
        <v>0</v>
      </c>
      <c r="P658" s="70">
        <v>0</v>
      </c>
      <c r="Q658" s="70">
        <v>0</v>
      </c>
      <c r="R658" s="70">
        <v>0</v>
      </c>
      <c r="S658" s="68" t="str">
        <f t="shared" si="28"/>
        <v/>
      </c>
      <c r="T658" s="68"/>
      <c r="U658" s="68"/>
      <c r="V658" s="68"/>
      <c r="W658" s="9"/>
      <c r="X658" s="10"/>
      <c r="Y658" s="71">
        <f t="shared" si="29"/>
        <v>0</v>
      </c>
      <c r="Z658" s="73">
        <f t="shared" si="30"/>
        <v>0</v>
      </c>
      <c r="AA658" s="11" t="str">
        <f t="shared" si="31"/>
        <v/>
      </c>
      <c r="AB658" s="73">
        <f t="shared" si="32"/>
        <v>0</v>
      </c>
      <c r="AC658" s="11" t="str">
        <f t="shared" si="33"/>
        <v/>
      </c>
      <c r="AD658" s="73">
        <f t="shared" si="34"/>
        <v>0</v>
      </c>
      <c r="AE658" s="11" t="str">
        <f t="shared" si="35"/>
        <v/>
      </c>
      <c r="AF658" s="73">
        <f t="shared" si="36"/>
        <v>6.5799999999999995E-4</v>
      </c>
      <c r="AG658" s="11" t="str">
        <f t="shared" si="37"/>
        <v/>
      </c>
      <c r="AH658" s="73">
        <f t="shared" si="38"/>
        <v>6.5799999999999995E-4</v>
      </c>
    </row>
    <row r="659" spans="1:34" ht="14.25" customHeight="1">
      <c r="A659" s="11">
        <v>644</v>
      </c>
      <c r="B659" s="66" t="s">
        <v>24</v>
      </c>
      <c r="C659" s="67">
        <v>42887</v>
      </c>
      <c r="D659" s="67">
        <v>42916</v>
      </c>
      <c r="E659" s="67"/>
      <c r="F659" s="67"/>
      <c r="G659" s="67" t="s">
        <v>24</v>
      </c>
      <c r="H659" s="67">
        <v>42937</v>
      </c>
      <c r="I659" s="6" t="s">
        <v>1254</v>
      </c>
      <c r="J659" s="9">
        <v>3678600659</v>
      </c>
      <c r="K659" s="68">
        <v>42886</v>
      </c>
      <c r="L659" s="68" t="s">
        <v>230</v>
      </c>
      <c r="M659" s="68">
        <v>43220</v>
      </c>
      <c r="N659" s="69">
        <f t="shared" si="26"/>
        <v>0</v>
      </c>
      <c r="O659" s="69" t="str">
        <f t="shared" si="27"/>
        <v>N/A</v>
      </c>
      <c r="P659" s="70">
        <v>0</v>
      </c>
      <c r="Q659" s="70"/>
      <c r="R659" s="70">
        <v>0</v>
      </c>
      <c r="S659" s="68">
        <f t="shared" si="28"/>
        <v>43215</v>
      </c>
      <c r="T659" s="68">
        <v>43215</v>
      </c>
      <c r="U659" s="68">
        <v>43465</v>
      </c>
      <c r="V659" s="92">
        <v>45560</v>
      </c>
      <c r="W659" s="9"/>
      <c r="X659" s="10"/>
      <c r="Y659" s="65" t="str">
        <f t="shared" si="29"/>
        <v/>
      </c>
      <c r="Z659" s="11" t="str">
        <f t="shared" si="30"/>
        <v/>
      </c>
      <c r="AA659" s="73">
        <f t="shared" si="31"/>
        <v>0</v>
      </c>
      <c r="AB659" s="73">
        <f t="shared" si="32"/>
        <v>0</v>
      </c>
      <c r="AC659" s="11" t="str">
        <f t="shared" si="33"/>
        <v/>
      </c>
      <c r="AD659" s="11" t="str">
        <f t="shared" si="34"/>
        <v/>
      </c>
      <c r="AE659" s="73">
        <f t="shared" si="35"/>
        <v>6.5899999999999997E-4</v>
      </c>
      <c r="AF659" s="73">
        <f t="shared" si="36"/>
        <v>6.5899999999999997E-4</v>
      </c>
      <c r="AG659" s="11" t="str">
        <f t="shared" si="37"/>
        <v/>
      </c>
      <c r="AH659" s="11" t="str">
        <f t="shared" si="38"/>
        <v/>
      </c>
    </row>
    <row r="660" spans="1:34" ht="14.25" customHeight="1">
      <c r="A660" s="11">
        <v>645</v>
      </c>
      <c r="B660" s="66"/>
      <c r="C660" s="67"/>
      <c r="D660" s="67"/>
      <c r="E660" s="67"/>
      <c r="F660" s="67"/>
      <c r="G660" s="67" t="s">
        <v>35</v>
      </c>
      <c r="H660" s="67">
        <v>45611</v>
      </c>
      <c r="I660" s="6" t="s">
        <v>1255</v>
      </c>
      <c r="J660" s="9">
        <v>3678803271</v>
      </c>
      <c r="K660" s="68">
        <v>45596</v>
      </c>
      <c r="L660" s="68">
        <v>46022</v>
      </c>
      <c r="M660" s="68">
        <v>46203</v>
      </c>
      <c r="N660" s="69">
        <f t="shared" si="26"/>
        <v>4</v>
      </c>
      <c r="O660" s="69">
        <f t="shared" si="27"/>
        <v>2</v>
      </c>
      <c r="P660" s="70">
        <v>2</v>
      </c>
      <c r="Q660" s="70">
        <v>4</v>
      </c>
      <c r="R660" s="70">
        <v>6</v>
      </c>
      <c r="S660" s="68" t="str">
        <f t="shared" si="28"/>
        <v/>
      </c>
      <c r="T660" s="68"/>
      <c r="U660" s="68"/>
      <c r="V660" s="68"/>
      <c r="W660" s="9"/>
      <c r="X660" s="10"/>
      <c r="Y660" s="71">
        <f t="shared" si="29"/>
        <v>4</v>
      </c>
      <c r="Z660" s="73">
        <f t="shared" si="30"/>
        <v>6</v>
      </c>
      <c r="AA660" s="11" t="str">
        <f t="shared" si="31"/>
        <v/>
      </c>
      <c r="AB660" s="73">
        <f t="shared" si="32"/>
        <v>4</v>
      </c>
      <c r="AC660" s="11" t="str">
        <f t="shared" si="33"/>
        <v/>
      </c>
      <c r="AD660" s="73">
        <f t="shared" si="34"/>
        <v>2</v>
      </c>
      <c r="AE660" s="11" t="str">
        <f t="shared" si="35"/>
        <v/>
      </c>
      <c r="AF660" s="73">
        <f t="shared" si="36"/>
        <v>4.0006599999999999</v>
      </c>
      <c r="AG660" s="11" t="str">
        <f t="shared" si="37"/>
        <v/>
      </c>
      <c r="AH660" s="73">
        <f t="shared" si="38"/>
        <v>2.0006599999999999</v>
      </c>
    </row>
    <row r="661" spans="1:34" ht="14.25" customHeight="1">
      <c r="A661" s="11">
        <v>646</v>
      </c>
      <c r="B661" s="121" t="s">
        <v>681</v>
      </c>
      <c r="C661" s="67"/>
      <c r="D661" s="67">
        <v>44357</v>
      </c>
      <c r="E661" s="67"/>
      <c r="F661" s="67"/>
      <c r="G661" s="67"/>
      <c r="H661" s="67"/>
      <c r="I661" s="6" t="s">
        <v>1256</v>
      </c>
      <c r="J661" s="9">
        <v>3688101544</v>
      </c>
      <c r="K661" s="68">
        <v>44347</v>
      </c>
      <c r="L661" s="68">
        <v>46022</v>
      </c>
      <c r="M661" s="68">
        <v>46203</v>
      </c>
      <c r="N661" s="69">
        <f t="shared" si="26"/>
        <v>123</v>
      </c>
      <c r="O661" s="69">
        <f t="shared" si="27"/>
        <v>12</v>
      </c>
      <c r="P661" s="70">
        <v>12</v>
      </c>
      <c r="Q661" s="70">
        <v>123</v>
      </c>
      <c r="R661" s="70">
        <v>135</v>
      </c>
      <c r="S661" s="68">
        <f t="shared" si="28"/>
        <v>46174</v>
      </c>
      <c r="T661" s="68"/>
      <c r="U661" s="68"/>
      <c r="V661" s="68">
        <v>46174</v>
      </c>
      <c r="W661" s="9"/>
      <c r="X661" s="10"/>
      <c r="Y661" s="71">
        <f t="shared" si="29"/>
        <v>123</v>
      </c>
      <c r="Z661" s="73">
        <f t="shared" si="30"/>
        <v>135</v>
      </c>
      <c r="AA661" s="73">
        <f t="shared" si="31"/>
        <v>123</v>
      </c>
      <c r="AB661" s="11" t="str">
        <f t="shared" si="32"/>
        <v/>
      </c>
      <c r="AC661" s="73">
        <f t="shared" si="33"/>
        <v>12</v>
      </c>
      <c r="AD661" s="11" t="str">
        <f t="shared" si="34"/>
        <v/>
      </c>
      <c r="AE661" s="73">
        <f t="shared" si="35"/>
        <v>123.00066099999999</v>
      </c>
      <c r="AF661" s="11" t="str">
        <f t="shared" si="36"/>
        <v/>
      </c>
      <c r="AG661" s="73">
        <f t="shared" si="37"/>
        <v>12.000660999999999</v>
      </c>
      <c r="AH661" s="11" t="str">
        <f t="shared" si="38"/>
        <v/>
      </c>
    </row>
    <row r="662" spans="1:34" ht="14.25" customHeight="1">
      <c r="A662" s="11">
        <v>647</v>
      </c>
      <c r="B662" s="66" t="s">
        <v>35</v>
      </c>
      <c r="C662" s="67"/>
      <c r="D662" s="67"/>
      <c r="E662" s="67"/>
      <c r="F662" s="67">
        <v>45532</v>
      </c>
      <c r="G662" s="67" t="s">
        <v>35</v>
      </c>
      <c r="H662" s="67">
        <v>45512</v>
      </c>
      <c r="I662" s="6" t="s">
        <v>1257</v>
      </c>
      <c r="J662" s="9">
        <v>3688601011</v>
      </c>
      <c r="K662" s="68">
        <v>45504</v>
      </c>
      <c r="L662" s="68">
        <v>46022</v>
      </c>
      <c r="M662" s="68">
        <v>46203</v>
      </c>
      <c r="N662" s="69">
        <f t="shared" si="26"/>
        <v>13</v>
      </c>
      <c r="O662" s="69">
        <f t="shared" si="27"/>
        <v>-13</v>
      </c>
      <c r="P662" s="70">
        <v>57</v>
      </c>
      <c r="Q662" s="70">
        <v>83</v>
      </c>
      <c r="R662" s="70">
        <v>70</v>
      </c>
      <c r="S662" s="68" t="str">
        <f t="shared" si="28"/>
        <v/>
      </c>
      <c r="T662" s="68"/>
      <c r="U662" s="68"/>
      <c r="V662" s="68"/>
      <c r="W662" s="9"/>
      <c r="X662" s="10"/>
      <c r="Y662" s="71">
        <f t="shared" si="29"/>
        <v>83</v>
      </c>
      <c r="Z662" s="73">
        <f t="shared" si="30"/>
        <v>70</v>
      </c>
      <c r="AA662" s="73">
        <f t="shared" si="31"/>
        <v>13</v>
      </c>
      <c r="AB662" s="73">
        <f t="shared" si="32"/>
        <v>13</v>
      </c>
      <c r="AC662" s="73">
        <f t="shared" si="33"/>
        <v>-13</v>
      </c>
      <c r="AD662" s="73">
        <f t="shared" si="34"/>
        <v>-13</v>
      </c>
      <c r="AE662" s="73">
        <f t="shared" si="35"/>
        <v>13.000662</v>
      </c>
      <c r="AF662" s="73">
        <f t="shared" si="36"/>
        <v>13.000662</v>
      </c>
      <c r="AG662" s="73">
        <f t="shared" si="37"/>
        <v>-12.999338</v>
      </c>
      <c r="AH662" s="73">
        <f t="shared" si="38"/>
        <v>-12.999338</v>
      </c>
    </row>
    <row r="663" spans="1:34" ht="14.25" customHeight="1">
      <c r="A663" s="11">
        <v>648</v>
      </c>
      <c r="B663" s="66"/>
      <c r="C663" s="67"/>
      <c r="D663" s="67"/>
      <c r="E663" s="67"/>
      <c r="F663" s="67"/>
      <c r="G663" s="67" t="s">
        <v>35</v>
      </c>
      <c r="H663" s="67">
        <v>43321</v>
      </c>
      <c r="I663" s="6" t="s">
        <v>1258</v>
      </c>
      <c r="J663" s="9">
        <v>3688601253</v>
      </c>
      <c r="K663" s="68">
        <v>43312</v>
      </c>
      <c r="L663" s="68">
        <v>46022</v>
      </c>
      <c r="M663" s="68">
        <v>46203</v>
      </c>
      <c r="N663" s="69">
        <f t="shared" si="26"/>
        <v>17</v>
      </c>
      <c r="O663" s="69">
        <f t="shared" si="27"/>
        <v>-12</v>
      </c>
      <c r="P663" s="70">
        <v>9</v>
      </c>
      <c r="Q663" s="70">
        <v>38</v>
      </c>
      <c r="R663" s="70">
        <v>26</v>
      </c>
      <c r="S663" s="68" t="str">
        <f t="shared" si="28"/>
        <v/>
      </c>
      <c r="T663" s="68"/>
      <c r="U663" s="68"/>
      <c r="V663" s="68"/>
      <c r="W663" s="9"/>
      <c r="X663" s="10"/>
      <c r="Y663" s="71">
        <f t="shared" si="29"/>
        <v>38</v>
      </c>
      <c r="Z663" s="73">
        <f t="shared" si="30"/>
        <v>26</v>
      </c>
      <c r="AA663" s="11" t="str">
        <f t="shared" si="31"/>
        <v/>
      </c>
      <c r="AB663" s="73">
        <f t="shared" si="32"/>
        <v>17</v>
      </c>
      <c r="AC663" s="11" t="str">
        <f t="shared" si="33"/>
        <v/>
      </c>
      <c r="AD663" s="73">
        <f t="shared" si="34"/>
        <v>-12</v>
      </c>
      <c r="AE663" s="11" t="str">
        <f t="shared" si="35"/>
        <v/>
      </c>
      <c r="AF663" s="73">
        <f t="shared" si="36"/>
        <v>17.000662999999999</v>
      </c>
      <c r="AG663" s="11" t="str">
        <f t="shared" si="37"/>
        <v/>
      </c>
      <c r="AH663" s="73">
        <f t="shared" si="38"/>
        <v>-11.999337000000001</v>
      </c>
    </row>
    <row r="664" spans="1:34" ht="14.25" customHeight="1">
      <c r="A664" s="11">
        <v>649</v>
      </c>
      <c r="B664" s="66" t="s">
        <v>35</v>
      </c>
      <c r="C664" s="67">
        <v>42387</v>
      </c>
      <c r="D664" s="67"/>
      <c r="E664" s="67"/>
      <c r="F664" s="67">
        <v>45911</v>
      </c>
      <c r="G664" s="67"/>
      <c r="H664" s="67"/>
      <c r="I664" s="6" t="s">
        <v>1259</v>
      </c>
      <c r="J664" s="9">
        <v>3718100333</v>
      </c>
      <c r="K664" s="68">
        <v>42369</v>
      </c>
      <c r="L664" s="68">
        <v>46022</v>
      </c>
      <c r="M664" s="68">
        <v>46203</v>
      </c>
      <c r="N664" s="69">
        <f t="shared" si="26"/>
        <v>109</v>
      </c>
      <c r="O664" s="69">
        <f t="shared" si="27"/>
        <v>-36</v>
      </c>
      <c r="P664" s="70">
        <v>0</v>
      </c>
      <c r="Q664" s="70">
        <v>145</v>
      </c>
      <c r="R664" s="70">
        <v>109</v>
      </c>
      <c r="S664" s="68" t="str">
        <f t="shared" si="28"/>
        <v/>
      </c>
      <c r="T664" s="68"/>
      <c r="U664" s="68"/>
      <c r="V664" s="68"/>
      <c r="W664" s="9"/>
      <c r="X664" s="10"/>
      <c r="Y664" s="71">
        <f t="shared" si="29"/>
        <v>145</v>
      </c>
      <c r="Z664" s="73">
        <f t="shared" si="30"/>
        <v>109</v>
      </c>
      <c r="AA664" s="73">
        <f t="shared" si="31"/>
        <v>109</v>
      </c>
      <c r="AB664" s="11" t="str">
        <f t="shared" si="32"/>
        <v/>
      </c>
      <c r="AC664" s="73">
        <f t="shared" si="33"/>
        <v>-36</v>
      </c>
      <c r="AD664" s="11" t="str">
        <f t="shared" si="34"/>
        <v/>
      </c>
      <c r="AE664" s="73">
        <f t="shared" si="35"/>
        <v>109.000664</v>
      </c>
      <c r="AF664" s="11" t="str">
        <f t="shared" si="36"/>
        <v/>
      </c>
      <c r="AG664" s="73">
        <f t="shared" si="37"/>
        <v>-35.999336</v>
      </c>
      <c r="AH664" s="11" t="str">
        <f t="shared" si="38"/>
        <v/>
      </c>
    </row>
    <row r="665" spans="1:34" ht="14.25" customHeight="1">
      <c r="A665" s="11">
        <v>650</v>
      </c>
      <c r="B665" s="66"/>
      <c r="C665" s="67"/>
      <c r="D665" s="67"/>
      <c r="E665" s="67"/>
      <c r="F665" s="67"/>
      <c r="G665" s="67" t="s">
        <v>35</v>
      </c>
      <c r="H665" s="67">
        <v>45429</v>
      </c>
      <c r="I665" s="6" t="s">
        <v>1260</v>
      </c>
      <c r="J665" s="9">
        <v>3718101287</v>
      </c>
      <c r="K665" s="68">
        <v>45412</v>
      </c>
      <c r="L665" s="68">
        <v>46022</v>
      </c>
      <c r="M665" s="68">
        <v>46203</v>
      </c>
      <c r="N665" s="69">
        <f t="shared" si="26"/>
        <v>-7</v>
      </c>
      <c r="O665" s="69">
        <f t="shared" si="27"/>
        <v>1</v>
      </c>
      <c r="P665" s="70">
        <v>43</v>
      </c>
      <c r="Q665" s="70">
        <v>35</v>
      </c>
      <c r="R665" s="70">
        <v>36</v>
      </c>
      <c r="S665" s="68" t="str">
        <f t="shared" si="28"/>
        <v/>
      </c>
      <c r="T665" s="68"/>
      <c r="U665" s="68"/>
      <c r="V665" s="68"/>
      <c r="W665" s="9"/>
      <c r="X665" s="10"/>
      <c r="Y665" s="71">
        <f t="shared" si="29"/>
        <v>35</v>
      </c>
      <c r="Z665" s="73">
        <f t="shared" si="30"/>
        <v>36</v>
      </c>
      <c r="AA665" s="11" t="str">
        <f t="shared" si="31"/>
        <v/>
      </c>
      <c r="AB665" s="73">
        <f t="shared" si="32"/>
        <v>-7</v>
      </c>
      <c r="AC665" s="11" t="str">
        <f t="shared" si="33"/>
        <v/>
      </c>
      <c r="AD665" s="73">
        <f t="shared" si="34"/>
        <v>1</v>
      </c>
      <c r="AE665" s="11" t="str">
        <f t="shared" si="35"/>
        <v/>
      </c>
      <c r="AF665" s="73">
        <f t="shared" si="36"/>
        <v>-6.9993350000000003</v>
      </c>
      <c r="AG665" s="11" t="str">
        <f t="shared" si="37"/>
        <v/>
      </c>
      <c r="AH665" s="73">
        <f t="shared" si="38"/>
        <v>1.0006649999999999</v>
      </c>
    </row>
    <row r="666" spans="1:34" ht="14.25" customHeight="1">
      <c r="A666" s="11">
        <v>651</v>
      </c>
      <c r="B666" s="66"/>
      <c r="C666" s="67"/>
      <c r="D666" s="67"/>
      <c r="E666" s="67"/>
      <c r="F666" s="67"/>
      <c r="G666" s="67" t="s">
        <v>283</v>
      </c>
      <c r="H666" s="67">
        <v>44302</v>
      </c>
      <c r="I666" s="6" t="s">
        <v>1261</v>
      </c>
      <c r="J666" s="9">
        <v>3718801006</v>
      </c>
      <c r="K666" s="68">
        <v>44286</v>
      </c>
      <c r="L666" s="68" t="s">
        <v>230</v>
      </c>
      <c r="M666" s="68">
        <v>45747</v>
      </c>
      <c r="N666" s="69">
        <f t="shared" si="26"/>
        <v>0</v>
      </c>
      <c r="O666" s="69" t="str">
        <f t="shared" si="27"/>
        <v>N/A</v>
      </c>
      <c r="P666" s="70">
        <v>4</v>
      </c>
      <c r="Q666" s="70"/>
      <c r="R666" s="70">
        <v>4</v>
      </c>
      <c r="S666" s="68">
        <f t="shared" si="28"/>
        <v>45721</v>
      </c>
      <c r="T666" s="68"/>
      <c r="U666" s="68"/>
      <c r="V666" s="68"/>
      <c r="W666" s="68">
        <v>45721</v>
      </c>
      <c r="X666" s="10"/>
      <c r="Y666" s="65" t="str">
        <f t="shared" si="29"/>
        <v/>
      </c>
      <c r="Z666" s="11" t="str">
        <f t="shared" si="30"/>
        <v/>
      </c>
      <c r="AA666" s="11" t="str">
        <f t="shared" si="31"/>
        <v/>
      </c>
      <c r="AB666" s="73">
        <f t="shared" si="32"/>
        <v>0</v>
      </c>
      <c r="AC666" s="11" t="str">
        <f t="shared" si="33"/>
        <v/>
      </c>
      <c r="AD666" s="11" t="str">
        <f t="shared" si="34"/>
        <v/>
      </c>
      <c r="AE666" s="11" t="str">
        <f t="shared" si="35"/>
        <v/>
      </c>
      <c r="AF666" s="73">
        <f t="shared" si="36"/>
        <v>6.6600000000000003E-4</v>
      </c>
      <c r="AG666" s="11" t="str">
        <f t="shared" si="37"/>
        <v/>
      </c>
      <c r="AH666" s="11" t="str">
        <f t="shared" si="38"/>
        <v/>
      </c>
    </row>
    <row r="667" spans="1:34" ht="14.25" customHeight="1">
      <c r="A667" s="11">
        <v>652</v>
      </c>
      <c r="B667" s="66"/>
      <c r="C667" s="67"/>
      <c r="D667" s="67"/>
      <c r="E667" s="67"/>
      <c r="F667" s="67"/>
      <c r="G667" s="67" t="s">
        <v>35</v>
      </c>
      <c r="H667" s="67">
        <v>45376</v>
      </c>
      <c r="I667" s="6" t="s">
        <v>1262</v>
      </c>
      <c r="J667" s="9">
        <v>3728600480</v>
      </c>
      <c r="K667" s="68">
        <v>45351</v>
      </c>
      <c r="L667" s="68">
        <v>46022</v>
      </c>
      <c r="M667" s="68">
        <v>46203</v>
      </c>
      <c r="N667" s="69">
        <f t="shared" si="26"/>
        <v>-12</v>
      </c>
      <c r="O667" s="69">
        <f t="shared" si="27"/>
        <v>13</v>
      </c>
      <c r="P667" s="70">
        <v>83</v>
      </c>
      <c r="Q667" s="70">
        <v>58</v>
      </c>
      <c r="R667" s="70">
        <v>71</v>
      </c>
      <c r="S667" s="68" t="str">
        <f t="shared" si="28"/>
        <v/>
      </c>
      <c r="T667" s="68"/>
      <c r="U667" s="68"/>
      <c r="V667" s="68"/>
      <c r="W667" s="9"/>
      <c r="X667" s="10"/>
      <c r="Y667" s="71">
        <f t="shared" si="29"/>
        <v>58</v>
      </c>
      <c r="Z667" s="73">
        <f t="shared" si="30"/>
        <v>71</v>
      </c>
      <c r="AA667" s="11" t="str">
        <f t="shared" si="31"/>
        <v/>
      </c>
      <c r="AB667" s="73">
        <f t="shared" si="32"/>
        <v>-12</v>
      </c>
      <c r="AC667" s="11" t="str">
        <f t="shared" si="33"/>
        <v/>
      </c>
      <c r="AD667" s="73">
        <f t="shared" si="34"/>
        <v>13</v>
      </c>
      <c r="AE667" s="11" t="str">
        <f t="shared" si="35"/>
        <v/>
      </c>
      <c r="AF667" s="73">
        <f t="shared" si="36"/>
        <v>-11.999333</v>
      </c>
      <c r="AG667" s="11" t="str">
        <f t="shared" si="37"/>
        <v/>
      </c>
      <c r="AH667" s="73">
        <f t="shared" si="38"/>
        <v>13.000667</v>
      </c>
    </row>
    <row r="668" spans="1:34" ht="14.25" customHeight="1">
      <c r="A668" s="11">
        <v>653</v>
      </c>
      <c r="B668" s="66"/>
      <c r="C668" s="67"/>
      <c r="D668" s="67"/>
      <c r="E668" s="67"/>
      <c r="F668" s="67"/>
      <c r="G668" s="67" t="s">
        <v>35</v>
      </c>
      <c r="H668" s="67">
        <v>45957</v>
      </c>
      <c r="I668" s="6" t="s">
        <v>1263</v>
      </c>
      <c r="J668" s="94">
        <v>3738103113</v>
      </c>
      <c r="K668" s="68">
        <v>45930</v>
      </c>
      <c r="L668" s="68">
        <v>46022</v>
      </c>
      <c r="M668" s="68">
        <v>46203</v>
      </c>
      <c r="N668" s="69">
        <f t="shared" si="26"/>
        <v>4</v>
      </c>
      <c r="O668" s="69">
        <f t="shared" si="27"/>
        <v>3</v>
      </c>
      <c r="P668" s="70">
        <v>6</v>
      </c>
      <c r="Q668" s="70">
        <v>7</v>
      </c>
      <c r="R668" s="70">
        <v>10</v>
      </c>
      <c r="S668" s="68" t="str">
        <f t="shared" si="28"/>
        <v/>
      </c>
      <c r="T668" s="68"/>
      <c r="U668" s="95"/>
      <c r="V668" s="68"/>
      <c r="W668" s="6"/>
      <c r="X668" s="10"/>
      <c r="Y668" s="71">
        <f t="shared" si="29"/>
        <v>7</v>
      </c>
      <c r="Z668" s="73">
        <f t="shared" si="30"/>
        <v>10</v>
      </c>
      <c r="AA668" s="11" t="str">
        <f t="shared" si="31"/>
        <v/>
      </c>
      <c r="AB668" s="73">
        <f t="shared" si="32"/>
        <v>4</v>
      </c>
      <c r="AC668" s="11" t="str">
        <f t="shared" si="33"/>
        <v/>
      </c>
      <c r="AD668" s="73">
        <f t="shared" si="34"/>
        <v>3</v>
      </c>
      <c r="AE668" s="11" t="str">
        <f t="shared" si="35"/>
        <v/>
      </c>
      <c r="AF668" s="73">
        <f t="shared" si="36"/>
        <v>4.0006680000000001</v>
      </c>
      <c r="AG668" s="11" t="str">
        <f t="shared" si="37"/>
        <v/>
      </c>
      <c r="AH668" s="73">
        <f t="shared" si="38"/>
        <v>3.0006680000000001</v>
      </c>
    </row>
    <row r="669" spans="1:34" ht="14.25" customHeight="1">
      <c r="A669" s="11">
        <v>654</v>
      </c>
      <c r="B669" s="66"/>
      <c r="C669" s="67"/>
      <c r="D669" s="67"/>
      <c r="E669" s="67"/>
      <c r="F669" s="67"/>
      <c r="G669" s="67" t="s">
        <v>35</v>
      </c>
      <c r="H669" s="67">
        <v>44882</v>
      </c>
      <c r="I669" s="6" t="s">
        <v>1264</v>
      </c>
      <c r="J669" s="9">
        <v>3748100176</v>
      </c>
      <c r="K669" s="68">
        <v>44865</v>
      </c>
      <c r="L669" s="68">
        <v>46022</v>
      </c>
      <c r="M669" s="68">
        <v>46203</v>
      </c>
      <c r="N669" s="69">
        <f t="shared" si="26"/>
        <v>55</v>
      </c>
      <c r="O669" s="69">
        <f t="shared" si="27"/>
        <v>18</v>
      </c>
      <c r="P669" s="70">
        <v>35</v>
      </c>
      <c r="Q669" s="70">
        <v>72</v>
      </c>
      <c r="R669" s="70">
        <v>90</v>
      </c>
      <c r="S669" s="68" t="str">
        <f t="shared" si="28"/>
        <v/>
      </c>
      <c r="T669" s="68"/>
      <c r="U669" s="68"/>
      <c r="V669" s="68"/>
      <c r="W669" s="9"/>
      <c r="X669" s="10"/>
      <c r="Y669" s="71">
        <f t="shared" si="29"/>
        <v>72</v>
      </c>
      <c r="Z669" s="73">
        <f t="shared" si="30"/>
        <v>90</v>
      </c>
      <c r="AA669" s="11" t="str">
        <f t="shared" si="31"/>
        <v/>
      </c>
      <c r="AB669" s="73">
        <f t="shared" si="32"/>
        <v>55</v>
      </c>
      <c r="AC669" s="11" t="str">
        <f t="shared" si="33"/>
        <v/>
      </c>
      <c r="AD669" s="73">
        <f t="shared" si="34"/>
        <v>18</v>
      </c>
      <c r="AE669" s="11" t="str">
        <f t="shared" si="35"/>
        <v/>
      </c>
      <c r="AF669" s="73">
        <f t="shared" si="36"/>
        <v>55.000669000000002</v>
      </c>
      <c r="AG669" s="11" t="str">
        <f t="shared" si="37"/>
        <v/>
      </c>
      <c r="AH669" s="73">
        <f t="shared" si="38"/>
        <v>18.000668999999998</v>
      </c>
    </row>
    <row r="670" spans="1:34" ht="14.25" customHeight="1">
      <c r="A670" s="11">
        <v>655</v>
      </c>
      <c r="B670" s="66"/>
      <c r="C670" s="67"/>
      <c r="D670" s="67"/>
      <c r="E670" s="67"/>
      <c r="F670" s="67"/>
      <c r="G670" s="67" t="s">
        <v>35</v>
      </c>
      <c r="H670" s="67">
        <v>45513</v>
      </c>
      <c r="I670" s="6" t="s">
        <v>1265</v>
      </c>
      <c r="J670" s="9">
        <v>3748601582</v>
      </c>
      <c r="K670" s="68">
        <v>45504</v>
      </c>
      <c r="L670" s="68">
        <v>46022</v>
      </c>
      <c r="M670" s="68">
        <v>46203</v>
      </c>
      <c r="N670" s="69">
        <f t="shared" si="26"/>
        <v>24</v>
      </c>
      <c r="O670" s="69">
        <f t="shared" si="27"/>
        <v>11</v>
      </c>
      <c r="P670" s="70">
        <v>30</v>
      </c>
      <c r="Q670" s="70">
        <v>43</v>
      </c>
      <c r="R670" s="70">
        <v>54</v>
      </c>
      <c r="S670" s="68" t="str">
        <f t="shared" si="28"/>
        <v/>
      </c>
      <c r="T670" s="68"/>
      <c r="U670" s="68"/>
      <c r="V670" s="68"/>
      <c r="W670" s="9"/>
      <c r="X670" s="10"/>
      <c r="Y670" s="71">
        <f t="shared" si="29"/>
        <v>43</v>
      </c>
      <c r="Z670" s="73">
        <f t="shared" si="30"/>
        <v>54</v>
      </c>
      <c r="AA670" s="11" t="str">
        <f t="shared" si="31"/>
        <v/>
      </c>
      <c r="AB670" s="73">
        <f t="shared" si="32"/>
        <v>24</v>
      </c>
      <c r="AC670" s="11" t="str">
        <f t="shared" si="33"/>
        <v/>
      </c>
      <c r="AD670" s="73">
        <f t="shared" si="34"/>
        <v>11</v>
      </c>
      <c r="AE670" s="11" t="str">
        <f t="shared" si="35"/>
        <v/>
      </c>
      <c r="AF670" s="73">
        <f t="shared" si="36"/>
        <v>24.00067</v>
      </c>
      <c r="AG670" s="11" t="str">
        <f t="shared" si="37"/>
        <v/>
      </c>
      <c r="AH670" s="73">
        <f t="shared" si="38"/>
        <v>11.00067</v>
      </c>
    </row>
    <row r="671" spans="1:34" ht="14.25" customHeight="1">
      <c r="A671" s="11">
        <v>656</v>
      </c>
      <c r="B671" s="66"/>
      <c r="C671" s="67"/>
      <c r="D671" s="67"/>
      <c r="E671" s="67"/>
      <c r="F671" s="67"/>
      <c r="G671" s="67" t="s">
        <v>35</v>
      </c>
      <c r="H671" s="67">
        <v>44405</v>
      </c>
      <c r="I671" s="6" t="s">
        <v>1266</v>
      </c>
      <c r="J671" s="9">
        <v>3748700805</v>
      </c>
      <c r="K671" s="68">
        <v>44377</v>
      </c>
      <c r="L671" s="68">
        <v>46022</v>
      </c>
      <c r="M671" s="68">
        <v>46203</v>
      </c>
      <c r="N671" s="69">
        <f t="shared" si="26"/>
        <v>6</v>
      </c>
      <c r="O671" s="69">
        <f t="shared" si="27"/>
        <v>-6</v>
      </c>
      <c r="P671" s="70">
        <v>6</v>
      </c>
      <c r="Q671" s="70">
        <v>18</v>
      </c>
      <c r="R671" s="70">
        <v>12</v>
      </c>
      <c r="S671" s="68" t="str">
        <f t="shared" si="28"/>
        <v/>
      </c>
      <c r="T671" s="68"/>
      <c r="U671" s="68"/>
      <c r="V671" s="68"/>
      <c r="W671" s="9"/>
      <c r="X671" s="10"/>
      <c r="Y671" s="71">
        <f t="shared" si="29"/>
        <v>18</v>
      </c>
      <c r="Z671" s="73">
        <f t="shared" si="30"/>
        <v>12</v>
      </c>
      <c r="AA671" s="11" t="str">
        <f t="shared" si="31"/>
        <v/>
      </c>
      <c r="AB671" s="73">
        <f t="shared" si="32"/>
        <v>6</v>
      </c>
      <c r="AC671" s="11" t="str">
        <f t="shared" si="33"/>
        <v/>
      </c>
      <c r="AD671" s="73">
        <f t="shared" si="34"/>
        <v>-6</v>
      </c>
      <c r="AE671" s="11" t="str">
        <f t="shared" si="35"/>
        <v/>
      </c>
      <c r="AF671" s="73">
        <f t="shared" si="36"/>
        <v>6.0006709999999996</v>
      </c>
      <c r="AG671" s="11" t="str">
        <f t="shared" si="37"/>
        <v/>
      </c>
      <c r="AH671" s="73">
        <f t="shared" si="38"/>
        <v>-5.9993290000000004</v>
      </c>
    </row>
    <row r="672" spans="1:34" ht="14.25" customHeight="1">
      <c r="A672" s="11">
        <v>657</v>
      </c>
      <c r="B672" s="66" t="s">
        <v>35</v>
      </c>
      <c r="C672" s="67">
        <v>44728</v>
      </c>
      <c r="D672" s="67"/>
      <c r="E672" s="67"/>
      <c r="F672" s="67"/>
      <c r="G672" s="67"/>
      <c r="H672" s="67"/>
      <c r="I672" s="6" t="s">
        <v>1267</v>
      </c>
      <c r="J672" s="9">
        <v>3748802116</v>
      </c>
      <c r="K672" s="68">
        <v>44712</v>
      </c>
      <c r="L672" s="68">
        <v>46022</v>
      </c>
      <c r="M672" s="68">
        <v>46203</v>
      </c>
      <c r="N672" s="69">
        <f t="shared" si="26"/>
        <v>-3</v>
      </c>
      <c r="O672" s="69">
        <f t="shared" si="27"/>
        <v>0</v>
      </c>
      <c r="P672" s="70">
        <v>12</v>
      </c>
      <c r="Q672" s="70">
        <v>9</v>
      </c>
      <c r="R672" s="70">
        <v>9</v>
      </c>
      <c r="S672" s="68" t="str">
        <f t="shared" si="28"/>
        <v/>
      </c>
      <c r="T672" s="68"/>
      <c r="U672" s="68"/>
      <c r="V672" s="68"/>
      <c r="W672" s="9"/>
      <c r="X672" s="10"/>
      <c r="Y672" s="71">
        <f t="shared" si="29"/>
        <v>9</v>
      </c>
      <c r="Z672" s="73">
        <f t="shared" si="30"/>
        <v>9</v>
      </c>
      <c r="AA672" s="73">
        <f t="shared" si="31"/>
        <v>-3</v>
      </c>
      <c r="AB672" s="11" t="str">
        <f t="shared" si="32"/>
        <v/>
      </c>
      <c r="AC672" s="73">
        <f t="shared" si="33"/>
        <v>0</v>
      </c>
      <c r="AD672" s="11" t="str">
        <f t="shared" si="34"/>
        <v/>
      </c>
      <c r="AE672" s="73">
        <f t="shared" si="35"/>
        <v>-2.9993280000000002</v>
      </c>
      <c r="AF672" s="11" t="str">
        <f t="shared" si="36"/>
        <v/>
      </c>
      <c r="AG672" s="73">
        <f t="shared" si="37"/>
        <v>6.7199999999999996E-4</v>
      </c>
      <c r="AH672" s="11" t="str">
        <f t="shared" si="38"/>
        <v/>
      </c>
    </row>
    <row r="673" spans="1:34" ht="14.25" customHeight="1">
      <c r="A673" s="11">
        <v>658</v>
      </c>
      <c r="B673" s="66"/>
      <c r="C673" s="67"/>
      <c r="D673" s="67"/>
      <c r="E673" s="67"/>
      <c r="F673" s="67"/>
      <c r="G673" s="67" t="s">
        <v>35</v>
      </c>
      <c r="H673" s="67">
        <v>42706</v>
      </c>
      <c r="I673" s="6" t="s">
        <v>1268</v>
      </c>
      <c r="J673" s="9">
        <v>3758700088</v>
      </c>
      <c r="K673" s="68">
        <v>42704</v>
      </c>
      <c r="L673" s="68">
        <v>46022</v>
      </c>
      <c r="M673" s="68">
        <v>46203</v>
      </c>
      <c r="N673" s="69">
        <f t="shared" si="26"/>
        <v>613</v>
      </c>
      <c r="O673" s="69">
        <f t="shared" si="27"/>
        <v>33</v>
      </c>
      <c r="P673" s="70">
        <v>8</v>
      </c>
      <c r="Q673" s="70">
        <v>588</v>
      </c>
      <c r="R673" s="70">
        <v>621</v>
      </c>
      <c r="S673" s="68" t="str">
        <f t="shared" si="28"/>
        <v/>
      </c>
      <c r="T673" s="68"/>
      <c r="U673" s="68"/>
      <c r="V673" s="68"/>
      <c r="W673" s="9"/>
      <c r="X673" s="10"/>
      <c r="Y673" s="71">
        <f t="shared" si="29"/>
        <v>588</v>
      </c>
      <c r="Z673" s="73">
        <f t="shared" si="30"/>
        <v>621</v>
      </c>
      <c r="AA673" s="11" t="str">
        <f t="shared" si="31"/>
        <v/>
      </c>
      <c r="AB673" s="73">
        <f t="shared" si="32"/>
        <v>613</v>
      </c>
      <c r="AC673" s="11" t="str">
        <f t="shared" si="33"/>
        <v/>
      </c>
      <c r="AD673" s="73">
        <f t="shared" si="34"/>
        <v>33</v>
      </c>
      <c r="AE673" s="11" t="str">
        <f t="shared" si="35"/>
        <v/>
      </c>
      <c r="AF673" s="73">
        <f t="shared" si="36"/>
        <v>613.00067300000001</v>
      </c>
      <c r="AG673" s="11" t="str">
        <f t="shared" si="37"/>
        <v/>
      </c>
      <c r="AH673" s="73">
        <f t="shared" si="38"/>
        <v>33.000672999999999</v>
      </c>
    </row>
    <row r="674" spans="1:34" ht="14.25" customHeight="1">
      <c r="A674" s="11">
        <v>659</v>
      </c>
      <c r="B674" s="66"/>
      <c r="C674" s="67"/>
      <c r="D674" s="67"/>
      <c r="E674" s="67"/>
      <c r="F674" s="67"/>
      <c r="G674" s="67" t="s">
        <v>35</v>
      </c>
      <c r="H674" s="67">
        <v>45853</v>
      </c>
      <c r="I674" s="6" t="s">
        <v>1269</v>
      </c>
      <c r="J674" s="94">
        <v>3758703033</v>
      </c>
      <c r="K674" s="68">
        <v>45838</v>
      </c>
      <c r="L674" s="68">
        <v>46022</v>
      </c>
      <c r="M674" s="68">
        <v>46203</v>
      </c>
      <c r="N674" s="69">
        <f t="shared" si="26"/>
        <v>1</v>
      </c>
      <c r="O674" s="69">
        <f t="shared" si="27"/>
        <v>0</v>
      </c>
      <c r="P674" s="70">
        <v>7</v>
      </c>
      <c r="Q674" s="70">
        <v>8</v>
      </c>
      <c r="R674" s="70">
        <v>8</v>
      </c>
      <c r="S674" s="68" t="str">
        <f t="shared" si="28"/>
        <v/>
      </c>
      <c r="T674" s="68"/>
      <c r="U674" s="95"/>
      <c r="V674" s="68"/>
      <c r="W674" s="6"/>
      <c r="X674" s="10"/>
      <c r="Y674" s="71">
        <f t="shared" si="29"/>
        <v>8</v>
      </c>
      <c r="Z674" s="73">
        <f t="shared" si="30"/>
        <v>8</v>
      </c>
      <c r="AA674" s="11" t="str">
        <f t="shared" si="31"/>
        <v/>
      </c>
      <c r="AB674" s="73">
        <f t="shared" si="32"/>
        <v>1</v>
      </c>
      <c r="AC674" s="11" t="str">
        <f t="shared" si="33"/>
        <v/>
      </c>
      <c r="AD674" s="73">
        <f t="shared" si="34"/>
        <v>0</v>
      </c>
      <c r="AE674" s="11" t="str">
        <f t="shared" si="35"/>
        <v/>
      </c>
      <c r="AF674" s="73">
        <f t="shared" si="36"/>
        <v>1.0006740000000001</v>
      </c>
      <c r="AG674" s="11" t="str">
        <f t="shared" si="37"/>
        <v/>
      </c>
      <c r="AH674" s="73">
        <f t="shared" si="38"/>
        <v>6.7400000000000001E-4</v>
      </c>
    </row>
    <row r="675" spans="1:34" ht="14.25" customHeight="1">
      <c r="A675" s="11">
        <v>660</v>
      </c>
      <c r="B675" s="66"/>
      <c r="C675" s="67"/>
      <c r="D675" s="67"/>
      <c r="E675" s="67"/>
      <c r="F675" s="67"/>
      <c r="G675" s="67" t="s">
        <v>35</v>
      </c>
      <c r="H675" s="67">
        <v>45047</v>
      </c>
      <c r="I675" s="6" t="s">
        <v>1270</v>
      </c>
      <c r="J675" s="9">
        <v>3768102831</v>
      </c>
      <c r="K675" s="68">
        <v>45046</v>
      </c>
      <c r="L675" s="68">
        <v>46022</v>
      </c>
      <c r="M675" s="68">
        <v>46203</v>
      </c>
      <c r="N675" s="69">
        <f t="shared" si="26"/>
        <v>0</v>
      </c>
      <c r="O675" s="69">
        <f t="shared" si="27"/>
        <v>0</v>
      </c>
      <c r="P675" s="70">
        <v>0</v>
      </c>
      <c r="Q675" s="70">
        <v>0</v>
      </c>
      <c r="R675" s="70">
        <v>0</v>
      </c>
      <c r="S675" s="68" t="str">
        <f t="shared" si="28"/>
        <v/>
      </c>
      <c r="T675" s="68"/>
      <c r="U675" s="68"/>
      <c r="V675" s="68"/>
      <c r="W675" s="9"/>
      <c r="X675" s="10"/>
      <c r="Y675" s="71">
        <f t="shared" si="29"/>
        <v>0</v>
      </c>
      <c r="Z675" s="73">
        <f t="shared" si="30"/>
        <v>0</v>
      </c>
      <c r="AA675" s="11" t="str">
        <f t="shared" si="31"/>
        <v/>
      </c>
      <c r="AB675" s="73">
        <f t="shared" si="32"/>
        <v>0</v>
      </c>
      <c r="AC675" s="11" t="str">
        <f t="shared" si="33"/>
        <v/>
      </c>
      <c r="AD675" s="73">
        <f t="shared" si="34"/>
        <v>0</v>
      </c>
      <c r="AE675" s="11" t="str">
        <f t="shared" si="35"/>
        <v/>
      </c>
      <c r="AF675" s="73">
        <f t="shared" si="36"/>
        <v>6.7500000000000004E-4</v>
      </c>
      <c r="AG675" s="11" t="str">
        <f t="shared" si="37"/>
        <v/>
      </c>
      <c r="AH675" s="73">
        <f t="shared" si="38"/>
        <v>6.7500000000000004E-4</v>
      </c>
    </row>
    <row r="676" spans="1:34" ht="14.25" customHeight="1">
      <c r="A676" s="11">
        <v>661</v>
      </c>
      <c r="B676" s="66"/>
      <c r="C676" s="67"/>
      <c r="D676" s="67"/>
      <c r="E676" s="67"/>
      <c r="F676" s="67"/>
      <c r="G676" s="67" t="s">
        <v>35</v>
      </c>
      <c r="H676" s="67">
        <v>44826</v>
      </c>
      <c r="I676" s="6" t="s">
        <v>1271</v>
      </c>
      <c r="J676" s="9">
        <v>3768602011</v>
      </c>
      <c r="K676" s="68">
        <v>44804</v>
      </c>
      <c r="L676" s="68">
        <v>46022</v>
      </c>
      <c r="M676" s="68">
        <v>46203</v>
      </c>
      <c r="N676" s="69">
        <f t="shared" si="26"/>
        <v>8</v>
      </c>
      <c r="O676" s="69">
        <f t="shared" si="27"/>
        <v>1</v>
      </c>
      <c r="P676" s="70">
        <v>4</v>
      </c>
      <c r="Q676" s="70">
        <v>11</v>
      </c>
      <c r="R676" s="70">
        <v>12</v>
      </c>
      <c r="S676" s="68" t="str">
        <f t="shared" si="28"/>
        <v/>
      </c>
      <c r="T676" s="68"/>
      <c r="U676" s="68"/>
      <c r="V676" s="68"/>
      <c r="W676" s="9"/>
      <c r="X676" s="10"/>
      <c r="Y676" s="71">
        <f t="shared" si="29"/>
        <v>11</v>
      </c>
      <c r="Z676" s="73">
        <f t="shared" si="30"/>
        <v>12</v>
      </c>
      <c r="AA676" s="11" t="str">
        <f t="shared" si="31"/>
        <v/>
      </c>
      <c r="AB676" s="73">
        <f t="shared" si="32"/>
        <v>8</v>
      </c>
      <c r="AC676" s="11" t="str">
        <f t="shared" si="33"/>
        <v/>
      </c>
      <c r="AD676" s="73">
        <f t="shared" si="34"/>
        <v>1</v>
      </c>
      <c r="AE676" s="11" t="str">
        <f t="shared" si="35"/>
        <v/>
      </c>
      <c r="AF676" s="73">
        <f t="shared" si="36"/>
        <v>8.0006760000000003</v>
      </c>
      <c r="AG676" s="11" t="str">
        <f t="shared" si="37"/>
        <v/>
      </c>
      <c r="AH676" s="73">
        <f t="shared" si="38"/>
        <v>1.0006759999999999</v>
      </c>
    </row>
    <row r="677" spans="1:34" ht="14.25" customHeight="1">
      <c r="A677" s="11">
        <v>662</v>
      </c>
      <c r="B677" s="66" t="s">
        <v>35</v>
      </c>
      <c r="C677" s="67">
        <v>43449</v>
      </c>
      <c r="D677" s="67"/>
      <c r="E677" s="67"/>
      <c r="F677" s="67"/>
      <c r="G677" s="67"/>
      <c r="H677" s="67"/>
      <c r="I677" s="6" t="s">
        <v>1272</v>
      </c>
      <c r="J677" s="9">
        <v>3768700441</v>
      </c>
      <c r="K677" s="68">
        <v>43434</v>
      </c>
      <c r="L677" s="68">
        <v>46022</v>
      </c>
      <c r="M677" s="68">
        <v>46203</v>
      </c>
      <c r="N677" s="69">
        <f t="shared" si="26"/>
        <v>-8</v>
      </c>
      <c r="O677" s="69">
        <f t="shared" si="27"/>
        <v>-1</v>
      </c>
      <c r="P677" s="70">
        <v>11</v>
      </c>
      <c r="Q677" s="70">
        <v>4</v>
      </c>
      <c r="R677" s="70">
        <v>3</v>
      </c>
      <c r="S677" s="68" t="str">
        <f t="shared" si="28"/>
        <v/>
      </c>
      <c r="T677" s="68"/>
      <c r="U677" s="68"/>
      <c r="V677" s="68"/>
      <c r="W677" s="9"/>
      <c r="X677" s="10"/>
      <c r="Y677" s="71">
        <f t="shared" si="29"/>
        <v>4</v>
      </c>
      <c r="Z677" s="73">
        <f t="shared" si="30"/>
        <v>3</v>
      </c>
      <c r="AA677" s="73">
        <f t="shared" si="31"/>
        <v>-8</v>
      </c>
      <c r="AB677" s="11" t="str">
        <f t="shared" si="32"/>
        <v/>
      </c>
      <c r="AC677" s="73">
        <f t="shared" si="33"/>
        <v>-1</v>
      </c>
      <c r="AD677" s="11" t="str">
        <f t="shared" si="34"/>
        <v/>
      </c>
      <c r="AE677" s="73">
        <f t="shared" si="35"/>
        <v>-7.9993230000000004</v>
      </c>
      <c r="AF677" s="11" t="str">
        <f t="shared" si="36"/>
        <v/>
      </c>
      <c r="AG677" s="73">
        <f t="shared" si="37"/>
        <v>-0.99932299999999996</v>
      </c>
      <c r="AH677" s="11" t="str">
        <f t="shared" si="38"/>
        <v/>
      </c>
    </row>
    <row r="678" spans="1:34" ht="14.25" customHeight="1">
      <c r="A678" s="11">
        <v>663</v>
      </c>
      <c r="B678" s="66"/>
      <c r="C678" s="67"/>
      <c r="D678" s="67"/>
      <c r="E678" s="67"/>
      <c r="F678" s="67"/>
      <c r="G678" s="67" t="s">
        <v>35</v>
      </c>
      <c r="H678" s="67">
        <v>44789</v>
      </c>
      <c r="I678" s="6" t="s">
        <v>1273</v>
      </c>
      <c r="J678" s="9">
        <v>3768701061</v>
      </c>
      <c r="K678" s="68">
        <v>44773</v>
      </c>
      <c r="L678" s="68">
        <v>46022</v>
      </c>
      <c r="M678" s="68">
        <v>46203</v>
      </c>
      <c r="N678" s="69">
        <f t="shared" si="26"/>
        <v>-1</v>
      </c>
      <c r="O678" s="69">
        <f t="shared" si="27"/>
        <v>-3</v>
      </c>
      <c r="P678" s="70">
        <v>7</v>
      </c>
      <c r="Q678" s="70">
        <v>9</v>
      </c>
      <c r="R678" s="70">
        <v>6</v>
      </c>
      <c r="S678" s="68" t="str">
        <f t="shared" si="28"/>
        <v/>
      </c>
      <c r="T678" s="68"/>
      <c r="U678" s="68"/>
      <c r="V678" s="68"/>
      <c r="W678" s="9"/>
      <c r="X678" s="10"/>
      <c r="Y678" s="71">
        <f t="shared" si="29"/>
        <v>9</v>
      </c>
      <c r="Z678" s="73">
        <f t="shared" si="30"/>
        <v>6</v>
      </c>
      <c r="AA678" s="11" t="str">
        <f t="shared" si="31"/>
        <v/>
      </c>
      <c r="AB678" s="73">
        <f t="shared" si="32"/>
        <v>-1</v>
      </c>
      <c r="AC678" s="11" t="str">
        <f t="shared" si="33"/>
        <v/>
      </c>
      <c r="AD678" s="73">
        <f t="shared" si="34"/>
        <v>-3</v>
      </c>
      <c r="AE678" s="11" t="str">
        <f t="shared" si="35"/>
        <v/>
      </c>
      <c r="AF678" s="73">
        <f t="shared" si="36"/>
        <v>-0.99932200000000004</v>
      </c>
      <c r="AG678" s="11" t="str">
        <f t="shared" si="37"/>
        <v/>
      </c>
      <c r="AH678" s="73">
        <f t="shared" si="38"/>
        <v>-2.9993219999999998</v>
      </c>
    </row>
    <row r="679" spans="1:34" ht="14.25" customHeight="1">
      <c r="A679" s="11">
        <v>664</v>
      </c>
      <c r="B679" s="66"/>
      <c r="C679" s="67"/>
      <c r="D679" s="67"/>
      <c r="E679" s="67"/>
      <c r="F679" s="67"/>
      <c r="G679" s="124" t="s">
        <v>24</v>
      </c>
      <c r="H679" s="67">
        <v>44092</v>
      </c>
      <c r="I679" s="6" t="s">
        <v>1274</v>
      </c>
      <c r="J679" s="94">
        <v>3778601276</v>
      </c>
      <c r="K679" s="68">
        <v>44074</v>
      </c>
      <c r="L679" s="68">
        <v>46022</v>
      </c>
      <c r="M679" s="68">
        <v>46112</v>
      </c>
      <c r="N679" s="69">
        <f t="shared" si="26"/>
        <v>-5</v>
      </c>
      <c r="O679" s="69">
        <f t="shared" si="27"/>
        <v>0</v>
      </c>
      <c r="P679" s="78">
        <v>5</v>
      </c>
      <c r="Q679" s="78">
        <v>0</v>
      </c>
      <c r="R679" s="78">
        <v>0</v>
      </c>
      <c r="S679" s="68">
        <f t="shared" si="28"/>
        <v>46092</v>
      </c>
      <c r="T679" s="68">
        <v>46092</v>
      </c>
      <c r="U679" s="95"/>
      <c r="V679" s="68"/>
      <c r="W679" s="6"/>
      <c r="X679" s="122" t="s">
        <v>807</v>
      </c>
      <c r="Y679" s="71">
        <f t="shared" si="29"/>
        <v>0</v>
      </c>
      <c r="Z679" s="73">
        <f t="shared" si="30"/>
        <v>0</v>
      </c>
      <c r="AA679" s="11" t="str">
        <f t="shared" si="31"/>
        <v/>
      </c>
      <c r="AB679" s="73">
        <f t="shared" si="32"/>
        <v>-5</v>
      </c>
      <c r="AC679" s="11" t="str">
        <f t="shared" si="33"/>
        <v/>
      </c>
      <c r="AD679" s="73">
        <f t="shared" si="34"/>
        <v>0</v>
      </c>
      <c r="AE679" s="11" t="str">
        <f t="shared" si="35"/>
        <v/>
      </c>
      <c r="AF679" s="73">
        <f t="shared" si="36"/>
        <v>-4.9993210000000001</v>
      </c>
      <c r="AG679" s="11" t="str">
        <f t="shared" si="37"/>
        <v/>
      </c>
      <c r="AH679" s="73">
        <f t="shared" si="38"/>
        <v>6.7900000000000002E-4</v>
      </c>
    </row>
    <row r="680" spans="1:34" ht="14.25" customHeight="1">
      <c r="A680" s="11">
        <v>665</v>
      </c>
      <c r="B680" s="66"/>
      <c r="C680" s="67"/>
      <c r="D680" s="67"/>
      <c r="E680" s="67"/>
      <c r="F680" s="67"/>
      <c r="G680" s="67" t="s">
        <v>35</v>
      </c>
      <c r="H680" s="67">
        <v>46014</v>
      </c>
      <c r="I680" s="6" t="s">
        <v>1275</v>
      </c>
      <c r="J680" s="94">
        <v>3788801045</v>
      </c>
      <c r="K680" s="68">
        <v>45991</v>
      </c>
      <c r="L680" s="68">
        <v>46022</v>
      </c>
      <c r="M680" s="68">
        <v>46203</v>
      </c>
      <c r="N680" s="69">
        <f t="shared" si="26"/>
        <v>-1</v>
      </c>
      <c r="O680" s="69">
        <f t="shared" si="27"/>
        <v>-1</v>
      </c>
      <c r="P680" s="70">
        <v>10</v>
      </c>
      <c r="Q680" s="70">
        <v>10</v>
      </c>
      <c r="R680" s="70">
        <v>9</v>
      </c>
      <c r="S680" s="68" t="str">
        <f t="shared" si="28"/>
        <v/>
      </c>
      <c r="T680" s="68"/>
      <c r="U680" s="95"/>
      <c r="V680" s="68"/>
      <c r="W680" s="6"/>
      <c r="X680" s="10"/>
      <c r="Y680" s="71">
        <f t="shared" si="29"/>
        <v>10</v>
      </c>
      <c r="Z680" s="73">
        <f t="shared" si="30"/>
        <v>9</v>
      </c>
      <c r="AA680" s="11" t="str">
        <f t="shared" si="31"/>
        <v/>
      </c>
      <c r="AB680" s="73">
        <f t="shared" si="32"/>
        <v>-1</v>
      </c>
      <c r="AC680" s="11" t="str">
        <f t="shared" si="33"/>
        <v/>
      </c>
      <c r="AD680" s="73">
        <f t="shared" si="34"/>
        <v>-1</v>
      </c>
      <c r="AE680" s="11" t="str">
        <f t="shared" si="35"/>
        <v/>
      </c>
      <c r="AF680" s="73">
        <f t="shared" si="36"/>
        <v>-0.99931999999999999</v>
      </c>
      <c r="AG680" s="11" t="str">
        <f t="shared" si="37"/>
        <v/>
      </c>
      <c r="AH680" s="73">
        <f t="shared" si="38"/>
        <v>-0.99931999999999999</v>
      </c>
    </row>
    <row r="681" spans="1:34" ht="14.25" customHeight="1">
      <c r="A681" s="11">
        <v>666</v>
      </c>
      <c r="B681" s="66" t="s">
        <v>35</v>
      </c>
      <c r="C681" s="67">
        <v>46023</v>
      </c>
      <c r="D681" s="67"/>
      <c r="E681" s="67">
        <v>46023</v>
      </c>
      <c r="F681" s="67"/>
      <c r="G681" s="67" t="s">
        <v>35</v>
      </c>
      <c r="H681" s="67">
        <v>45890</v>
      </c>
      <c r="I681" s="6" t="s">
        <v>1276</v>
      </c>
      <c r="J681" s="94">
        <v>3788803188</v>
      </c>
      <c r="K681" s="68">
        <v>45869</v>
      </c>
      <c r="L681" s="68">
        <v>46022</v>
      </c>
      <c r="M681" s="68">
        <v>46203</v>
      </c>
      <c r="N681" s="69">
        <f t="shared" si="26"/>
        <v>1</v>
      </c>
      <c r="O681" s="69">
        <f t="shared" si="27"/>
        <v>0</v>
      </c>
      <c r="P681" s="70">
        <v>10</v>
      </c>
      <c r="Q681" s="70">
        <v>11</v>
      </c>
      <c r="R681" s="70">
        <v>11</v>
      </c>
      <c r="S681" s="68" t="str">
        <f t="shared" si="28"/>
        <v/>
      </c>
      <c r="T681" s="68"/>
      <c r="U681" s="95"/>
      <c r="V681" s="68"/>
      <c r="W681" s="6"/>
      <c r="X681" s="10"/>
      <c r="Y681" s="71">
        <f t="shared" si="29"/>
        <v>11</v>
      </c>
      <c r="Z681" s="73">
        <f t="shared" si="30"/>
        <v>11</v>
      </c>
      <c r="AA681" s="73">
        <f t="shared" si="31"/>
        <v>1</v>
      </c>
      <c r="AB681" s="73">
        <f t="shared" si="32"/>
        <v>1</v>
      </c>
      <c r="AC681" s="73">
        <f t="shared" si="33"/>
        <v>0</v>
      </c>
      <c r="AD681" s="73">
        <f t="shared" si="34"/>
        <v>0</v>
      </c>
      <c r="AE681" s="73">
        <f t="shared" si="35"/>
        <v>1.0006809999999999</v>
      </c>
      <c r="AF681" s="73">
        <f t="shared" si="36"/>
        <v>1.0006809999999999</v>
      </c>
      <c r="AG681" s="73">
        <f t="shared" si="37"/>
        <v>6.8099999999999996E-4</v>
      </c>
      <c r="AH681" s="73">
        <f t="shared" si="38"/>
        <v>6.8099999999999996E-4</v>
      </c>
    </row>
    <row r="682" spans="1:34" ht="14.25" customHeight="1">
      <c r="A682" s="11">
        <v>667</v>
      </c>
      <c r="B682" s="66"/>
      <c r="C682" s="67"/>
      <c r="D682" s="67"/>
      <c r="E682" s="67"/>
      <c r="F682" s="67"/>
      <c r="G682" s="67" t="s">
        <v>35</v>
      </c>
      <c r="H682" s="67">
        <v>44435</v>
      </c>
      <c r="I682" s="6" t="s">
        <v>1277</v>
      </c>
      <c r="J682" s="9">
        <v>3798601909</v>
      </c>
      <c r="K682" s="68">
        <v>44408</v>
      </c>
      <c r="L682" s="68">
        <v>46022</v>
      </c>
      <c r="M682" s="68">
        <v>46203</v>
      </c>
      <c r="N682" s="69">
        <f t="shared" si="26"/>
        <v>18</v>
      </c>
      <c r="O682" s="69">
        <f t="shared" si="27"/>
        <v>2</v>
      </c>
      <c r="P682" s="70">
        <v>9</v>
      </c>
      <c r="Q682" s="70">
        <v>25</v>
      </c>
      <c r="R682" s="70">
        <v>27</v>
      </c>
      <c r="S682" s="68" t="str">
        <f t="shared" si="28"/>
        <v/>
      </c>
      <c r="T682" s="68"/>
      <c r="U682" s="68"/>
      <c r="V682" s="68"/>
      <c r="W682" s="9"/>
      <c r="X682" s="10"/>
      <c r="Y682" s="71">
        <f t="shared" si="29"/>
        <v>25</v>
      </c>
      <c r="Z682" s="73">
        <f t="shared" si="30"/>
        <v>27</v>
      </c>
      <c r="AA682" s="11" t="str">
        <f t="shared" si="31"/>
        <v/>
      </c>
      <c r="AB682" s="73">
        <f t="shared" si="32"/>
        <v>18</v>
      </c>
      <c r="AC682" s="11" t="str">
        <f t="shared" si="33"/>
        <v/>
      </c>
      <c r="AD682" s="73">
        <f t="shared" si="34"/>
        <v>2</v>
      </c>
      <c r="AE682" s="11" t="str">
        <f t="shared" si="35"/>
        <v/>
      </c>
      <c r="AF682" s="73">
        <f t="shared" si="36"/>
        <v>18.000682000000001</v>
      </c>
      <c r="AG682" s="11" t="str">
        <f t="shared" si="37"/>
        <v/>
      </c>
      <c r="AH682" s="73">
        <f t="shared" si="38"/>
        <v>2.0006819999999998</v>
      </c>
    </row>
    <row r="683" spans="1:34" ht="14.25" customHeight="1">
      <c r="A683" s="11">
        <v>668</v>
      </c>
      <c r="B683" s="66" t="s">
        <v>35</v>
      </c>
      <c r="C683" s="67">
        <v>44046</v>
      </c>
      <c r="D683" s="67">
        <v>44091</v>
      </c>
      <c r="E683" s="67"/>
      <c r="F683" s="67"/>
      <c r="G683" s="67"/>
      <c r="H683" s="67"/>
      <c r="I683" s="6" t="s">
        <v>1278</v>
      </c>
      <c r="J683" s="9">
        <v>3808101791</v>
      </c>
      <c r="K683" s="68">
        <v>44043</v>
      </c>
      <c r="L683" s="68">
        <v>46022</v>
      </c>
      <c r="M683" s="68">
        <v>46203</v>
      </c>
      <c r="N683" s="69">
        <f t="shared" si="26"/>
        <v>5</v>
      </c>
      <c r="O683" s="69">
        <f t="shared" si="27"/>
        <v>0</v>
      </c>
      <c r="P683" s="70">
        <v>0</v>
      </c>
      <c r="Q683" s="70">
        <v>5</v>
      </c>
      <c r="R683" s="70">
        <v>5</v>
      </c>
      <c r="S683" s="68" t="str">
        <f t="shared" si="28"/>
        <v/>
      </c>
      <c r="T683" s="68"/>
      <c r="U683" s="68"/>
      <c r="V683" s="68"/>
      <c r="W683" s="9"/>
      <c r="X683" s="10"/>
      <c r="Y683" s="71">
        <f t="shared" si="29"/>
        <v>5</v>
      </c>
      <c r="Z683" s="73">
        <f t="shared" si="30"/>
        <v>5</v>
      </c>
      <c r="AA683" s="73">
        <f t="shared" si="31"/>
        <v>5</v>
      </c>
      <c r="AB683" s="11" t="str">
        <f t="shared" si="32"/>
        <v/>
      </c>
      <c r="AC683" s="73">
        <f t="shared" si="33"/>
        <v>0</v>
      </c>
      <c r="AD683" s="11" t="str">
        <f t="shared" si="34"/>
        <v/>
      </c>
      <c r="AE683" s="73">
        <f t="shared" si="35"/>
        <v>5.0006830000000004</v>
      </c>
      <c r="AF683" s="11" t="str">
        <f t="shared" si="36"/>
        <v/>
      </c>
      <c r="AG683" s="73">
        <f t="shared" si="37"/>
        <v>6.8300000000000001E-4</v>
      </c>
      <c r="AH683" s="11" t="str">
        <f t="shared" si="38"/>
        <v/>
      </c>
    </row>
    <row r="684" spans="1:34" ht="14.25" customHeight="1">
      <c r="A684" s="11">
        <v>669</v>
      </c>
      <c r="B684" s="66"/>
      <c r="C684" s="67"/>
      <c r="D684" s="67"/>
      <c r="E684" s="67"/>
      <c r="F684" s="67"/>
      <c r="G684" s="67" t="s">
        <v>24</v>
      </c>
      <c r="H684" s="67">
        <v>42507</v>
      </c>
      <c r="I684" s="6" t="s">
        <v>1279</v>
      </c>
      <c r="J684" s="9">
        <v>3808601267</v>
      </c>
      <c r="K684" s="68">
        <v>42490</v>
      </c>
      <c r="L684" s="68" t="s">
        <v>230</v>
      </c>
      <c r="M684" s="68">
        <v>44681</v>
      </c>
      <c r="N684" s="69">
        <f t="shared" si="26"/>
        <v>0</v>
      </c>
      <c r="O684" s="69" t="str">
        <f t="shared" si="27"/>
        <v>N/A</v>
      </c>
      <c r="P684" s="70">
        <v>0</v>
      </c>
      <c r="Q684" s="70"/>
      <c r="R684" s="70">
        <v>0</v>
      </c>
      <c r="S684" s="68">
        <f t="shared" si="28"/>
        <v>44676</v>
      </c>
      <c r="T684" s="68">
        <v>44676</v>
      </c>
      <c r="U684" s="68"/>
      <c r="V684" s="68"/>
      <c r="W684" s="9"/>
      <c r="X684" s="10"/>
      <c r="Y684" s="65" t="str">
        <f t="shared" si="29"/>
        <v/>
      </c>
      <c r="Z684" s="11" t="str">
        <f t="shared" si="30"/>
        <v/>
      </c>
      <c r="AA684" s="11" t="str">
        <f t="shared" si="31"/>
        <v/>
      </c>
      <c r="AB684" s="73">
        <f t="shared" si="32"/>
        <v>0</v>
      </c>
      <c r="AC684" s="11" t="str">
        <f t="shared" si="33"/>
        <v/>
      </c>
      <c r="AD684" s="11" t="str">
        <f t="shared" si="34"/>
        <v/>
      </c>
      <c r="AE684" s="11" t="str">
        <f t="shared" si="35"/>
        <v/>
      </c>
      <c r="AF684" s="73">
        <f t="shared" si="36"/>
        <v>6.8400000000000004E-4</v>
      </c>
      <c r="AG684" s="11" t="str">
        <f t="shared" si="37"/>
        <v/>
      </c>
      <c r="AH684" s="11" t="str">
        <f t="shared" si="38"/>
        <v/>
      </c>
    </row>
    <row r="685" spans="1:34" ht="14.25" customHeight="1">
      <c r="A685" s="11">
        <v>670</v>
      </c>
      <c r="B685" s="66"/>
      <c r="C685" s="67"/>
      <c r="D685" s="67"/>
      <c r="E685" s="67"/>
      <c r="F685" s="67"/>
      <c r="G685" s="67" t="s">
        <v>35</v>
      </c>
      <c r="H685" s="67">
        <v>45436</v>
      </c>
      <c r="I685" s="6" t="s">
        <v>1280</v>
      </c>
      <c r="J685" s="9">
        <v>3808803027</v>
      </c>
      <c r="K685" s="68">
        <v>45412</v>
      </c>
      <c r="L685" s="68">
        <v>46022</v>
      </c>
      <c r="M685" s="68">
        <v>46203</v>
      </c>
      <c r="N685" s="69">
        <f t="shared" si="26"/>
        <v>8</v>
      </c>
      <c r="O685" s="69">
        <f t="shared" si="27"/>
        <v>1</v>
      </c>
      <c r="P685" s="70">
        <v>0</v>
      </c>
      <c r="Q685" s="70">
        <v>7</v>
      </c>
      <c r="R685" s="70">
        <v>8</v>
      </c>
      <c r="S685" s="68" t="str">
        <f t="shared" si="28"/>
        <v/>
      </c>
      <c r="T685" s="68"/>
      <c r="U685" s="68"/>
      <c r="V685" s="68"/>
      <c r="W685" s="9"/>
      <c r="X685" s="10"/>
      <c r="Y685" s="71">
        <f t="shared" si="29"/>
        <v>7</v>
      </c>
      <c r="Z685" s="73">
        <f t="shared" si="30"/>
        <v>8</v>
      </c>
      <c r="AA685" s="11" t="str">
        <f t="shared" si="31"/>
        <v/>
      </c>
      <c r="AB685" s="73">
        <f t="shared" si="32"/>
        <v>8</v>
      </c>
      <c r="AC685" s="11" t="str">
        <f t="shared" si="33"/>
        <v/>
      </c>
      <c r="AD685" s="73">
        <f t="shared" si="34"/>
        <v>1</v>
      </c>
      <c r="AE685" s="11" t="str">
        <f t="shared" si="35"/>
        <v/>
      </c>
      <c r="AF685" s="73">
        <f t="shared" si="36"/>
        <v>8.0006850000000007</v>
      </c>
      <c r="AG685" s="11" t="str">
        <f t="shared" si="37"/>
        <v/>
      </c>
      <c r="AH685" s="73">
        <f t="shared" si="38"/>
        <v>1.000685</v>
      </c>
    </row>
    <row r="686" spans="1:34" ht="14.25" customHeight="1">
      <c r="A686" s="11">
        <v>671</v>
      </c>
      <c r="B686" s="66" t="s">
        <v>35</v>
      </c>
      <c r="C686" s="67">
        <v>42552</v>
      </c>
      <c r="D686" s="67"/>
      <c r="E686" s="67"/>
      <c r="F686" s="67"/>
      <c r="G686" s="67" t="s">
        <v>35</v>
      </c>
      <c r="H686" s="67">
        <v>42669</v>
      </c>
      <c r="I686" s="6" t="s">
        <v>1281</v>
      </c>
      <c r="J686" s="9">
        <v>3818100285</v>
      </c>
      <c r="K686" s="68">
        <v>42551</v>
      </c>
      <c r="L686" s="68">
        <v>46022</v>
      </c>
      <c r="M686" s="68">
        <v>46203</v>
      </c>
      <c r="N686" s="69">
        <f t="shared" si="26"/>
        <v>0</v>
      </c>
      <c r="O686" s="69">
        <f t="shared" si="27"/>
        <v>0</v>
      </c>
      <c r="P686" s="70">
        <v>2</v>
      </c>
      <c r="Q686" s="70">
        <v>2</v>
      </c>
      <c r="R686" s="70">
        <v>2</v>
      </c>
      <c r="S686" s="68" t="str">
        <f t="shared" si="28"/>
        <v/>
      </c>
      <c r="T686" s="68"/>
      <c r="U686" s="68"/>
      <c r="V686" s="68"/>
      <c r="W686" s="9"/>
      <c r="X686" s="10"/>
      <c r="Y686" s="71">
        <f t="shared" si="29"/>
        <v>2</v>
      </c>
      <c r="Z686" s="73">
        <f t="shared" si="30"/>
        <v>2</v>
      </c>
      <c r="AA686" s="73">
        <f t="shared" si="31"/>
        <v>0</v>
      </c>
      <c r="AB686" s="73">
        <f t="shared" si="32"/>
        <v>0</v>
      </c>
      <c r="AC686" s="73">
        <f t="shared" si="33"/>
        <v>0</v>
      </c>
      <c r="AD686" s="73">
        <f t="shared" si="34"/>
        <v>0</v>
      </c>
      <c r="AE686" s="73">
        <f t="shared" si="35"/>
        <v>6.8599999999999998E-4</v>
      </c>
      <c r="AF686" s="73">
        <f t="shared" si="36"/>
        <v>6.8599999999999998E-4</v>
      </c>
      <c r="AG686" s="73">
        <f t="shared" si="37"/>
        <v>6.8599999999999998E-4</v>
      </c>
      <c r="AH686" s="73">
        <f t="shared" si="38"/>
        <v>6.8599999999999998E-4</v>
      </c>
    </row>
    <row r="687" spans="1:34" ht="14.25" customHeight="1">
      <c r="A687" s="11">
        <v>672</v>
      </c>
      <c r="B687" s="66" t="s">
        <v>35</v>
      </c>
      <c r="C687" s="67">
        <v>44165</v>
      </c>
      <c r="D687" s="67">
        <v>44277</v>
      </c>
      <c r="E687" s="67"/>
      <c r="F687" s="67"/>
      <c r="G687" s="67" t="s">
        <v>35</v>
      </c>
      <c r="H687" s="67">
        <v>44768</v>
      </c>
      <c r="I687" s="6" t="s">
        <v>1282</v>
      </c>
      <c r="J687" s="9">
        <v>3838100791</v>
      </c>
      <c r="K687" s="68">
        <v>44135</v>
      </c>
      <c r="L687" s="68">
        <v>46022</v>
      </c>
      <c r="M687" s="68">
        <v>46203</v>
      </c>
      <c r="N687" s="69">
        <f t="shared" si="26"/>
        <v>5</v>
      </c>
      <c r="O687" s="69">
        <f t="shared" si="27"/>
        <v>1</v>
      </c>
      <c r="P687" s="70">
        <v>5</v>
      </c>
      <c r="Q687" s="70">
        <v>9</v>
      </c>
      <c r="R687" s="70">
        <v>10</v>
      </c>
      <c r="S687" s="68" t="str">
        <f t="shared" si="28"/>
        <v/>
      </c>
      <c r="T687" s="68"/>
      <c r="U687" s="68"/>
      <c r="V687" s="68"/>
      <c r="W687" s="9"/>
      <c r="X687" s="10"/>
      <c r="Y687" s="71">
        <f t="shared" si="29"/>
        <v>9</v>
      </c>
      <c r="Z687" s="73">
        <f t="shared" si="30"/>
        <v>10</v>
      </c>
      <c r="AA687" s="73">
        <f t="shared" si="31"/>
        <v>5</v>
      </c>
      <c r="AB687" s="73">
        <f t="shared" si="32"/>
        <v>5</v>
      </c>
      <c r="AC687" s="73">
        <f t="shared" si="33"/>
        <v>1</v>
      </c>
      <c r="AD687" s="73">
        <f t="shared" si="34"/>
        <v>1</v>
      </c>
      <c r="AE687" s="73">
        <f t="shared" si="35"/>
        <v>5.0006870000000001</v>
      </c>
      <c r="AF687" s="73">
        <f t="shared" si="36"/>
        <v>5.0006870000000001</v>
      </c>
      <c r="AG687" s="73">
        <f t="shared" si="37"/>
        <v>1.0006870000000001</v>
      </c>
      <c r="AH687" s="73">
        <f t="shared" si="38"/>
        <v>1.0006870000000001</v>
      </c>
    </row>
    <row r="688" spans="1:34" ht="14.25" customHeight="1">
      <c r="A688" s="11">
        <v>673</v>
      </c>
      <c r="B688" s="66" t="s">
        <v>35</v>
      </c>
      <c r="C688" s="67">
        <v>45078</v>
      </c>
      <c r="D688" s="67">
        <v>45260</v>
      </c>
      <c r="E688" s="67">
        <v>45839</v>
      </c>
      <c r="F688" s="67"/>
      <c r="G688" s="67" t="s">
        <v>35</v>
      </c>
      <c r="H688" s="67">
        <v>45891</v>
      </c>
      <c r="I688" s="6" t="s">
        <v>1283</v>
      </c>
      <c r="J688" s="9">
        <v>3838602469</v>
      </c>
      <c r="K688" s="68">
        <v>45077</v>
      </c>
      <c r="L688" s="68">
        <v>46022</v>
      </c>
      <c r="M688" s="68">
        <v>46203</v>
      </c>
      <c r="N688" s="69">
        <f t="shared" si="26"/>
        <v>49</v>
      </c>
      <c r="O688" s="69">
        <f t="shared" si="27"/>
        <v>23</v>
      </c>
      <c r="P688" s="70">
        <v>6</v>
      </c>
      <c r="Q688" s="70">
        <v>32</v>
      </c>
      <c r="R688" s="70">
        <v>55</v>
      </c>
      <c r="S688" s="68" t="str">
        <f t="shared" si="28"/>
        <v/>
      </c>
      <c r="T688" s="68"/>
      <c r="U688" s="68"/>
      <c r="V688" s="68"/>
      <c r="W688" s="9"/>
      <c r="X688" s="10"/>
      <c r="Y688" s="71">
        <f t="shared" si="29"/>
        <v>32</v>
      </c>
      <c r="Z688" s="73">
        <f t="shared" si="30"/>
        <v>55</v>
      </c>
      <c r="AA688" s="73">
        <f t="shared" si="31"/>
        <v>49</v>
      </c>
      <c r="AB688" s="73">
        <f t="shared" si="32"/>
        <v>49</v>
      </c>
      <c r="AC688" s="73">
        <f t="shared" si="33"/>
        <v>23</v>
      </c>
      <c r="AD688" s="73">
        <f t="shared" si="34"/>
        <v>23</v>
      </c>
      <c r="AE688" s="73">
        <f t="shared" si="35"/>
        <v>49.000687999999997</v>
      </c>
      <c r="AF688" s="73">
        <f t="shared" si="36"/>
        <v>49.000687999999997</v>
      </c>
      <c r="AG688" s="73">
        <f t="shared" si="37"/>
        <v>23.000688</v>
      </c>
      <c r="AH688" s="73">
        <f t="shared" si="38"/>
        <v>23.000688</v>
      </c>
    </row>
    <row r="689" spans="1:34" ht="14.25" customHeight="1">
      <c r="A689" s="11">
        <v>674</v>
      </c>
      <c r="B689" s="66"/>
      <c r="C689" s="67"/>
      <c r="D689" s="67"/>
      <c r="E689" s="67"/>
      <c r="F689" s="67"/>
      <c r="G689" s="67" t="s">
        <v>24</v>
      </c>
      <c r="H689" s="67">
        <v>42684</v>
      </c>
      <c r="I689" s="6" t="s">
        <v>1284</v>
      </c>
      <c r="J689" s="9">
        <v>3848100305</v>
      </c>
      <c r="K689" s="68">
        <v>42674</v>
      </c>
      <c r="L689" s="68" t="s">
        <v>230</v>
      </c>
      <c r="M689" s="68">
        <v>44834</v>
      </c>
      <c r="N689" s="69">
        <f t="shared" si="26"/>
        <v>-4</v>
      </c>
      <c r="O689" s="69" t="str">
        <f t="shared" si="27"/>
        <v>N/A</v>
      </c>
      <c r="P689" s="70">
        <v>4</v>
      </c>
      <c r="Q689" s="70"/>
      <c r="R689" s="70">
        <v>0</v>
      </c>
      <c r="S689" s="68">
        <f t="shared" si="28"/>
        <v>44810</v>
      </c>
      <c r="T689" s="68">
        <v>44810</v>
      </c>
      <c r="U689" s="68"/>
      <c r="V689" s="68"/>
      <c r="W689" s="9"/>
      <c r="X689" s="10"/>
      <c r="Y689" s="65" t="str">
        <f t="shared" si="29"/>
        <v/>
      </c>
      <c r="Z689" s="11" t="str">
        <f t="shared" si="30"/>
        <v/>
      </c>
      <c r="AA689" s="11" t="str">
        <f t="shared" si="31"/>
        <v/>
      </c>
      <c r="AB689" s="73">
        <f t="shared" si="32"/>
        <v>-4</v>
      </c>
      <c r="AC689" s="11" t="str">
        <f t="shared" si="33"/>
        <v/>
      </c>
      <c r="AD689" s="11" t="str">
        <f t="shared" si="34"/>
        <v/>
      </c>
      <c r="AE689" s="11" t="str">
        <f t="shared" si="35"/>
        <v/>
      </c>
      <c r="AF689" s="73">
        <f t="shared" si="36"/>
        <v>-3.9993110000000001</v>
      </c>
      <c r="AG689" s="11" t="str">
        <f t="shared" si="37"/>
        <v/>
      </c>
      <c r="AH689" s="11" t="str">
        <f t="shared" si="38"/>
        <v/>
      </c>
    </row>
    <row r="690" spans="1:34" ht="14.25" customHeight="1">
      <c r="A690" s="11">
        <v>675</v>
      </c>
      <c r="B690" s="66"/>
      <c r="C690" s="67"/>
      <c r="D690" s="67"/>
      <c r="E690" s="67"/>
      <c r="F690" s="67"/>
      <c r="G690" s="67" t="s">
        <v>35</v>
      </c>
      <c r="H690" s="67">
        <v>45630</v>
      </c>
      <c r="I690" s="6" t="s">
        <v>1285</v>
      </c>
      <c r="J690" s="9">
        <v>3848101094</v>
      </c>
      <c r="K690" s="68">
        <v>45626</v>
      </c>
      <c r="L690" s="68">
        <v>46022</v>
      </c>
      <c r="M690" s="68">
        <v>46203</v>
      </c>
      <c r="N690" s="69">
        <f t="shared" si="26"/>
        <v>-4</v>
      </c>
      <c r="O690" s="69">
        <f t="shared" si="27"/>
        <v>-9</v>
      </c>
      <c r="P690" s="70">
        <v>16</v>
      </c>
      <c r="Q690" s="70">
        <v>21</v>
      </c>
      <c r="R690" s="70">
        <v>12</v>
      </c>
      <c r="S690" s="68" t="str">
        <f t="shared" si="28"/>
        <v/>
      </c>
      <c r="T690" s="68"/>
      <c r="U690" s="68"/>
      <c r="V690" s="68"/>
      <c r="W690" s="9"/>
      <c r="X690" s="10"/>
      <c r="Y690" s="71">
        <f t="shared" si="29"/>
        <v>21</v>
      </c>
      <c r="Z690" s="73">
        <f t="shared" si="30"/>
        <v>12</v>
      </c>
      <c r="AA690" s="11" t="str">
        <f t="shared" si="31"/>
        <v/>
      </c>
      <c r="AB690" s="73">
        <f t="shared" si="32"/>
        <v>-4</v>
      </c>
      <c r="AC690" s="11" t="str">
        <f t="shared" si="33"/>
        <v/>
      </c>
      <c r="AD690" s="73">
        <f t="shared" si="34"/>
        <v>-9</v>
      </c>
      <c r="AE690" s="11" t="str">
        <f t="shared" si="35"/>
        <v/>
      </c>
      <c r="AF690" s="73">
        <f t="shared" si="36"/>
        <v>-3.9993099999999999</v>
      </c>
      <c r="AG690" s="11" t="str">
        <f t="shared" si="37"/>
        <v/>
      </c>
      <c r="AH690" s="73">
        <f t="shared" si="38"/>
        <v>-8.9993099999999995</v>
      </c>
    </row>
    <row r="691" spans="1:34" ht="14.25" customHeight="1">
      <c r="A691" s="11">
        <v>676</v>
      </c>
      <c r="B691" s="66"/>
      <c r="C691" s="67"/>
      <c r="D691" s="67"/>
      <c r="E691" s="67"/>
      <c r="F691" s="67"/>
      <c r="G691" s="67" t="s">
        <v>35</v>
      </c>
      <c r="H691" s="67">
        <v>45504</v>
      </c>
      <c r="I691" s="6" t="s">
        <v>1286</v>
      </c>
      <c r="J691" s="9">
        <v>3848801400</v>
      </c>
      <c r="K691" s="68">
        <v>45473</v>
      </c>
      <c r="L691" s="68">
        <v>46022</v>
      </c>
      <c r="M691" s="68">
        <v>46203</v>
      </c>
      <c r="N691" s="69">
        <f t="shared" si="26"/>
        <v>25</v>
      </c>
      <c r="O691" s="69">
        <f t="shared" si="27"/>
        <v>3</v>
      </c>
      <c r="P691" s="70">
        <v>23</v>
      </c>
      <c r="Q691" s="70">
        <v>45</v>
      </c>
      <c r="R691" s="70">
        <v>48</v>
      </c>
      <c r="S691" s="68" t="str">
        <f t="shared" si="28"/>
        <v/>
      </c>
      <c r="T691" s="68"/>
      <c r="U691" s="68"/>
      <c r="V691" s="68"/>
      <c r="W691" s="9"/>
      <c r="X691" s="10"/>
      <c r="Y691" s="71">
        <f t="shared" si="29"/>
        <v>45</v>
      </c>
      <c r="Z691" s="73">
        <f t="shared" si="30"/>
        <v>48</v>
      </c>
      <c r="AA691" s="11" t="str">
        <f t="shared" si="31"/>
        <v/>
      </c>
      <c r="AB691" s="73">
        <f t="shared" si="32"/>
        <v>25</v>
      </c>
      <c r="AC691" s="11" t="str">
        <f t="shared" si="33"/>
        <v/>
      </c>
      <c r="AD691" s="73">
        <f t="shared" si="34"/>
        <v>3</v>
      </c>
      <c r="AE691" s="11" t="str">
        <f t="shared" si="35"/>
        <v/>
      </c>
      <c r="AF691" s="73">
        <f t="shared" si="36"/>
        <v>25.000691</v>
      </c>
      <c r="AG691" s="11" t="str">
        <f t="shared" si="37"/>
        <v/>
      </c>
      <c r="AH691" s="73">
        <f t="shared" si="38"/>
        <v>3.0006910000000002</v>
      </c>
    </row>
    <row r="692" spans="1:34" ht="14.25" customHeight="1">
      <c r="A692" s="11">
        <v>677</v>
      </c>
      <c r="B692" s="66"/>
      <c r="C692" s="67"/>
      <c r="D692" s="67"/>
      <c r="E692" s="67"/>
      <c r="F692" s="67"/>
      <c r="G692" s="67" t="s">
        <v>35</v>
      </c>
      <c r="H692" s="67">
        <v>44617</v>
      </c>
      <c r="I692" s="6" t="s">
        <v>1287</v>
      </c>
      <c r="J692" s="9">
        <v>3858100254</v>
      </c>
      <c r="K692" s="68">
        <v>44592</v>
      </c>
      <c r="L692" s="68">
        <v>46022</v>
      </c>
      <c r="M692" s="68">
        <v>46203</v>
      </c>
      <c r="N692" s="69">
        <f t="shared" si="26"/>
        <v>-4</v>
      </c>
      <c r="O692" s="69">
        <f t="shared" si="27"/>
        <v>3</v>
      </c>
      <c r="P692" s="70">
        <v>27</v>
      </c>
      <c r="Q692" s="70">
        <v>20</v>
      </c>
      <c r="R692" s="70">
        <v>23</v>
      </c>
      <c r="S692" s="68" t="str">
        <f t="shared" si="28"/>
        <v/>
      </c>
      <c r="T692" s="68"/>
      <c r="U692" s="68"/>
      <c r="V692" s="68"/>
      <c r="W692" s="9"/>
      <c r="X692" s="10"/>
      <c r="Y692" s="71">
        <f t="shared" si="29"/>
        <v>20</v>
      </c>
      <c r="Z692" s="73">
        <f t="shared" si="30"/>
        <v>23</v>
      </c>
      <c r="AA692" s="11" t="str">
        <f t="shared" si="31"/>
        <v/>
      </c>
      <c r="AB692" s="73">
        <f t="shared" si="32"/>
        <v>-4</v>
      </c>
      <c r="AC692" s="11" t="str">
        <f t="shared" si="33"/>
        <v/>
      </c>
      <c r="AD692" s="73">
        <f t="shared" si="34"/>
        <v>3</v>
      </c>
      <c r="AE692" s="11" t="str">
        <f t="shared" si="35"/>
        <v/>
      </c>
      <c r="AF692" s="73">
        <f t="shared" si="36"/>
        <v>-3.9993080000000001</v>
      </c>
      <c r="AG692" s="11" t="str">
        <f t="shared" si="37"/>
        <v/>
      </c>
      <c r="AH692" s="73">
        <f t="shared" si="38"/>
        <v>3.0006919999999999</v>
      </c>
    </row>
    <row r="693" spans="1:34" ht="14.25" customHeight="1">
      <c r="A693" s="11">
        <v>678</v>
      </c>
      <c r="B693" s="66" t="s">
        <v>1288</v>
      </c>
      <c r="C693" s="67">
        <v>44986</v>
      </c>
      <c r="D693" s="67">
        <v>44921</v>
      </c>
      <c r="E693" s="67"/>
      <c r="F693" s="67"/>
      <c r="G693" s="67"/>
      <c r="H693" s="67"/>
      <c r="I693" s="6" t="s">
        <v>1289</v>
      </c>
      <c r="J693" s="9">
        <v>3858702123</v>
      </c>
      <c r="K693" s="68">
        <v>44895</v>
      </c>
      <c r="L693" s="68">
        <v>46022</v>
      </c>
      <c r="M693" s="68">
        <v>46203</v>
      </c>
      <c r="N693" s="69">
        <f t="shared" si="26"/>
        <v>8</v>
      </c>
      <c r="O693" s="69">
        <f t="shared" si="27"/>
        <v>5</v>
      </c>
      <c r="P693" s="70">
        <v>2</v>
      </c>
      <c r="Q693" s="70">
        <v>5</v>
      </c>
      <c r="R693" s="70">
        <v>10</v>
      </c>
      <c r="S693" s="68" t="str">
        <f t="shared" si="28"/>
        <v/>
      </c>
      <c r="T693" s="68"/>
      <c r="U693" s="68">
        <v>46022</v>
      </c>
      <c r="V693" s="68"/>
      <c r="W693" s="9"/>
      <c r="X693" s="10"/>
      <c r="Y693" s="71">
        <f t="shared" si="29"/>
        <v>5</v>
      </c>
      <c r="Z693" s="73">
        <f t="shared" si="30"/>
        <v>10</v>
      </c>
      <c r="AA693" s="73">
        <f t="shared" si="31"/>
        <v>8</v>
      </c>
      <c r="AB693" s="11" t="str">
        <f t="shared" si="32"/>
        <v/>
      </c>
      <c r="AC693" s="73">
        <f t="shared" si="33"/>
        <v>5</v>
      </c>
      <c r="AD693" s="11" t="str">
        <f t="shared" si="34"/>
        <v/>
      </c>
      <c r="AE693" s="73">
        <f t="shared" si="35"/>
        <v>8.0006930000000001</v>
      </c>
      <c r="AF693" s="11" t="str">
        <f t="shared" si="36"/>
        <v/>
      </c>
      <c r="AG693" s="73">
        <f t="shared" si="37"/>
        <v>5.0006930000000001</v>
      </c>
      <c r="AH693" s="11" t="str">
        <f t="shared" si="38"/>
        <v/>
      </c>
    </row>
    <row r="694" spans="1:34" ht="14.25" customHeight="1">
      <c r="A694" s="11">
        <v>679</v>
      </c>
      <c r="B694" s="66"/>
      <c r="C694" s="67"/>
      <c r="D694" s="67"/>
      <c r="E694" s="67"/>
      <c r="F694" s="67"/>
      <c r="G694" s="67" t="s">
        <v>35</v>
      </c>
      <c r="H694" s="67">
        <v>44977</v>
      </c>
      <c r="I694" s="6" t="s">
        <v>1290</v>
      </c>
      <c r="J694" s="9">
        <v>3858702889</v>
      </c>
      <c r="K694" s="68">
        <v>44957</v>
      </c>
      <c r="L694" s="68">
        <v>46022</v>
      </c>
      <c r="M694" s="68">
        <v>46203</v>
      </c>
      <c r="N694" s="69">
        <f t="shared" si="26"/>
        <v>2</v>
      </c>
      <c r="O694" s="69">
        <f t="shared" si="27"/>
        <v>0</v>
      </c>
      <c r="P694" s="70">
        <v>0</v>
      </c>
      <c r="Q694" s="70">
        <v>2</v>
      </c>
      <c r="R694" s="70">
        <v>2</v>
      </c>
      <c r="S694" s="68" t="str">
        <f t="shared" si="28"/>
        <v/>
      </c>
      <c r="T694" s="68"/>
      <c r="U694" s="68"/>
      <c r="V694" s="68"/>
      <c r="W694" s="9"/>
      <c r="X694" s="10"/>
      <c r="Y694" s="71">
        <f t="shared" si="29"/>
        <v>2</v>
      </c>
      <c r="Z694" s="73">
        <f t="shared" si="30"/>
        <v>2</v>
      </c>
      <c r="AA694" s="11" t="str">
        <f t="shared" si="31"/>
        <v/>
      </c>
      <c r="AB694" s="73">
        <f t="shared" si="32"/>
        <v>2</v>
      </c>
      <c r="AC694" s="11" t="str">
        <f t="shared" si="33"/>
        <v/>
      </c>
      <c r="AD694" s="73">
        <f t="shared" si="34"/>
        <v>0</v>
      </c>
      <c r="AE694" s="11" t="str">
        <f t="shared" si="35"/>
        <v/>
      </c>
      <c r="AF694" s="73">
        <f t="shared" si="36"/>
        <v>2.0006940000000002</v>
      </c>
      <c r="AG694" s="11" t="str">
        <f t="shared" si="37"/>
        <v/>
      </c>
      <c r="AH694" s="73">
        <f t="shared" si="38"/>
        <v>6.9399999999999996E-4</v>
      </c>
    </row>
    <row r="695" spans="1:34" ht="14.25" customHeight="1">
      <c r="A695" s="11">
        <v>680</v>
      </c>
      <c r="B695" s="66" t="s">
        <v>24</v>
      </c>
      <c r="C695" s="67"/>
      <c r="D695" s="67">
        <v>44084</v>
      </c>
      <c r="E695" s="67"/>
      <c r="F695" s="67"/>
      <c r="G695" s="67"/>
      <c r="H695" s="67"/>
      <c r="I695" s="6" t="s">
        <v>1291</v>
      </c>
      <c r="J695" s="9">
        <v>3878600876</v>
      </c>
      <c r="K695" s="68">
        <v>44074</v>
      </c>
      <c r="L695" s="68">
        <v>46022</v>
      </c>
      <c r="M695" s="68">
        <v>46022</v>
      </c>
      <c r="N695" s="69">
        <f t="shared" si="26"/>
        <v>-3</v>
      </c>
      <c r="O695" s="69" t="str">
        <f t="shared" si="27"/>
        <v>N/A</v>
      </c>
      <c r="P695" s="70">
        <v>3</v>
      </c>
      <c r="Q695" s="70">
        <v>0</v>
      </c>
      <c r="R695" s="70">
        <v>0</v>
      </c>
      <c r="S695" s="68">
        <f t="shared" si="28"/>
        <v>46017</v>
      </c>
      <c r="T695" s="68">
        <v>46017</v>
      </c>
      <c r="U695" s="68">
        <v>46022</v>
      </c>
      <c r="V695" s="68"/>
      <c r="W695" s="9"/>
      <c r="X695" s="10"/>
      <c r="Y695" s="65" t="str">
        <f t="shared" si="29"/>
        <v/>
      </c>
      <c r="Z695" s="11" t="str">
        <f t="shared" si="30"/>
        <v/>
      </c>
      <c r="AA695" s="73">
        <f t="shared" si="31"/>
        <v>-3</v>
      </c>
      <c r="AB695" s="11" t="str">
        <f t="shared" si="32"/>
        <v/>
      </c>
      <c r="AC695" s="11" t="str">
        <f t="shared" si="33"/>
        <v/>
      </c>
      <c r="AD695" s="11" t="str">
        <f t="shared" si="34"/>
        <v/>
      </c>
      <c r="AE695" s="73">
        <f t="shared" si="35"/>
        <v>-2.9993050000000001</v>
      </c>
      <c r="AF695" s="11" t="str">
        <f t="shared" si="36"/>
        <v/>
      </c>
      <c r="AG695" s="11" t="str">
        <f t="shared" si="37"/>
        <v/>
      </c>
      <c r="AH695" s="11" t="str">
        <f t="shared" si="38"/>
        <v/>
      </c>
    </row>
    <row r="696" spans="1:34" ht="14.25" customHeight="1">
      <c r="A696" s="11">
        <v>681</v>
      </c>
      <c r="B696" s="66"/>
      <c r="C696" s="67"/>
      <c r="D696" s="67"/>
      <c r="E696" s="67"/>
      <c r="F696" s="67"/>
      <c r="G696" s="67" t="s">
        <v>35</v>
      </c>
      <c r="H696" s="67">
        <v>45426</v>
      </c>
      <c r="I696" s="6" t="s">
        <v>1292</v>
      </c>
      <c r="J696" s="9">
        <v>3888103060</v>
      </c>
      <c r="K696" s="68">
        <v>45412</v>
      </c>
      <c r="L696" s="68">
        <v>46022</v>
      </c>
      <c r="M696" s="68">
        <v>46203</v>
      </c>
      <c r="N696" s="69">
        <f t="shared" si="26"/>
        <v>7</v>
      </c>
      <c r="O696" s="69">
        <f t="shared" si="27"/>
        <v>5</v>
      </c>
      <c r="P696" s="70">
        <v>9</v>
      </c>
      <c r="Q696" s="70">
        <v>11</v>
      </c>
      <c r="R696" s="70">
        <v>16</v>
      </c>
      <c r="S696" s="68" t="str">
        <f t="shared" si="28"/>
        <v/>
      </c>
      <c r="T696" s="68"/>
      <c r="U696" s="68"/>
      <c r="V696" s="68"/>
      <c r="W696" s="9"/>
      <c r="X696" s="10"/>
      <c r="Y696" s="71">
        <f t="shared" si="29"/>
        <v>11</v>
      </c>
      <c r="Z696" s="73">
        <f t="shared" si="30"/>
        <v>16</v>
      </c>
      <c r="AA696" s="11" t="str">
        <f t="shared" si="31"/>
        <v/>
      </c>
      <c r="AB696" s="73">
        <f t="shared" si="32"/>
        <v>7</v>
      </c>
      <c r="AC696" s="11" t="str">
        <f t="shared" si="33"/>
        <v/>
      </c>
      <c r="AD696" s="73">
        <f t="shared" si="34"/>
        <v>5</v>
      </c>
      <c r="AE696" s="11" t="str">
        <f t="shared" si="35"/>
        <v/>
      </c>
      <c r="AF696" s="73">
        <f t="shared" si="36"/>
        <v>7.0006959999999996</v>
      </c>
      <c r="AG696" s="11" t="str">
        <f t="shared" si="37"/>
        <v/>
      </c>
      <c r="AH696" s="73">
        <f t="shared" si="38"/>
        <v>5.0006959999999996</v>
      </c>
    </row>
    <row r="697" spans="1:34" ht="14.25" customHeight="1">
      <c r="A697" s="11">
        <v>682</v>
      </c>
      <c r="B697" s="66" t="s">
        <v>35</v>
      </c>
      <c r="C697" s="67">
        <v>44998</v>
      </c>
      <c r="D697" s="67">
        <v>45013</v>
      </c>
      <c r="E697" s="67"/>
      <c r="F697" s="67"/>
      <c r="G697" s="67"/>
      <c r="H697" s="67"/>
      <c r="I697" s="6" t="s">
        <v>1293</v>
      </c>
      <c r="J697" s="9">
        <v>3888702272</v>
      </c>
      <c r="K697" s="68">
        <v>44985</v>
      </c>
      <c r="L697" s="68">
        <v>46022</v>
      </c>
      <c r="M697" s="68">
        <v>46203</v>
      </c>
      <c r="N697" s="69">
        <f t="shared" si="26"/>
        <v>3</v>
      </c>
      <c r="O697" s="69">
        <f t="shared" si="27"/>
        <v>1</v>
      </c>
      <c r="P697" s="70">
        <v>5</v>
      </c>
      <c r="Q697" s="70">
        <v>7</v>
      </c>
      <c r="R697" s="70">
        <v>8</v>
      </c>
      <c r="S697" s="68" t="str">
        <f t="shared" si="28"/>
        <v/>
      </c>
      <c r="T697" s="68"/>
      <c r="U697" s="68"/>
      <c r="V697" s="68"/>
      <c r="W697" s="9"/>
      <c r="X697" s="10"/>
      <c r="Y697" s="71">
        <f t="shared" si="29"/>
        <v>7</v>
      </c>
      <c r="Z697" s="73">
        <f t="shared" si="30"/>
        <v>8</v>
      </c>
      <c r="AA697" s="73">
        <f t="shared" si="31"/>
        <v>3</v>
      </c>
      <c r="AB697" s="11" t="str">
        <f t="shared" si="32"/>
        <v/>
      </c>
      <c r="AC697" s="73">
        <f t="shared" si="33"/>
        <v>1</v>
      </c>
      <c r="AD697" s="11" t="str">
        <f t="shared" si="34"/>
        <v/>
      </c>
      <c r="AE697" s="73">
        <f t="shared" si="35"/>
        <v>3.0006970000000002</v>
      </c>
      <c r="AF697" s="11" t="str">
        <f t="shared" si="36"/>
        <v/>
      </c>
      <c r="AG697" s="73">
        <f t="shared" si="37"/>
        <v>1.0006969999999999</v>
      </c>
      <c r="AH697" s="11" t="str">
        <f t="shared" si="38"/>
        <v/>
      </c>
    </row>
    <row r="698" spans="1:34" ht="14.25" customHeight="1">
      <c r="A698" s="11">
        <v>683</v>
      </c>
      <c r="B698" s="66"/>
      <c r="C698" s="67"/>
      <c r="D698" s="67"/>
      <c r="E698" s="67"/>
      <c r="F698" s="67"/>
      <c r="G698" s="67" t="s">
        <v>35</v>
      </c>
      <c r="H698" s="67">
        <v>45911</v>
      </c>
      <c r="I698" s="6" t="s">
        <v>1294</v>
      </c>
      <c r="J698" s="94">
        <v>3898803534</v>
      </c>
      <c r="K698" s="68">
        <v>45900</v>
      </c>
      <c r="L698" s="68">
        <v>46022</v>
      </c>
      <c r="M698" s="68">
        <v>46203</v>
      </c>
      <c r="N698" s="69">
        <f t="shared" si="26"/>
        <v>2</v>
      </c>
      <c r="O698" s="69">
        <f t="shared" si="27"/>
        <v>1</v>
      </c>
      <c r="P698" s="123">
        <v>0</v>
      </c>
      <c r="Q698" s="70">
        <v>1</v>
      </c>
      <c r="R698" s="70">
        <v>2</v>
      </c>
      <c r="S698" s="68" t="str">
        <f t="shared" si="28"/>
        <v/>
      </c>
      <c r="T698" s="68"/>
      <c r="U698" s="95"/>
      <c r="V698" s="68"/>
      <c r="W698" s="6"/>
      <c r="X698" s="10"/>
      <c r="Y698" s="71">
        <f t="shared" si="29"/>
        <v>1</v>
      </c>
      <c r="Z698" s="73">
        <f t="shared" si="30"/>
        <v>2</v>
      </c>
      <c r="AA698" s="11" t="str">
        <f t="shared" si="31"/>
        <v/>
      </c>
      <c r="AB698" s="73">
        <f t="shared" si="32"/>
        <v>2</v>
      </c>
      <c r="AC698" s="11" t="str">
        <f t="shared" si="33"/>
        <v/>
      </c>
      <c r="AD698" s="73">
        <f t="shared" si="34"/>
        <v>1</v>
      </c>
      <c r="AE698" s="11" t="str">
        <f t="shared" si="35"/>
        <v/>
      </c>
      <c r="AF698" s="73">
        <f t="shared" si="36"/>
        <v>2.0006979999999999</v>
      </c>
      <c r="AG698" s="11" t="str">
        <f t="shared" si="37"/>
        <v/>
      </c>
      <c r="AH698" s="73">
        <f t="shared" si="38"/>
        <v>1.0006980000000001</v>
      </c>
    </row>
    <row r="699" spans="1:34" ht="14.25" customHeight="1">
      <c r="A699" s="11">
        <v>684</v>
      </c>
      <c r="B699" s="66"/>
      <c r="C699" s="67"/>
      <c r="D699" s="67"/>
      <c r="E699" s="67"/>
      <c r="F699" s="67"/>
      <c r="G699" s="67" t="s">
        <v>35</v>
      </c>
      <c r="H699" s="67">
        <v>43879</v>
      </c>
      <c r="I699" s="6" t="s">
        <v>1295</v>
      </c>
      <c r="J699" s="9">
        <v>3908100348</v>
      </c>
      <c r="K699" s="68">
        <v>43861</v>
      </c>
      <c r="L699" s="68">
        <v>46022</v>
      </c>
      <c r="M699" s="68">
        <v>46203</v>
      </c>
      <c r="N699" s="69">
        <f t="shared" si="26"/>
        <v>2</v>
      </c>
      <c r="O699" s="69">
        <f t="shared" si="27"/>
        <v>0</v>
      </c>
      <c r="P699" s="70">
        <v>9</v>
      </c>
      <c r="Q699" s="70">
        <v>11</v>
      </c>
      <c r="R699" s="70">
        <v>11</v>
      </c>
      <c r="S699" s="68" t="str">
        <f t="shared" si="28"/>
        <v/>
      </c>
      <c r="T699" s="68"/>
      <c r="U699" s="68"/>
      <c r="V699" s="68"/>
      <c r="W699" s="9"/>
      <c r="X699" s="10"/>
      <c r="Y699" s="71">
        <f t="shared" si="29"/>
        <v>11</v>
      </c>
      <c r="Z699" s="73">
        <f t="shared" si="30"/>
        <v>11</v>
      </c>
      <c r="AA699" s="11" t="str">
        <f t="shared" si="31"/>
        <v/>
      </c>
      <c r="AB699" s="73">
        <f t="shared" si="32"/>
        <v>2</v>
      </c>
      <c r="AC699" s="11" t="str">
        <f t="shared" si="33"/>
        <v/>
      </c>
      <c r="AD699" s="73">
        <f t="shared" si="34"/>
        <v>0</v>
      </c>
      <c r="AE699" s="11" t="str">
        <f t="shared" si="35"/>
        <v/>
      </c>
      <c r="AF699" s="73">
        <f t="shared" si="36"/>
        <v>2.000699</v>
      </c>
      <c r="AG699" s="11" t="str">
        <f t="shared" si="37"/>
        <v/>
      </c>
      <c r="AH699" s="73">
        <f t="shared" si="38"/>
        <v>6.9899999999999997E-4</v>
      </c>
    </row>
    <row r="700" spans="1:34" ht="14.25" customHeight="1">
      <c r="A700" s="11">
        <v>685</v>
      </c>
      <c r="B700" s="66"/>
      <c r="C700" s="67"/>
      <c r="D700" s="67"/>
      <c r="E700" s="67"/>
      <c r="F700" s="67"/>
      <c r="G700" s="67" t="s">
        <v>35</v>
      </c>
      <c r="H700" s="67">
        <v>44407</v>
      </c>
      <c r="I700" s="6" t="s">
        <v>1296</v>
      </c>
      <c r="J700" s="9">
        <v>3908700239</v>
      </c>
      <c r="K700" s="68">
        <v>44377</v>
      </c>
      <c r="L700" s="68">
        <v>46022</v>
      </c>
      <c r="M700" s="68">
        <v>46203</v>
      </c>
      <c r="N700" s="69">
        <f t="shared" si="26"/>
        <v>-9</v>
      </c>
      <c r="O700" s="69">
        <f t="shared" si="27"/>
        <v>3</v>
      </c>
      <c r="P700" s="70">
        <v>31</v>
      </c>
      <c r="Q700" s="70">
        <v>19</v>
      </c>
      <c r="R700" s="70">
        <v>22</v>
      </c>
      <c r="S700" s="68" t="str">
        <f t="shared" si="28"/>
        <v/>
      </c>
      <c r="T700" s="68"/>
      <c r="U700" s="68"/>
      <c r="V700" s="68"/>
      <c r="W700" s="9"/>
      <c r="X700" s="10"/>
      <c r="Y700" s="71">
        <f t="shared" si="29"/>
        <v>19</v>
      </c>
      <c r="Z700" s="73">
        <f t="shared" si="30"/>
        <v>22</v>
      </c>
      <c r="AA700" s="11" t="str">
        <f t="shared" si="31"/>
        <v/>
      </c>
      <c r="AB700" s="73">
        <f t="shared" si="32"/>
        <v>-9</v>
      </c>
      <c r="AC700" s="11" t="str">
        <f t="shared" si="33"/>
        <v/>
      </c>
      <c r="AD700" s="73">
        <f t="shared" si="34"/>
        <v>3</v>
      </c>
      <c r="AE700" s="11" t="str">
        <f t="shared" si="35"/>
        <v/>
      </c>
      <c r="AF700" s="73">
        <f t="shared" si="36"/>
        <v>-8.9992999999999999</v>
      </c>
      <c r="AG700" s="11" t="str">
        <f t="shared" si="37"/>
        <v/>
      </c>
      <c r="AH700" s="73">
        <f t="shared" si="38"/>
        <v>3.0007000000000001</v>
      </c>
    </row>
    <row r="701" spans="1:34" ht="14.25" customHeight="1">
      <c r="A701" s="11">
        <v>686</v>
      </c>
      <c r="B701" s="66"/>
      <c r="C701" s="67"/>
      <c r="D701" s="67"/>
      <c r="E701" s="67"/>
      <c r="F701" s="67"/>
      <c r="G701" s="67" t="s">
        <v>24</v>
      </c>
      <c r="H701" s="67">
        <v>42319</v>
      </c>
      <c r="I701" s="6" t="s">
        <v>1297</v>
      </c>
      <c r="J701" s="9">
        <v>3908800046</v>
      </c>
      <c r="K701" s="68">
        <v>42308</v>
      </c>
      <c r="L701" s="68" t="s">
        <v>230</v>
      </c>
      <c r="M701" s="68">
        <v>43190</v>
      </c>
      <c r="N701" s="69">
        <f t="shared" si="26"/>
        <v>-2</v>
      </c>
      <c r="O701" s="69" t="str">
        <f t="shared" si="27"/>
        <v>N/A</v>
      </c>
      <c r="P701" s="70">
        <v>2</v>
      </c>
      <c r="Q701" s="70"/>
      <c r="R701" s="70">
        <v>0</v>
      </c>
      <c r="S701" s="68">
        <f t="shared" si="28"/>
        <v>43190</v>
      </c>
      <c r="T701" s="68">
        <v>43190</v>
      </c>
      <c r="U701" s="68"/>
      <c r="V701" s="68"/>
      <c r="W701" s="9"/>
      <c r="X701" s="10"/>
      <c r="Y701" s="65" t="str">
        <f t="shared" si="29"/>
        <v/>
      </c>
      <c r="Z701" s="11" t="str">
        <f t="shared" si="30"/>
        <v/>
      </c>
      <c r="AA701" s="11" t="str">
        <f t="shared" si="31"/>
        <v/>
      </c>
      <c r="AB701" s="73">
        <f t="shared" si="32"/>
        <v>-2</v>
      </c>
      <c r="AC701" s="11" t="str">
        <f t="shared" si="33"/>
        <v/>
      </c>
      <c r="AD701" s="11" t="str">
        <f t="shared" si="34"/>
        <v/>
      </c>
      <c r="AE701" s="11" t="str">
        <f t="shared" si="35"/>
        <v/>
      </c>
      <c r="AF701" s="73">
        <f t="shared" si="36"/>
        <v>-1.9992989999999999</v>
      </c>
      <c r="AG701" s="11" t="str">
        <f t="shared" si="37"/>
        <v/>
      </c>
      <c r="AH701" s="11" t="str">
        <f t="shared" si="38"/>
        <v/>
      </c>
    </row>
    <row r="702" spans="1:34" ht="14.25" customHeight="1">
      <c r="A702" s="11">
        <v>687</v>
      </c>
      <c r="B702" s="66"/>
      <c r="C702" s="67"/>
      <c r="D702" s="67"/>
      <c r="E702" s="67"/>
      <c r="F702" s="67"/>
      <c r="G702" s="67" t="s">
        <v>35</v>
      </c>
      <c r="H702" s="67">
        <v>44791</v>
      </c>
      <c r="I702" s="6" t="s">
        <v>1298</v>
      </c>
      <c r="J702" s="9">
        <v>3918102524</v>
      </c>
      <c r="K702" s="68">
        <v>44773</v>
      </c>
      <c r="L702" s="68">
        <v>46022</v>
      </c>
      <c r="M702" s="68">
        <v>46203</v>
      </c>
      <c r="N702" s="69">
        <f t="shared" si="26"/>
        <v>-5</v>
      </c>
      <c r="O702" s="69">
        <f t="shared" si="27"/>
        <v>-3</v>
      </c>
      <c r="P702" s="70">
        <v>6</v>
      </c>
      <c r="Q702" s="70">
        <v>4</v>
      </c>
      <c r="R702" s="70">
        <v>1</v>
      </c>
      <c r="S702" s="68" t="str">
        <f t="shared" si="28"/>
        <v/>
      </c>
      <c r="T702" s="68"/>
      <c r="U702" s="68"/>
      <c r="V702" s="68"/>
      <c r="W702" s="9"/>
      <c r="X702" s="10" t="s">
        <v>1299</v>
      </c>
      <c r="Y702" s="71">
        <f t="shared" si="29"/>
        <v>4</v>
      </c>
      <c r="Z702" s="73">
        <f t="shared" si="30"/>
        <v>1</v>
      </c>
      <c r="AA702" s="11" t="str">
        <f t="shared" si="31"/>
        <v/>
      </c>
      <c r="AB702" s="73">
        <f t="shared" si="32"/>
        <v>-5</v>
      </c>
      <c r="AC702" s="11" t="str">
        <f t="shared" si="33"/>
        <v/>
      </c>
      <c r="AD702" s="73">
        <f t="shared" si="34"/>
        <v>-3</v>
      </c>
      <c r="AE702" s="11" t="str">
        <f t="shared" si="35"/>
        <v/>
      </c>
      <c r="AF702" s="73">
        <f t="shared" si="36"/>
        <v>-4.9992979999999996</v>
      </c>
      <c r="AG702" s="11" t="str">
        <f t="shared" si="37"/>
        <v/>
      </c>
      <c r="AH702" s="73">
        <f t="shared" si="38"/>
        <v>-2.999298</v>
      </c>
    </row>
    <row r="703" spans="1:34" ht="14.25" customHeight="1">
      <c r="A703" s="11">
        <v>688</v>
      </c>
      <c r="B703" s="121" t="s">
        <v>24</v>
      </c>
      <c r="C703" s="67">
        <v>42877</v>
      </c>
      <c r="D703" s="67"/>
      <c r="E703" s="67"/>
      <c r="F703" s="67"/>
      <c r="G703" s="67"/>
      <c r="H703" s="67"/>
      <c r="I703" s="6" t="s">
        <v>1300</v>
      </c>
      <c r="J703" s="9">
        <v>3918600690</v>
      </c>
      <c r="K703" s="68">
        <v>42855</v>
      </c>
      <c r="L703" s="68">
        <v>46022</v>
      </c>
      <c r="M703" s="68">
        <v>46053</v>
      </c>
      <c r="N703" s="69">
        <f t="shared" si="26"/>
        <v>0</v>
      </c>
      <c r="O703" s="69">
        <f t="shared" si="27"/>
        <v>0</v>
      </c>
      <c r="P703" s="70">
        <v>0</v>
      </c>
      <c r="Q703" s="70">
        <v>0</v>
      </c>
      <c r="R703" s="70">
        <v>0</v>
      </c>
      <c r="S703" s="68">
        <f t="shared" si="28"/>
        <v>46053</v>
      </c>
      <c r="T703" s="68">
        <v>46053</v>
      </c>
      <c r="U703" s="68"/>
      <c r="V703" s="68"/>
      <c r="W703" s="9"/>
      <c r="X703" s="10"/>
      <c r="Y703" s="71">
        <f t="shared" si="29"/>
        <v>0</v>
      </c>
      <c r="Z703" s="73">
        <f t="shared" si="30"/>
        <v>0</v>
      </c>
      <c r="AA703" s="73">
        <f t="shared" si="31"/>
        <v>0</v>
      </c>
      <c r="AB703" s="11" t="str">
        <f t="shared" si="32"/>
        <v/>
      </c>
      <c r="AC703" s="73">
        <f t="shared" si="33"/>
        <v>0</v>
      </c>
      <c r="AD703" s="11" t="str">
        <f t="shared" si="34"/>
        <v/>
      </c>
      <c r="AE703" s="73">
        <f t="shared" si="35"/>
        <v>7.0299999999999996E-4</v>
      </c>
      <c r="AF703" s="11" t="str">
        <f t="shared" si="36"/>
        <v/>
      </c>
      <c r="AG703" s="73">
        <f t="shared" si="37"/>
        <v>7.0299999999999996E-4</v>
      </c>
      <c r="AH703" s="11" t="str">
        <f t="shared" si="38"/>
        <v/>
      </c>
    </row>
    <row r="704" spans="1:34" ht="14.25" customHeight="1">
      <c r="A704" s="11">
        <v>689</v>
      </c>
      <c r="B704" s="66" t="s">
        <v>35</v>
      </c>
      <c r="C704" s="67">
        <v>44466</v>
      </c>
      <c r="D704" s="67"/>
      <c r="E704" s="67"/>
      <c r="F704" s="67"/>
      <c r="G704" s="67" t="s">
        <v>35</v>
      </c>
      <c r="H704" s="67">
        <v>44753</v>
      </c>
      <c r="I704" s="6" t="s">
        <v>1301</v>
      </c>
      <c r="J704" s="9">
        <v>3928600918</v>
      </c>
      <c r="K704" s="68">
        <v>44439</v>
      </c>
      <c r="L704" s="68">
        <v>46022</v>
      </c>
      <c r="M704" s="68">
        <v>46203</v>
      </c>
      <c r="N704" s="69">
        <f t="shared" si="26"/>
        <v>-9</v>
      </c>
      <c r="O704" s="69">
        <f t="shared" si="27"/>
        <v>-1</v>
      </c>
      <c r="P704" s="70">
        <v>9</v>
      </c>
      <c r="Q704" s="70">
        <v>1</v>
      </c>
      <c r="R704" s="70">
        <v>0</v>
      </c>
      <c r="S704" s="68" t="str">
        <f t="shared" si="28"/>
        <v/>
      </c>
      <c r="T704" s="68"/>
      <c r="U704" s="68"/>
      <c r="V704" s="68"/>
      <c r="W704" s="9"/>
      <c r="X704" s="10"/>
      <c r="Y704" s="71">
        <f t="shared" si="29"/>
        <v>1</v>
      </c>
      <c r="Z704" s="73">
        <f t="shared" si="30"/>
        <v>0</v>
      </c>
      <c r="AA704" s="73">
        <f t="shared" si="31"/>
        <v>-9</v>
      </c>
      <c r="AB704" s="73">
        <f t="shared" si="32"/>
        <v>-9</v>
      </c>
      <c r="AC704" s="73">
        <f t="shared" si="33"/>
        <v>-1</v>
      </c>
      <c r="AD704" s="73">
        <f t="shared" si="34"/>
        <v>-1</v>
      </c>
      <c r="AE704" s="73">
        <f t="shared" si="35"/>
        <v>-8.9992959999999993</v>
      </c>
      <c r="AF704" s="73">
        <f t="shared" si="36"/>
        <v>-8.9992959999999993</v>
      </c>
      <c r="AG704" s="73">
        <f t="shared" si="37"/>
        <v>-0.99929599999999996</v>
      </c>
      <c r="AH704" s="73">
        <f t="shared" si="38"/>
        <v>-0.99929599999999996</v>
      </c>
    </row>
    <row r="705" spans="1:34" ht="14.25" customHeight="1">
      <c r="A705" s="11">
        <v>690</v>
      </c>
      <c r="B705" s="66" t="s">
        <v>1302</v>
      </c>
      <c r="C705" s="67">
        <v>44020</v>
      </c>
      <c r="D705" s="67">
        <v>44092</v>
      </c>
      <c r="E705" s="67"/>
      <c r="F705" s="67"/>
      <c r="G705" s="67"/>
      <c r="H705" s="67"/>
      <c r="I705" s="6" t="s">
        <v>1303</v>
      </c>
      <c r="J705" s="9">
        <v>3928601218</v>
      </c>
      <c r="K705" s="68">
        <v>44012</v>
      </c>
      <c r="L705" s="68">
        <v>46022</v>
      </c>
      <c r="M705" s="68">
        <v>46203</v>
      </c>
      <c r="N705" s="69">
        <f t="shared" si="26"/>
        <v>-12</v>
      </c>
      <c r="O705" s="69">
        <f t="shared" si="27"/>
        <v>0</v>
      </c>
      <c r="P705" s="70">
        <v>13</v>
      </c>
      <c r="Q705" s="70">
        <v>1</v>
      </c>
      <c r="R705" s="70">
        <v>1</v>
      </c>
      <c r="S705" s="68" t="str">
        <f t="shared" si="28"/>
        <v/>
      </c>
      <c r="T705" s="68"/>
      <c r="U705" s="68">
        <v>46022</v>
      </c>
      <c r="V705" s="68"/>
      <c r="W705" s="9"/>
      <c r="X705" s="10"/>
      <c r="Y705" s="71">
        <f t="shared" si="29"/>
        <v>1</v>
      </c>
      <c r="Z705" s="73">
        <f t="shared" si="30"/>
        <v>1</v>
      </c>
      <c r="AA705" s="73">
        <f t="shared" si="31"/>
        <v>-12</v>
      </c>
      <c r="AB705" s="11" t="str">
        <f t="shared" si="32"/>
        <v/>
      </c>
      <c r="AC705" s="73">
        <f t="shared" si="33"/>
        <v>0</v>
      </c>
      <c r="AD705" s="11" t="str">
        <f t="shared" si="34"/>
        <v/>
      </c>
      <c r="AE705" s="73">
        <f t="shared" si="35"/>
        <v>-11.999295</v>
      </c>
      <c r="AF705" s="11" t="str">
        <f t="shared" si="36"/>
        <v/>
      </c>
      <c r="AG705" s="73">
        <f t="shared" si="37"/>
        <v>7.0500000000000001E-4</v>
      </c>
      <c r="AH705" s="11" t="str">
        <f t="shared" si="38"/>
        <v/>
      </c>
    </row>
    <row r="706" spans="1:34" ht="14.25" customHeight="1">
      <c r="A706" s="11">
        <v>691</v>
      </c>
      <c r="B706" s="66" t="s">
        <v>24</v>
      </c>
      <c r="C706" s="67">
        <v>44805</v>
      </c>
      <c r="D706" s="67"/>
      <c r="E706" s="67"/>
      <c r="F706" s="67"/>
      <c r="G706" s="67"/>
      <c r="H706" s="67"/>
      <c r="I706" s="6" t="s">
        <v>1304</v>
      </c>
      <c r="J706" s="9">
        <v>3928700889</v>
      </c>
      <c r="K706" s="68">
        <v>44804</v>
      </c>
      <c r="L706" s="68" t="s">
        <v>230</v>
      </c>
      <c r="M706" s="68">
        <v>45808</v>
      </c>
      <c r="N706" s="69">
        <f t="shared" si="26"/>
        <v>0</v>
      </c>
      <c r="O706" s="69" t="str">
        <f t="shared" si="27"/>
        <v>N/A</v>
      </c>
      <c r="P706" s="70">
        <v>0</v>
      </c>
      <c r="Q706" s="70"/>
      <c r="R706" s="70">
        <v>0</v>
      </c>
      <c r="S706" s="68">
        <f t="shared" si="28"/>
        <v>45808</v>
      </c>
      <c r="T706" s="68">
        <v>45808</v>
      </c>
      <c r="U706" s="68"/>
      <c r="V706" s="68"/>
      <c r="W706" s="9"/>
      <c r="X706" s="10"/>
      <c r="Y706" s="65" t="str">
        <f t="shared" si="29"/>
        <v/>
      </c>
      <c r="Z706" s="11" t="str">
        <f t="shared" si="30"/>
        <v/>
      </c>
      <c r="AA706" s="73">
        <f t="shared" si="31"/>
        <v>0</v>
      </c>
      <c r="AB706" s="11" t="str">
        <f t="shared" si="32"/>
        <v/>
      </c>
      <c r="AC706" s="11" t="str">
        <f t="shared" si="33"/>
        <v/>
      </c>
      <c r="AD706" s="11" t="str">
        <f t="shared" si="34"/>
        <v/>
      </c>
      <c r="AE706" s="73">
        <f t="shared" si="35"/>
        <v>7.0600000000000003E-4</v>
      </c>
      <c r="AF706" s="11" t="str">
        <f t="shared" si="36"/>
        <v/>
      </c>
      <c r="AG706" s="11" t="str">
        <f t="shared" si="37"/>
        <v/>
      </c>
      <c r="AH706" s="11" t="str">
        <f t="shared" si="38"/>
        <v/>
      </c>
    </row>
    <row r="707" spans="1:34" ht="14.25" customHeight="1">
      <c r="A707" s="11">
        <v>692</v>
      </c>
      <c r="B707" s="66"/>
      <c r="C707" s="67"/>
      <c r="D707" s="67"/>
      <c r="E707" s="67"/>
      <c r="F707" s="67"/>
      <c r="G707" s="67" t="s">
        <v>35</v>
      </c>
      <c r="H707" s="67">
        <v>45561</v>
      </c>
      <c r="I707" s="6" t="s">
        <v>1305</v>
      </c>
      <c r="J707" s="9">
        <v>3938703031</v>
      </c>
      <c r="K707" s="68">
        <v>45535</v>
      </c>
      <c r="L707" s="68">
        <v>46022</v>
      </c>
      <c r="M707" s="68">
        <v>46203</v>
      </c>
      <c r="N707" s="69">
        <f t="shared" si="26"/>
        <v>-1</v>
      </c>
      <c r="O707" s="69">
        <f t="shared" si="27"/>
        <v>-4</v>
      </c>
      <c r="P707" s="70">
        <v>8</v>
      </c>
      <c r="Q707" s="70">
        <v>11</v>
      </c>
      <c r="R707" s="70">
        <v>7</v>
      </c>
      <c r="S707" s="68" t="str">
        <f t="shared" si="28"/>
        <v/>
      </c>
      <c r="T707" s="68"/>
      <c r="U707" s="68"/>
      <c r="V707" s="68"/>
      <c r="W707" s="9"/>
      <c r="X707" s="10"/>
      <c r="Y707" s="71">
        <f t="shared" si="29"/>
        <v>11</v>
      </c>
      <c r="Z707" s="73">
        <f t="shared" si="30"/>
        <v>7</v>
      </c>
      <c r="AA707" s="11" t="str">
        <f t="shared" si="31"/>
        <v/>
      </c>
      <c r="AB707" s="73">
        <f t="shared" si="32"/>
        <v>-1</v>
      </c>
      <c r="AC707" s="11" t="str">
        <f t="shared" si="33"/>
        <v/>
      </c>
      <c r="AD707" s="73">
        <f t="shared" si="34"/>
        <v>-4</v>
      </c>
      <c r="AE707" s="11" t="str">
        <f t="shared" si="35"/>
        <v/>
      </c>
      <c r="AF707" s="73">
        <f t="shared" si="36"/>
        <v>-0.99929299999999999</v>
      </c>
      <c r="AG707" s="11" t="str">
        <f t="shared" si="37"/>
        <v/>
      </c>
      <c r="AH707" s="73">
        <f t="shared" si="38"/>
        <v>-3.9992930000000002</v>
      </c>
    </row>
    <row r="708" spans="1:34" ht="14.25" customHeight="1">
      <c r="A708" s="11">
        <v>693</v>
      </c>
      <c r="B708" s="66" t="s">
        <v>35</v>
      </c>
      <c r="C708" s="67">
        <v>42705</v>
      </c>
      <c r="D708" s="67"/>
      <c r="E708" s="67"/>
      <c r="F708" s="67"/>
      <c r="G708" s="67"/>
      <c r="H708" s="67"/>
      <c r="I708" s="6" t="s">
        <v>1306</v>
      </c>
      <c r="J708" s="9">
        <v>3938800860</v>
      </c>
      <c r="K708" s="68">
        <v>42704</v>
      </c>
      <c r="L708" s="68">
        <v>46022</v>
      </c>
      <c r="M708" s="68">
        <v>46203</v>
      </c>
      <c r="N708" s="69">
        <f t="shared" si="26"/>
        <v>2</v>
      </c>
      <c r="O708" s="69">
        <f t="shared" si="27"/>
        <v>-1</v>
      </c>
      <c r="P708" s="70">
        <v>0</v>
      </c>
      <c r="Q708" s="70">
        <v>3</v>
      </c>
      <c r="R708" s="70">
        <v>2</v>
      </c>
      <c r="S708" s="68" t="str">
        <f t="shared" si="28"/>
        <v/>
      </c>
      <c r="T708" s="68"/>
      <c r="U708" s="68"/>
      <c r="V708" s="68"/>
      <c r="W708" s="9"/>
      <c r="X708" s="10"/>
      <c r="Y708" s="71">
        <f t="shared" si="29"/>
        <v>3</v>
      </c>
      <c r="Z708" s="73">
        <f t="shared" si="30"/>
        <v>2</v>
      </c>
      <c r="AA708" s="73">
        <f t="shared" si="31"/>
        <v>2</v>
      </c>
      <c r="AB708" s="11" t="str">
        <f t="shared" si="32"/>
        <v/>
      </c>
      <c r="AC708" s="73">
        <f t="shared" si="33"/>
        <v>-1</v>
      </c>
      <c r="AD708" s="11" t="str">
        <f t="shared" si="34"/>
        <v/>
      </c>
      <c r="AE708" s="73">
        <f t="shared" si="35"/>
        <v>2.0007079999999999</v>
      </c>
      <c r="AF708" s="11" t="str">
        <f t="shared" si="36"/>
        <v/>
      </c>
      <c r="AG708" s="73">
        <f t="shared" si="37"/>
        <v>-0.99929199999999996</v>
      </c>
      <c r="AH708" s="11" t="str">
        <f t="shared" si="38"/>
        <v/>
      </c>
    </row>
    <row r="709" spans="1:34" ht="14.25" customHeight="1">
      <c r="A709" s="11">
        <v>694</v>
      </c>
      <c r="B709" s="66"/>
      <c r="C709" s="67"/>
      <c r="D709" s="67"/>
      <c r="E709" s="67"/>
      <c r="F709" s="67"/>
      <c r="G709" s="67" t="s">
        <v>35</v>
      </c>
      <c r="H709" s="67">
        <v>46022</v>
      </c>
      <c r="I709" s="6" t="s">
        <v>1307</v>
      </c>
      <c r="J709" s="94">
        <v>3958100208</v>
      </c>
      <c r="K709" s="68">
        <v>45991</v>
      </c>
      <c r="L709" s="68">
        <v>46022</v>
      </c>
      <c r="M709" s="68">
        <v>46203</v>
      </c>
      <c r="N709" s="69">
        <f t="shared" si="26"/>
        <v>6</v>
      </c>
      <c r="O709" s="69">
        <f t="shared" si="27"/>
        <v>7</v>
      </c>
      <c r="P709" s="70">
        <v>199</v>
      </c>
      <c r="Q709" s="70">
        <v>198</v>
      </c>
      <c r="R709" s="70">
        <v>205</v>
      </c>
      <c r="S709" s="68" t="str">
        <f t="shared" si="28"/>
        <v/>
      </c>
      <c r="T709" s="68"/>
      <c r="U709" s="95"/>
      <c r="V709" s="68"/>
      <c r="W709" s="6"/>
      <c r="X709" s="10"/>
      <c r="Y709" s="71">
        <f t="shared" si="29"/>
        <v>198</v>
      </c>
      <c r="Z709" s="73">
        <f t="shared" si="30"/>
        <v>205</v>
      </c>
      <c r="AA709" s="11" t="str">
        <f t="shared" si="31"/>
        <v/>
      </c>
      <c r="AB709" s="73">
        <f t="shared" si="32"/>
        <v>6</v>
      </c>
      <c r="AC709" s="11" t="str">
        <f t="shared" si="33"/>
        <v/>
      </c>
      <c r="AD709" s="73">
        <f t="shared" si="34"/>
        <v>7</v>
      </c>
      <c r="AE709" s="11" t="str">
        <f t="shared" si="35"/>
        <v/>
      </c>
      <c r="AF709" s="73">
        <f t="shared" si="36"/>
        <v>6.0007089999999996</v>
      </c>
      <c r="AG709" s="11" t="str">
        <f t="shared" si="37"/>
        <v/>
      </c>
      <c r="AH709" s="73">
        <f t="shared" si="38"/>
        <v>7.0007089999999996</v>
      </c>
    </row>
    <row r="710" spans="1:34" ht="14.25" customHeight="1">
      <c r="A710" s="11">
        <v>695</v>
      </c>
      <c r="B710" s="66"/>
      <c r="C710" s="67"/>
      <c r="D710" s="67"/>
      <c r="E710" s="67"/>
      <c r="F710" s="67"/>
      <c r="G710" s="67" t="s">
        <v>35</v>
      </c>
      <c r="H710" s="67">
        <v>45698</v>
      </c>
      <c r="I710" s="6" t="s">
        <v>1308</v>
      </c>
      <c r="J710" s="9">
        <v>3958603189</v>
      </c>
      <c r="K710" s="68">
        <v>45688</v>
      </c>
      <c r="L710" s="68">
        <v>46022</v>
      </c>
      <c r="M710" s="68">
        <v>46203</v>
      </c>
      <c r="N710" s="69">
        <f t="shared" si="26"/>
        <v>3</v>
      </c>
      <c r="O710" s="69">
        <f t="shared" si="27"/>
        <v>-1</v>
      </c>
      <c r="P710" s="70">
        <v>0</v>
      </c>
      <c r="Q710" s="70">
        <v>4</v>
      </c>
      <c r="R710" s="70">
        <v>3</v>
      </c>
      <c r="S710" s="68" t="str">
        <f t="shared" si="28"/>
        <v/>
      </c>
      <c r="T710" s="68"/>
      <c r="U710" s="68"/>
      <c r="V710" s="68"/>
      <c r="W710" s="9"/>
      <c r="X710" s="10"/>
      <c r="Y710" s="71">
        <f t="shared" si="29"/>
        <v>4</v>
      </c>
      <c r="Z710" s="73">
        <f t="shared" si="30"/>
        <v>3</v>
      </c>
      <c r="AA710" s="11" t="str">
        <f t="shared" si="31"/>
        <v/>
      </c>
      <c r="AB710" s="73">
        <f t="shared" si="32"/>
        <v>3</v>
      </c>
      <c r="AC710" s="11" t="str">
        <f t="shared" si="33"/>
        <v/>
      </c>
      <c r="AD710" s="73">
        <f t="shared" si="34"/>
        <v>-1</v>
      </c>
      <c r="AE710" s="11" t="str">
        <f t="shared" si="35"/>
        <v/>
      </c>
      <c r="AF710" s="73">
        <f t="shared" si="36"/>
        <v>3.0007100000000002</v>
      </c>
      <c r="AG710" s="11" t="str">
        <f t="shared" si="37"/>
        <v/>
      </c>
      <c r="AH710" s="73">
        <f t="shared" si="38"/>
        <v>-0.99929000000000001</v>
      </c>
    </row>
    <row r="711" spans="1:34" ht="14.25" customHeight="1">
      <c r="A711" s="11">
        <v>696</v>
      </c>
      <c r="B711" s="66" t="s">
        <v>35</v>
      </c>
      <c r="C711" s="67">
        <v>45839</v>
      </c>
      <c r="D711" s="67"/>
      <c r="E711" s="67">
        <v>45839</v>
      </c>
      <c r="F711" s="67"/>
      <c r="G711" s="67"/>
      <c r="H711" s="67"/>
      <c r="I711" s="6" t="s">
        <v>1309</v>
      </c>
      <c r="J711" s="9">
        <v>3958703304</v>
      </c>
      <c r="K711" s="68">
        <v>45838</v>
      </c>
      <c r="L711" s="68">
        <v>46022</v>
      </c>
      <c r="M711" s="68">
        <v>46203</v>
      </c>
      <c r="N711" s="69">
        <f t="shared" si="26"/>
        <v>1</v>
      </c>
      <c r="O711" s="69">
        <f t="shared" si="27"/>
        <v>1</v>
      </c>
      <c r="P711" s="70">
        <v>11</v>
      </c>
      <c r="Q711" s="70">
        <v>11</v>
      </c>
      <c r="R711" s="70">
        <v>12</v>
      </c>
      <c r="S711" s="68" t="str">
        <f t="shared" si="28"/>
        <v/>
      </c>
      <c r="T711" s="68"/>
      <c r="U711" s="68"/>
      <c r="V711" s="68"/>
      <c r="W711" s="9"/>
      <c r="X711" s="10"/>
      <c r="Y711" s="71">
        <f t="shared" si="29"/>
        <v>11</v>
      </c>
      <c r="Z711" s="73">
        <f t="shared" si="30"/>
        <v>12</v>
      </c>
      <c r="AA711" s="73">
        <f t="shared" si="31"/>
        <v>1</v>
      </c>
      <c r="AB711" s="11" t="str">
        <f t="shared" si="32"/>
        <v/>
      </c>
      <c r="AC711" s="73">
        <f t="shared" si="33"/>
        <v>1</v>
      </c>
      <c r="AD711" s="11" t="str">
        <f t="shared" si="34"/>
        <v/>
      </c>
      <c r="AE711" s="73">
        <f t="shared" si="35"/>
        <v>1.0007109999999999</v>
      </c>
      <c r="AF711" s="11" t="str">
        <f t="shared" si="36"/>
        <v/>
      </c>
      <c r="AG711" s="73">
        <f t="shared" si="37"/>
        <v>1.0007109999999999</v>
      </c>
      <c r="AH711" s="11" t="str">
        <f t="shared" si="38"/>
        <v/>
      </c>
    </row>
    <row r="712" spans="1:34" ht="14.25" customHeight="1">
      <c r="A712" s="11">
        <v>697</v>
      </c>
      <c r="B712" s="66" t="s">
        <v>24</v>
      </c>
      <c r="C712" s="67"/>
      <c r="D712" s="67">
        <v>43542</v>
      </c>
      <c r="E712" s="67"/>
      <c r="F712" s="67"/>
      <c r="G712" s="67"/>
      <c r="H712" s="67"/>
      <c r="I712" s="6" t="s">
        <v>1310</v>
      </c>
      <c r="J712" s="9">
        <v>3958801055</v>
      </c>
      <c r="K712" s="68">
        <v>43524</v>
      </c>
      <c r="L712" s="68" t="s">
        <v>230</v>
      </c>
      <c r="M712" s="68">
        <v>45107</v>
      </c>
      <c r="N712" s="69">
        <f t="shared" si="26"/>
        <v>0</v>
      </c>
      <c r="O712" s="69" t="str">
        <f t="shared" si="27"/>
        <v>N/A</v>
      </c>
      <c r="P712" s="70">
        <v>0</v>
      </c>
      <c r="Q712" s="70"/>
      <c r="R712" s="70">
        <v>0</v>
      </c>
      <c r="S712" s="68">
        <f t="shared" si="28"/>
        <v>45107</v>
      </c>
      <c r="T712" s="68">
        <v>45107</v>
      </c>
      <c r="U712" s="68">
        <v>45291</v>
      </c>
      <c r="V712" s="92">
        <v>45560</v>
      </c>
      <c r="W712" s="9"/>
      <c r="X712" s="10"/>
      <c r="Y712" s="65" t="str">
        <f t="shared" si="29"/>
        <v/>
      </c>
      <c r="Z712" s="11" t="str">
        <f t="shared" si="30"/>
        <v/>
      </c>
      <c r="AA712" s="73">
        <f t="shared" si="31"/>
        <v>0</v>
      </c>
      <c r="AB712" s="11" t="str">
        <f t="shared" si="32"/>
        <v/>
      </c>
      <c r="AC712" s="11" t="str">
        <f t="shared" si="33"/>
        <v/>
      </c>
      <c r="AD712" s="11" t="str">
        <f t="shared" si="34"/>
        <v/>
      </c>
      <c r="AE712" s="73">
        <f t="shared" si="35"/>
        <v>7.1199999999999996E-4</v>
      </c>
      <c r="AF712" s="11" t="str">
        <f t="shared" si="36"/>
        <v/>
      </c>
      <c r="AG712" s="11" t="str">
        <f t="shared" si="37"/>
        <v/>
      </c>
      <c r="AH712" s="11" t="str">
        <f t="shared" si="38"/>
        <v/>
      </c>
    </row>
    <row r="713" spans="1:34" ht="14.25" customHeight="1">
      <c r="A713" s="11">
        <v>698</v>
      </c>
      <c r="B713" s="66" t="s">
        <v>24</v>
      </c>
      <c r="C713" s="67">
        <v>42705</v>
      </c>
      <c r="D713" s="67"/>
      <c r="E713" s="67"/>
      <c r="F713" s="67"/>
      <c r="G713" s="67"/>
      <c r="H713" s="67"/>
      <c r="I713" s="6" t="s">
        <v>1311</v>
      </c>
      <c r="J713" s="9">
        <v>3968700616</v>
      </c>
      <c r="K713" s="68">
        <v>42704</v>
      </c>
      <c r="L713" s="68" t="s">
        <v>230</v>
      </c>
      <c r="M713" s="68">
        <v>44469</v>
      </c>
      <c r="N713" s="69">
        <f t="shared" si="26"/>
        <v>0</v>
      </c>
      <c r="O713" s="69" t="str">
        <f t="shared" si="27"/>
        <v>N/A</v>
      </c>
      <c r="P713" s="70">
        <v>0</v>
      </c>
      <c r="Q713" s="70"/>
      <c r="R713" s="70">
        <v>0</v>
      </c>
      <c r="S713" s="68">
        <f t="shared" si="28"/>
        <v>44440</v>
      </c>
      <c r="T713" s="68">
        <v>44440</v>
      </c>
      <c r="U713" s="68"/>
      <c r="V713" s="68"/>
      <c r="W713" s="9"/>
      <c r="X713" s="10"/>
      <c r="Y713" s="65" t="str">
        <f t="shared" si="29"/>
        <v/>
      </c>
      <c r="Z713" s="11" t="str">
        <f t="shared" si="30"/>
        <v/>
      </c>
      <c r="AA713" s="73">
        <f t="shared" si="31"/>
        <v>0</v>
      </c>
      <c r="AB713" s="11" t="str">
        <f t="shared" si="32"/>
        <v/>
      </c>
      <c r="AC713" s="11" t="str">
        <f t="shared" si="33"/>
        <v/>
      </c>
      <c r="AD713" s="11" t="str">
        <f t="shared" si="34"/>
        <v/>
      </c>
      <c r="AE713" s="73">
        <f t="shared" si="35"/>
        <v>7.1299999999999998E-4</v>
      </c>
      <c r="AF713" s="11" t="str">
        <f t="shared" si="36"/>
        <v/>
      </c>
      <c r="AG713" s="11" t="str">
        <f t="shared" si="37"/>
        <v/>
      </c>
      <c r="AH713" s="11" t="str">
        <f t="shared" si="38"/>
        <v/>
      </c>
    </row>
    <row r="714" spans="1:34" ht="14.25" customHeight="1">
      <c r="A714" s="11">
        <v>699</v>
      </c>
      <c r="B714" s="66" t="s">
        <v>35</v>
      </c>
      <c r="C714" s="67">
        <v>43186</v>
      </c>
      <c r="D714" s="67"/>
      <c r="E714" s="67"/>
      <c r="F714" s="67"/>
      <c r="G714" s="67"/>
      <c r="H714" s="67"/>
      <c r="I714" s="6" t="s">
        <v>1312</v>
      </c>
      <c r="J714" s="9">
        <v>3968700993</v>
      </c>
      <c r="K714" s="68">
        <v>43159</v>
      </c>
      <c r="L714" s="68">
        <v>46022</v>
      </c>
      <c r="M714" s="68">
        <v>46203</v>
      </c>
      <c r="N714" s="69">
        <f t="shared" si="26"/>
        <v>0</v>
      </c>
      <c r="O714" s="69">
        <f t="shared" si="27"/>
        <v>0</v>
      </c>
      <c r="P714" s="70">
        <v>0</v>
      </c>
      <c r="Q714" s="70">
        <v>0</v>
      </c>
      <c r="R714" s="70">
        <v>0</v>
      </c>
      <c r="S714" s="68" t="str">
        <f t="shared" si="28"/>
        <v/>
      </c>
      <c r="T714" s="68"/>
      <c r="U714" s="68"/>
      <c r="V714" s="68"/>
      <c r="W714" s="9"/>
      <c r="X714" s="10" t="s">
        <v>1313</v>
      </c>
      <c r="Y714" s="71">
        <f t="shared" si="29"/>
        <v>0</v>
      </c>
      <c r="Z714" s="73">
        <f t="shared" si="30"/>
        <v>0</v>
      </c>
      <c r="AA714" s="73">
        <f t="shared" si="31"/>
        <v>0</v>
      </c>
      <c r="AB714" s="11" t="str">
        <f t="shared" si="32"/>
        <v/>
      </c>
      <c r="AC714" s="73">
        <f t="shared" si="33"/>
        <v>0</v>
      </c>
      <c r="AD714" s="11" t="str">
        <f t="shared" si="34"/>
        <v/>
      </c>
      <c r="AE714" s="73">
        <f t="shared" si="35"/>
        <v>7.1400000000000001E-4</v>
      </c>
      <c r="AF714" s="11" t="str">
        <f t="shared" si="36"/>
        <v/>
      </c>
      <c r="AG714" s="73">
        <f t="shared" si="37"/>
        <v>7.1400000000000001E-4</v>
      </c>
      <c r="AH714" s="11" t="str">
        <f t="shared" si="38"/>
        <v/>
      </c>
    </row>
    <row r="715" spans="1:34" ht="14.25" customHeight="1">
      <c r="A715" s="11">
        <v>700</v>
      </c>
      <c r="B715" s="66"/>
      <c r="C715" s="67"/>
      <c r="D715" s="67"/>
      <c r="E715" s="67"/>
      <c r="F715" s="67"/>
      <c r="G715" s="67" t="s">
        <v>35</v>
      </c>
      <c r="H715" s="67">
        <v>45809</v>
      </c>
      <c r="I715" s="6" t="s">
        <v>1314</v>
      </c>
      <c r="J715" s="9">
        <v>3998602542</v>
      </c>
      <c r="K715" s="68">
        <v>45808</v>
      </c>
      <c r="L715" s="68">
        <v>46022</v>
      </c>
      <c r="M715" s="68">
        <v>46203</v>
      </c>
      <c r="N715" s="69">
        <f t="shared" si="26"/>
        <v>45</v>
      </c>
      <c r="O715" s="69">
        <f t="shared" si="27"/>
        <v>-5</v>
      </c>
      <c r="P715" s="70">
        <v>101</v>
      </c>
      <c r="Q715" s="70">
        <v>151</v>
      </c>
      <c r="R715" s="70">
        <v>146</v>
      </c>
      <c r="S715" s="68" t="str">
        <f t="shared" si="28"/>
        <v/>
      </c>
      <c r="T715" s="68"/>
      <c r="U715" s="68"/>
      <c r="V715" s="68"/>
      <c r="W715" s="9"/>
      <c r="X715" s="10"/>
      <c r="Y715" s="71">
        <f t="shared" si="29"/>
        <v>151</v>
      </c>
      <c r="Z715" s="73">
        <f t="shared" si="30"/>
        <v>146</v>
      </c>
      <c r="AA715" s="11" t="str">
        <f t="shared" si="31"/>
        <v/>
      </c>
      <c r="AB715" s="73">
        <f t="shared" si="32"/>
        <v>45</v>
      </c>
      <c r="AC715" s="11" t="str">
        <f t="shared" si="33"/>
        <v/>
      </c>
      <c r="AD715" s="73">
        <f t="shared" si="34"/>
        <v>-5</v>
      </c>
      <c r="AE715" s="11" t="str">
        <f t="shared" si="35"/>
        <v/>
      </c>
      <c r="AF715" s="73">
        <f t="shared" si="36"/>
        <v>45.000715</v>
      </c>
      <c r="AG715" s="11" t="str">
        <f t="shared" si="37"/>
        <v/>
      </c>
      <c r="AH715" s="73">
        <f t="shared" si="38"/>
        <v>-4.9992850000000004</v>
      </c>
    </row>
    <row r="716" spans="1:34" ht="14.25" customHeight="1">
      <c r="A716" s="11">
        <v>701</v>
      </c>
      <c r="B716" s="66"/>
      <c r="C716" s="67"/>
      <c r="D716" s="67"/>
      <c r="E716" s="67"/>
      <c r="F716" s="67"/>
      <c r="G716" s="67" t="s">
        <v>35</v>
      </c>
      <c r="H716" s="67">
        <v>43397</v>
      </c>
      <c r="I716" s="6" t="s">
        <v>1315</v>
      </c>
      <c r="J716" s="9">
        <v>3998700750</v>
      </c>
      <c r="K716" s="68">
        <v>43373</v>
      </c>
      <c r="L716" s="68">
        <v>46022</v>
      </c>
      <c r="M716" s="68">
        <v>46203</v>
      </c>
      <c r="N716" s="69">
        <f t="shared" si="26"/>
        <v>-7</v>
      </c>
      <c r="O716" s="69">
        <f t="shared" si="27"/>
        <v>0</v>
      </c>
      <c r="P716" s="70">
        <v>7</v>
      </c>
      <c r="Q716" s="70">
        <v>0</v>
      </c>
      <c r="R716" s="70">
        <v>0</v>
      </c>
      <c r="S716" s="68" t="str">
        <f t="shared" si="28"/>
        <v/>
      </c>
      <c r="T716" s="68"/>
      <c r="U716" s="68"/>
      <c r="V716" s="68"/>
      <c r="W716" s="9"/>
      <c r="X716" s="10"/>
      <c r="Y716" s="71">
        <f t="shared" si="29"/>
        <v>0</v>
      </c>
      <c r="Z716" s="73">
        <f t="shared" si="30"/>
        <v>0</v>
      </c>
      <c r="AA716" s="11" t="str">
        <f t="shared" si="31"/>
        <v/>
      </c>
      <c r="AB716" s="73">
        <f t="shared" si="32"/>
        <v>-7</v>
      </c>
      <c r="AC716" s="11" t="str">
        <f t="shared" si="33"/>
        <v/>
      </c>
      <c r="AD716" s="73">
        <f t="shared" si="34"/>
        <v>0</v>
      </c>
      <c r="AE716" s="11" t="str">
        <f t="shared" si="35"/>
        <v/>
      </c>
      <c r="AF716" s="73">
        <f t="shared" si="36"/>
        <v>-6.9992840000000003</v>
      </c>
      <c r="AG716" s="11" t="str">
        <f t="shared" si="37"/>
        <v/>
      </c>
      <c r="AH716" s="73">
        <f t="shared" si="38"/>
        <v>7.1599999999999995E-4</v>
      </c>
    </row>
    <row r="717" spans="1:34" ht="14.25" customHeight="1">
      <c r="A717" s="11">
        <v>702</v>
      </c>
      <c r="B717" s="66"/>
      <c r="C717" s="67"/>
      <c r="D717" s="67"/>
      <c r="E717" s="67"/>
      <c r="F717" s="67"/>
      <c r="G717" s="67" t="s">
        <v>35</v>
      </c>
      <c r="H717" s="67">
        <v>45562</v>
      </c>
      <c r="I717" s="6" t="s">
        <v>1316</v>
      </c>
      <c r="J717" s="9">
        <v>3998800742</v>
      </c>
      <c r="K717" s="68">
        <v>45535</v>
      </c>
      <c r="L717" s="68">
        <v>46022</v>
      </c>
      <c r="M717" s="68">
        <v>46203</v>
      </c>
      <c r="N717" s="69">
        <f t="shared" si="26"/>
        <v>2</v>
      </c>
      <c r="O717" s="69">
        <f t="shared" si="27"/>
        <v>1</v>
      </c>
      <c r="P717" s="70">
        <v>26</v>
      </c>
      <c r="Q717" s="70">
        <v>27</v>
      </c>
      <c r="R717" s="70">
        <v>28</v>
      </c>
      <c r="S717" s="68" t="str">
        <f t="shared" si="28"/>
        <v/>
      </c>
      <c r="T717" s="68"/>
      <c r="U717" s="68"/>
      <c r="V717" s="68"/>
      <c r="W717" s="9"/>
      <c r="X717" s="10"/>
      <c r="Y717" s="71">
        <f t="shared" si="29"/>
        <v>27</v>
      </c>
      <c r="Z717" s="73">
        <f t="shared" si="30"/>
        <v>28</v>
      </c>
      <c r="AA717" s="11" t="str">
        <f t="shared" si="31"/>
        <v/>
      </c>
      <c r="AB717" s="73">
        <f t="shared" si="32"/>
        <v>2</v>
      </c>
      <c r="AC717" s="11" t="str">
        <f t="shared" si="33"/>
        <v/>
      </c>
      <c r="AD717" s="73">
        <f t="shared" si="34"/>
        <v>1</v>
      </c>
      <c r="AE717" s="11" t="str">
        <f t="shared" si="35"/>
        <v/>
      </c>
      <c r="AF717" s="73">
        <f t="shared" si="36"/>
        <v>2.0007169999999999</v>
      </c>
      <c r="AG717" s="11" t="str">
        <f t="shared" si="37"/>
        <v/>
      </c>
      <c r="AH717" s="73">
        <f t="shared" si="38"/>
        <v>1.0007170000000001</v>
      </c>
    </row>
    <row r="718" spans="1:34" ht="14.25" customHeight="1">
      <c r="A718" s="11">
        <v>703</v>
      </c>
      <c r="B718" s="66"/>
      <c r="C718" s="67"/>
      <c r="D718" s="67"/>
      <c r="E718" s="67"/>
      <c r="F718" s="67"/>
      <c r="G718" s="67" t="s">
        <v>35</v>
      </c>
      <c r="H718" s="67">
        <v>43329</v>
      </c>
      <c r="I718" s="6" t="s">
        <v>1317</v>
      </c>
      <c r="J718" s="9">
        <v>4028614683</v>
      </c>
      <c r="K718" s="68">
        <v>43312</v>
      </c>
      <c r="L718" s="68">
        <v>46022</v>
      </c>
      <c r="M718" s="68">
        <v>46203</v>
      </c>
      <c r="N718" s="69">
        <f t="shared" si="26"/>
        <v>37</v>
      </c>
      <c r="O718" s="69">
        <f t="shared" si="27"/>
        <v>11</v>
      </c>
      <c r="P718" s="70">
        <v>22</v>
      </c>
      <c r="Q718" s="70">
        <v>48</v>
      </c>
      <c r="R718" s="70">
        <v>59</v>
      </c>
      <c r="S718" s="68" t="str">
        <f t="shared" si="28"/>
        <v/>
      </c>
      <c r="T718" s="68"/>
      <c r="U718" s="68"/>
      <c r="V718" s="68"/>
      <c r="W718" s="9"/>
      <c r="X718" s="10"/>
      <c r="Y718" s="71">
        <f t="shared" si="29"/>
        <v>48</v>
      </c>
      <c r="Z718" s="73">
        <f t="shared" si="30"/>
        <v>59</v>
      </c>
      <c r="AA718" s="11" t="str">
        <f t="shared" si="31"/>
        <v/>
      </c>
      <c r="AB718" s="73">
        <f t="shared" si="32"/>
        <v>37</v>
      </c>
      <c r="AC718" s="11" t="str">
        <f t="shared" si="33"/>
        <v/>
      </c>
      <c r="AD718" s="73">
        <f t="shared" si="34"/>
        <v>11</v>
      </c>
      <c r="AE718" s="11" t="str">
        <f t="shared" si="35"/>
        <v/>
      </c>
      <c r="AF718" s="73">
        <f t="shared" si="36"/>
        <v>37.000717999999999</v>
      </c>
      <c r="AG718" s="11" t="str">
        <f t="shared" si="37"/>
        <v/>
      </c>
      <c r="AH718" s="73">
        <f t="shared" si="38"/>
        <v>11.000718000000001</v>
      </c>
    </row>
    <row r="719" spans="1:34" ht="14.25" customHeight="1">
      <c r="A719" s="11">
        <v>704</v>
      </c>
      <c r="B719" s="66"/>
      <c r="C719" s="67"/>
      <c r="D719" s="67"/>
      <c r="E719" s="67"/>
      <c r="F719" s="67"/>
      <c r="G719" s="67" t="s">
        <v>35</v>
      </c>
      <c r="H719" s="67">
        <v>45275</v>
      </c>
      <c r="I719" s="6" t="s">
        <v>1318</v>
      </c>
      <c r="J719" s="9">
        <v>4028702883</v>
      </c>
      <c r="K719" s="68">
        <v>45260</v>
      </c>
      <c r="L719" s="68">
        <v>46022</v>
      </c>
      <c r="M719" s="68">
        <v>46203</v>
      </c>
      <c r="N719" s="69">
        <f t="shared" si="26"/>
        <v>0</v>
      </c>
      <c r="O719" s="69">
        <f t="shared" si="27"/>
        <v>1</v>
      </c>
      <c r="P719" s="70">
        <v>2</v>
      </c>
      <c r="Q719" s="70">
        <v>1</v>
      </c>
      <c r="R719" s="70">
        <v>2</v>
      </c>
      <c r="S719" s="68" t="str">
        <f t="shared" si="28"/>
        <v/>
      </c>
      <c r="T719" s="68"/>
      <c r="U719" s="68"/>
      <c r="V719" s="68"/>
      <c r="W719" s="9"/>
      <c r="X719" s="10"/>
      <c r="Y719" s="71">
        <f t="shared" si="29"/>
        <v>1</v>
      </c>
      <c r="Z719" s="73">
        <f t="shared" si="30"/>
        <v>2</v>
      </c>
      <c r="AA719" s="11" t="str">
        <f t="shared" si="31"/>
        <v/>
      </c>
      <c r="AB719" s="73">
        <f t="shared" si="32"/>
        <v>0</v>
      </c>
      <c r="AC719" s="11" t="str">
        <f t="shared" si="33"/>
        <v/>
      </c>
      <c r="AD719" s="73">
        <f t="shared" si="34"/>
        <v>1</v>
      </c>
      <c r="AE719" s="11" t="str">
        <f t="shared" si="35"/>
        <v/>
      </c>
      <c r="AF719" s="73">
        <f t="shared" si="36"/>
        <v>7.1900000000000002E-4</v>
      </c>
      <c r="AG719" s="11" t="str">
        <f t="shared" si="37"/>
        <v/>
      </c>
      <c r="AH719" s="73">
        <f t="shared" si="38"/>
        <v>1.0007189999999999</v>
      </c>
    </row>
    <row r="720" spans="1:34" ht="14.25" customHeight="1">
      <c r="A720" s="11">
        <v>705</v>
      </c>
      <c r="B720" s="66" t="s">
        <v>35</v>
      </c>
      <c r="C720" s="67">
        <v>45931</v>
      </c>
      <c r="D720" s="67">
        <v>45784</v>
      </c>
      <c r="E720" s="67">
        <v>45944</v>
      </c>
      <c r="F720" s="67"/>
      <c r="G720" s="67" t="s">
        <v>35</v>
      </c>
      <c r="H720" s="67">
        <v>45764</v>
      </c>
      <c r="I720" s="6" t="s">
        <v>1319</v>
      </c>
      <c r="J720" s="9">
        <v>4028802541</v>
      </c>
      <c r="K720" s="68">
        <v>45747</v>
      </c>
      <c r="L720" s="68">
        <v>46022</v>
      </c>
      <c r="M720" s="68">
        <v>46203</v>
      </c>
      <c r="N720" s="69">
        <f t="shared" si="26"/>
        <v>2</v>
      </c>
      <c r="O720" s="69">
        <f t="shared" si="27"/>
        <v>0</v>
      </c>
      <c r="P720" s="70">
        <v>17</v>
      </c>
      <c r="Q720" s="70">
        <v>19</v>
      </c>
      <c r="R720" s="70">
        <v>19</v>
      </c>
      <c r="S720" s="68" t="str">
        <f t="shared" si="28"/>
        <v/>
      </c>
      <c r="T720" s="68"/>
      <c r="U720" s="68"/>
      <c r="V720" s="68"/>
      <c r="W720" s="9"/>
      <c r="X720" s="10" t="s">
        <v>1320</v>
      </c>
      <c r="Y720" s="71">
        <f t="shared" si="29"/>
        <v>19</v>
      </c>
      <c r="Z720" s="73">
        <f t="shared" si="30"/>
        <v>19</v>
      </c>
      <c r="AA720" s="73">
        <f t="shared" si="31"/>
        <v>2</v>
      </c>
      <c r="AB720" s="73">
        <f t="shared" si="32"/>
        <v>2</v>
      </c>
      <c r="AC720" s="73">
        <f t="shared" si="33"/>
        <v>0</v>
      </c>
      <c r="AD720" s="73">
        <f t="shared" si="34"/>
        <v>0</v>
      </c>
      <c r="AE720" s="73">
        <f t="shared" si="35"/>
        <v>2.0007199999999998</v>
      </c>
      <c r="AF720" s="73">
        <f t="shared" si="36"/>
        <v>2.0007199999999998</v>
      </c>
      <c r="AG720" s="73">
        <f t="shared" si="37"/>
        <v>7.2000000000000005E-4</v>
      </c>
      <c r="AH720" s="73">
        <f t="shared" si="38"/>
        <v>7.2000000000000005E-4</v>
      </c>
    </row>
    <row r="721" spans="1:34" ht="14.25" customHeight="1">
      <c r="A721" s="11">
        <v>706</v>
      </c>
      <c r="B721" s="66"/>
      <c r="C721" s="67"/>
      <c r="D721" s="67"/>
      <c r="E721" s="67"/>
      <c r="F721" s="67"/>
      <c r="G721" s="67" t="s">
        <v>35</v>
      </c>
      <c r="H721" s="67">
        <v>45639</v>
      </c>
      <c r="I721" s="6" t="s">
        <v>1321</v>
      </c>
      <c r="J721" s="9">
        <v>4038702116</v>
      </c>
      <c r="K721" s="68">
        <v>45626</v>
      </c>
      <c r="L721" s="68">
        <v>46022</v>
      </c>
      <c r="M721" s="68">
        <v>46203</v>
      </c>
      <c r="N721" s="69">
        <f t="shared" si="26"/>
        <v>20</v>
      </c>
      <c r="O721" s="69">
        <f t="shared" si="27"/>
        <v>0</v>
      </c>
      <c r="P721" s="70">
        <v>35</v>
      </c>
      <c r="Q721" s="70">
        <v>55</v>
      </c>
      <c r="R721" s="70">
        <v>55</v>
      </c>
      <c r="S721" s="68" t="str">
        <f t="shared" si="28"/>
        <v/>
      </c>
      <c r="T721" s="68"/>
      <c r="U721" s="68"/>
      <c r="V721" s="68"/>
      <c r="W721" s="9"/>
      <c r="X721" s="10"/>
      <c r="Y721" s="71">
        <f t="shared" si="29"/>
        <v>55</v>
      </c>
      <c r="Z721" s="73">
        <f t="shared" si="30"/>
        <v>55</v>
      </c>
      <c r="AA721" s="11" t="str">
        <f t="shared" si="31"/>
        <v/>
      </c>
      <c r="AB721" s="73">
        <f t="shared" si="32"/>
        <v>20</v>
      </c>
      <c r="AC721" s="11" t="str">
        <f t="shared" si="33"/>
        <v/>
      </c>
      <c r="AD721" s="73">
        <f t="shared" si="34"/>
        <v>0</v>
      </c>
      <c r="AE721" s="11" t="str">
        <f t="shared" si="35"/>
        <v/>
      </c>
      <c r="AF721" s="73">
        <f t="shared" si="36"/>
        <v>20.000720999999999</v>
      </c>
      <c r="AG721" s="11" t="str">
        <f t="shared" si="37"/>
        <v/>
      </c>
      <c r="AH721" s="73">
        <f t="shared" si="38"/>
        <v>7.2099999999999996E-4</v>
      </c>
    </row>
    <row r="722" spans="1:34" ht="14.25" customHeight="1">
      <c r="A722" s="11">
        <v>707</v>
      </c>
      <c r="B722" s="66"/>
      <c r="C722" s="67"/>
      <c r="D722" s="67"/>
      <c r="E722" s="67"/>
      <c r="F722" s="67"/>
      <c r="G722" s="67" t="s">
        <v>35</v>
      </c>
      <c r="H722" s="67">
        <v>44701</v>
      </c>
      <c r="I722" s="6" t="s">
        <v>1322</v>
      </c>
      <c r="J722" s="9">
        <v>4048147389</v>
      </c>
      <c r="K722" s="68">
        <v>44681</v>
      </c>
      <c r="L722" s="68">
        <v>46022</v>
      </c>
      <c r="M722" s="68">
        <v>46203</v>
      </c>
      <c r="N722" s="69">
        <f t="shared" si="26"/>
        <v>6</v>
      </c>
      <c r="O722" s="69">
        <f t="shared" si="27"/>
        <v>0</v>
      </c>
      <c r="P722" s="70">
        <v>1</v>
      </c>
      <c r="Q722" s="70">
        <v>7</v>
      </c>
      <c r="R722" s="70">
        <v>7</v>
      </c>
      <c r="S722" s="68" t="str">
        <f t="shared" si="28"/>
        <v/>
      </c>
      <c r="T722" s="68"/>
      <c r="U722" s="68"/>
      <c r="V722" s="68"/>
      <c r="W722" s="9"/>
      <c r="X722" s="10"/>
      <c r="Y722" s="71">
        <f t="shared" si="29"/>
        <v>7</v>
      </c>
      <c r="Z722" s="73">
        <f t="shared" si="30"/>
        <v>7</v>
      </c>
      <c r="AA722" s="11" t="str">
        <f t="shared" si="31"/>
        <v/>
      </c>
      <c r="AB722" s="73">
        <f t="shared" si="32"/>
        <v>6</v>
      </c>
      <c r="AC722" s="11" t="str">
        <f t="shared" si="33"/>
        <v/>
      </c>
      <c r="AD722" s="73">
        <f t="shared" si="34"/>
        <v>0</v>
      </c>
      <c r="AE722" s="11" t="str">
        <f t="shared" si="35"/>
        <v/>
      </c>
      <c r="AF722" s="73">
        <f t="shared" si="36"/>
        <v>6.0007219999999997</v>
      </c>
      <c r="AG722" s="11" t="str">
        <f t="shared" si="37"/>
        <v/>
      </c>
      <c r="AH722" s="73">
        <f t="shared" si="38"/>
        <v>7.2199999999999999E-4</v>
      </c>
    </row>
    <row r="723" spans="1:34" ht="14.25" customHeight="1">
      <c r="A723" s="11">
        <v>708</v>
      </c>
      <c r="B723" s="66"/>
      <c r="C723" s="67"/>
      <c r="D723" s="67"/>
      <c r="E723" s="67"/>
      <c r="F723" s="67"/>
      <c r="G723" s="67" t="s">
        <v>35</v>
      </c>
      <c r="H723" s="67">
        <v>42880</v>
      </c>
      <c r="I723" s="6" t="s">
        <v>1323</v>
      </c>
      <c r="J723" s="9">
        <v>4048600211</v>
      </c>
      <c r="K723" s="68">
        <v>42855</v>
      </c>
      <c r="L723" s="68">
        <v>46022</v>
      </c>
      <c r="M723" s="68">
        <v>46203</v>
      </c>
      <c r="N723" s="69">
        <f t="shared" si="26"/>
        <v>0</v>
      </c>
      <c r="O723" s="69">
        <f t="shared" si="27"/>
        <v>-1</v>
      </c>
      <c r="P723" s="70">
        <v>0</v>
      </c>
      <c r="Q723" s="70">
        <v>1</v>
      </c>
      <c r="R723" s="70">
        <v>0</v>
      </c>
      <c r="S723" s="68" t="str">
        <f t="shared" si="28"/>
        <v/>
      </c>
      <c r="T723" s="68"/>
      <c r="U723" s="68"/>
      <c r="V723" s="68"/>
      <c r="W723" s="9"/>
      <c r="X723" s="10"/>
      <c r="Y723" s="71">
        <f t="shared" si="29"/>
        <v>1</v>
      </c>
      <c r="Z723" s="73">
        <f t="shared" si="30"/>
        <v>0</v>
      </c>
      <c r="AA723" s="11" t="str">
        <f t="shared" si="31"/>
        <v/>
      </c>
      <c r="AB723" s="73">
        <f t="shared" si="32"/>
        <v>0</v>
      </c>
      <c r="AC723" s="11" t="str">
        <f t="shared" si="33"/>
        <v/>
      </c>
      <c r="AD723" s="73">
        <f t="shared" si="34"/>
        <v>-1</v>
      </c>
      <c r="AE723" s="11" t="str">
        <f t="shared" si="35"/>
        <v/>
      </c>
      <c r="AF723" s="73">
        <f t="shared" si="36"/>
        <v>7.2300000000000001E-4</v>
      </c>
      <c r="AG723" s="11" t="str">
        <f t="shared" si="37"/>
        <v/>
      </c>
      <c r="AH723" s="73">
        <f t="shared" si="38"/>
        <v>-0.99927699999999997</v>
      </c>
    </row>
    <row r="724" spans="1:34" ht="14.25" customHeight="1">
      <c r="A724" s="11">
        <v>709</v>
      </c>
      <c r="B724" s="66"/>
      <c r="C724" s="67"/>
      <c r="D724" s="67"/>
      <c r="E724" s="67"/>
      <c r="F724" s="67"/>
      <c r="G724" s="67" t="s">
        <v>35</v>
      </c>
      <c r="H724" s="67">
        <v>44988</v>
      </c>
      <c r="I724" s="6" t="s">
        <v>1324</v>
      </c>
      <c r="J724" s="9">
        <v>4048702104</v>
      </c>
      <c r="K724" s="68">
        <v>44985</v>
      </c>
      <c r="L724" s="68">
        <v>46022</v>
      </c>
      <c r="M724" s="68">
        <v>46203</v>
      </c>
      <c r="N724" s="69">
        <f t="shared" si="26"/>
        <v>-6</v>
      </c>
      <c r="O724" s="69">
        <f t="shared" si="27"/>
        <v>0</v>
      </c>
      <c r="P724" s="70">
        <v>7</v>
      </c>
      <c r="Q724" s="70">
        <v>1</v>
      </c>
      <c r="R724" s="70">
        <v>1</v>
      </c>
      <c r="S724" s="68" t="str">
        <f t="shared" si="28"/>
        <v/>
      </c>
      <c r="T724" s="68"/>
      <c r="U724" s="68"/>
      <c r="V724" s="68"/>
      <c r="W724" s="9"/>
      <c r="X724" s="10"/>
      <c r="Y724" s="71">
        <f t="shared" si="29"/>
        <v>1</v>
      </c>
      <c r="Z724" s="73">
        <f t="shared" si="30"/>
        <v>1</v>
      </c>
      <c r="AA724" s="11" t="str">
        <f t="shared" si="31"/>
        <v/>
      </c>
      <c r="AB724" s="73">
        <f t="shared" si="32"/>
        <v>-6</v>
      </c>
      <c r="AC724" s="11" t="str">
        <f t="shared" si="33"/>
        <v/>
      </c>
      <c r="AD724" s="73">
        <f t="shared" si="34"/>
        <v>0</v>
      </c>
      <c r="AE724" s="11" t="str">
        <f t="shared" si="35"/>
        <v/>
      </c>
      <c r="AF724" s="73">
        <f t="shared" si="36"/>
        <v>-5.9992760000000001</v>
      </c>
      <c r="AG724" s="11" t="str">
        <f t="shared" si="37"/>
        <v/>
      </c>
      <c r="AH724" s="73">
        <f t="shared" si="38"/>
        <v>7.2400000000000003E-4</v>
      </c>
    </row>
    <row r="725" spans="1:34" ht="14.25" customHeight="1">
      <c r="A725" s="11">
        <v>710</v>
      </c>
      <c r="B725" s="66" t="s">
        <v>35</v>
      </c>
      <c r="C725" s="67"/>
      <c r="D725" s="67"/>
      <c r="E725" s="67"/>
      <c r="F725" s="67">
        <v>46184</v>
      </c>
      <c r="G725" s="67"/>
      <c r="H725" s="67"/>
      <c r="I725" s="6" t="s">
        <v>1325</v>
      </c>
      <c r="J725" s="37">
        <v>4058111486</v>
      </c>
      <c r="K725" s="68">
        <v>46173</v>
      </c>
      <c r="L725" s="68" t="s">
        <v>230</v>
      </c>
      <c r="M725" s="68">
        <v>46203</v>
      </c>
      <c r="N725" s="69">
        <f t="shared" si="26"/>
        <v>0</v>
      </c>
      <c r="O725" s="69">
        <f t="shared" si="27"/>
        <v>0</v>
      </c>
      <c r="P725" s="70">
        <v>31</v>
      </c>
      <c r="Q725" s="70"/>
      <c r="R725" s="70">
        <v>31</v>
      </c>
      <c r="S725" s="68" t="str">
        <f t="shared" si="28"/>
        <v/>
      </c>
      <c r="T725" s="68"/>
      <c r="U725" s="95"/>
      <c r="V725" s="68"/>
      <c r="W725" s="6"/>
      <c r="X725" s="93"/>
      <c r="Y725" s="71">
        <f t="shared" si="29"/>
        <v>31</v>
      </c>
      <c r="Z725" s="73">
        <f t="shared" si="30"/>
        <v>31</v>
      </c>
      <c r="AA725" s="73">
        <f t="shared" si="31"/>
        <v>0</v>
      </c>
      <c r="AB725" s="11" t="str">
        <f t="shared" si="32"/>
        <v/>
      </c>
      <c r="AC725" s="73">
        <f t="shared" si="33"/>
        <v>0</v>
      </c>
      <c r="AD725" s="11" t="str">
        <f t="shared" si="34"/>
        <v/>
      </c>
      <c r="AE725" s="73">
        <f t="shared" si="35"/>
        <v>7.2499999999999995E-4</v>
      </c>
      <c r="AF725" s="11" t="str">
        <f t="shared" si="36"/>
        <v/>
      </c>
      <c r="AG725" s="73">
        <f t="shared" si="37"/>
        <v>7.2499999999999995E-4</v>
      </c>
      <c r="AH725" s="11" t="str">
        <f t="shared" si="38"/>
        <v/>
      </c>
    </row>
    <row r="726" spans="1:34" ht="14.25" customHeight="1">
      <c r="A726" s="11">
        <v>711</v>
      </c>
      <c r="B726" s="66"/>
      <c r="C726" s="67"/>
      <c r="D726" s="67"/>
      <c r="E726" s="67"/>
      <c r="F726" s="67"/>
      <c r="G726" s="67" t="s">
        <v>35</v>
      </c>
      <c r="H726" s="67">
        <v>44043</v>
      </c>
      <c r="I726" s="6" t="s">
        <v>1326</v>
      </c>
      <c r="J726" s="9">
        <v>4068104085</v>
      </c>
      <c r="K726" s="68">
        <v>44012</v>
      </c>
      <c r="L726" s="68">
        <v>46022</v>
      </c>
      <c r="M726" s="68">
        <v>46203</v>
      </c>
      <c r="N726" s="69">
        <f t="shared" si="26"/>
        <v>-22</v>
      </c>
      <c r="O726" s="69">
        <f t="shared" si="27"/>
        <v>-3</v>
      </c>
      <c r="P726" s="70">
        <v>52</v>
      </c>
      <c r="Q726" s="70">
        <v>33</v>
      </c>
      <c r="R726" s="70">
        <v>30</v>
      </c>
      <c r="S726" s="68" t="str">
        <f t="shared" si="28"/>
        <v/>
      </c>
      <c r="T726" s="68"/>
      <c r="U726" s="68"/>
      <c r="V726" s="68"/>
      <c r="W726" s="9"/>
      <c r="X726" s="10"/>
      <c r="Y726" s="71">
        <f t="shared" si="29"/>
        <v>33</v>
      </c>
      <c r="Z726" s="73">
        <f t="shared" si="30"/>
        <v>30</v>
      </c>
      <c r="AA726" s="11" t="str">
        <f t="shared" si="31"/>
        <v/>
      </c>
      <c r="AB726" s="73">
        <f t="shared" si="32"/>
        <v>-22</v>
      </c>
      <c r="AC726" s="11" t="str">
        <f t="shared" si="33"/>
        <v/>
      </c>
      <c r="AD726" s="73">
        <f t="shared" si="34"/>
        <v>-3</v>
      </c>
      <c r="AE726" s="11" t="str">
        <f t="shared" si="35"/>
        <v/>
      </c>
      <c r="AF726" s="73">
        <f t="shared" si="36"/>
        <v>-21.999274</v>
      </c>
      <c r="AG726" s="11" t="str">
        <f t="shared" si="37"/>
        <v/>
      </c>
      <c r="AH726" s="73">
        <f t="shared" si="38"/>
        <v>-2.9992740000000002</v>
      </c>
    </row>
    <row r="727" spans="1:34" ht="14.25" customHeight="1">
      <c r="A727" s="11">
        <v>712</v>
      </c>
      <c r="B727" s="66"/>
      <c r="C727" s="67"/>
      <c r="D727" s="67"/>
      <c r="E727" s="67"/>
      <c r="F727" s="67"/>
      <c r="G727" s="67" t="s">
        <v>24</v>
      </c>
      <c r="H727" s="67">
        <v>43172</v>
      </c>
      <c r="I727" s="6" t="s">
        <v>1327</v>
      </c>
      <c r="J727" s="9">
        <v>4068104635</v>
      </c>
      <c r="K727" s="68">
        <v>43159</v>
      </c>
      <c r="L727" s="68" t="s">
        <v>230</v>
      </c>
      <c r="M727" s="68">
        <v>44926</v>
      </c>
      <c r="N727" s="69">
        <f t="shared" si="26"/>
        <v>-12</v>
      </c>
      <c r="O727" s="69" t="str">
        <f t="shared" si="27"/>
        <v>N/A</v>
      </c>
      <c r="P727" s="70">
        <v>12</v>
      </c>
      <c r="Q727" s="70"/>
      <c r="R727" s="70">
        <v>0</v>
      </c>
      <c r="S727" s="68">
        <f t="shared" si="28"/>
        <v>44926</v>
      </c>
      <c r="T727" s="68">
        <v>44926</v>
      </c>
      <c r="U727" s="68"/>
      <c r="V727" s="68"/>
      <c r="W727" s="9"/>
      <c r="X727" s="10"/>
      <c r="Y727" s="65" t="str">
        <f t="shared" si="29"/>
        <v/>
      </c>
      <c r="Z727" s="11" t="str">
        <f t="shared" si="30"/>
        <v/>
      </c>
      <c r="AA727" s="11" t="str">
        <f t="shared" si="31"/>
        <v/>
      </c>
      <c r="AB727" s="73">
        <f t="shared" si="32"/>
        <v>-12</v>
      </c>
      <c r="AC727" s="11" t="str">
        <f t="shared" si="33"/>
        <v/>
      </c>
      <c r="AD727" s="11" t="str">
        <f t="shared" si="34"/>
        <v/>
      </c>
      <c r="AE727" s="11" t="str">
        <f t="shared" si="35"/>
        <v/>
      </c>
      <c r="AF727" s="73">
        <f t="shared" si="36"/>
        <v>-11.999273000000001</v>
      </c>
      <c r="AG727" s="11" t="str">
        <f t="shared" si="37"/>
        <v/>
      </c>
      <c r="AH727" s="11" t="str">
        <f t="shared" si="38"/>
        <v/>
      </c>
    </row>
    <row r="728" spans="1:34" ht="14.25" customHeight="1">
      <c r="A728" s="11">
        <v>713</v>
      </c>
      <c r="B728" s="66" t="s">
        <v>35</v>
      </c>
      <c r="C728" s="67">
        <v>45839</v>
      </c>
      <c r="D728" s="67"/>
      <c r="E728" s="67">
        <v>45839</v>
      </c>
      <c r="F728" s="67"/>
      <c r="G728" s="67" t="s">
        <v>35</v>
      </c>
      <c r="H728" s="67">
        <v>45408</v>
      </c>
      <c r="I728" s="6" t="s">
        <v>1328</v>
      </c>
      <c r="J728" s="9">
        <v>4068166742</v>
      </c>
      <c r="K728" s="68">
        <v>45382</v>
      </c>
      <c r="L728" s="68">
        <v>46022</v>
      </c>
      <c r="M728" s="68">
        <v>46203</v>
      </c>
      <c r="N728" s="69">
        <f t="shared" si="26"/>
        <v>25</v>
      </c>
      <c r="O728" s="69">
        <f t="shared" si="27"/>
        <v>6</v>
      </c>
      <c r="P728" s="70">
        <v>0</v>
      </c>
      <c r="Q728" s="70">
        <v>19</v>
      </c>
      <c r="R728" s="70">
        <v>25</v>
      </c>
      <c r="S728" s="68" t="str">
        <f t="shared" si="28"/>
        <v/>
      </c>
      <c r="T728" s="68"/>
      <c r="U728" s="68"/>
      <c r="V728" s="68"/>
      <c r="W728" s="9"/>
      <c r="X728" s="10"/>
      <c r="Y728" s="71">
        <f t="shared" si="29"/>
        <v>19</v>
      </c>
      <c r="Z728" s="73">
        <f t="shared" si="30"/>
        <v>25</v>
      </c>
      <c r="AA728" s="73">
        <f t="shared" si="31"/>
        <v>25</v>
      </c>
      <c r="AB728" s="73">
        <f t="shared" si="32"/>
        <v>25</v>
      </c>
      <c r="AC728" s="73">
        <f t="shared" si="33"/>
        <v>6</v>
      </c>
      <c r="AD728" s="73">
        <f t="shared" si="34"/>
        <v>6</v>
      </c>
      <c r="AE728" s="73">
        <f t="shared" si="35"/>
        <v>25.000727999999999</v>
      </c>
      <c r="AF728" s="73">
        <f t="shared" si="36"/>
        <v>25.000727999999999</v>
      </c>
      <c r="AG728" s="73">
        <f t="shared" si="37"/>
        <v>6.0007279999999996</v>
      </c>
      <c r="AH728" s="73">
        <f t="shared" si="38"/>
        <v>6.0007279999999996</v>
      </c>
    </row>
    <row r="729" spans="1:34" ht="14.25" customHeight="1">
      <c r="A729" s="11">
        <v>714</v>
      </c>
      <c r="B729" s="66"/>
      <c r="C729" s="67"/>
      <c r="D729" s="67"/>
      <c r="E729" s="67"/>
      <c r="F729" s="67"/>
      <c r="G729" s="67" t="s">
        <v>35</v>
      </c>
      <c r="H729" s="67">
        <v>45251</v>
      </c>
      <c r="I729" s="6" t="s">
        <v>1329</v>
      </c>
      <c r="J729" s="9">
        <v>4068601706</v>
      </c>
      <c r="K729" s="68">
        <v>45230</v>
      </c>
      <c r="L729" s="68">
        <v>46022</v>
      </c>
      <c r="M729" s="68">
        <v>46203</v>
      </c>
      <c r="N729" s="69">
        <f t="shared" si="26"/>
        <v>8</v>
      </c>
      <c r="O729" s="69">
        <f t="shared" si="27"/>
        <v>4</v>
      </c>
      <c r="P729" s="70">
        <v>12</v>
      </c>
      <c r="Q729" s="70">
        <v>16</v>
      </c>
      <c r="R729" s="70">
        <v>20</v>
      </c>
      <c r="S729" s="68" t="str">
        <f t="shared" si="28"/>
        <v/>
      </c>
      <c r="T729" s="68"/>
      <c r="U729" s="68"/>
      <c r="V729" s="68"/>
      <c r="W729" s="9"/>
      <c r="X729" s="10"/>
      <c r="Y729" s="71">
        <f t="shared" si="29"/>
        <v>16</v>
      </c>
      <c r="Z729" s="73">
        <f t="shared" si="30"/>
        <v>20</v>
      </c>
      <c r="AA729" s="11" t="str">
        <f t="shared" si="31"/>
        <v/>
      </c>
      <c r="AB729" s="73">
        <f t="shared" si="32"/>
        <v>8</v>
      </c>
      <c r="AC729" s="11" t="str">
        <f t="shared" si="33"/>
        <v/>
      </c>
      <c r="AD729" s="73">
        <f t="shared" si="34"/>
        <v>4</v>
      </c>
      <c r="AE729" s="11" t="str">
        <f t="shared" si="35"/>
        <v/>
      </c>
      <c r="AF729" s="73">
        <f t="shared" si="36"/>
        <v>8.0007289999999998</v>
      </c>
      <c r="AG729" s="11" t="str">
        <f t="shared" si="37"/>
        <v/>
      </c>
      <c r="AH729" s="73">
        <f t="shared" si="38"/>
        <v>4.0007289999999998</v>
      </c>
    </row>
    <row r="730" spans="1:34" ht="14.25" customHeight="1">
      <c r="A730" s="11">
        <v>715</v>
      </c>
      <c r="B730" s="66"/>
      <c r="C730" s="67"/>
      <c r="D730" s="67"/>
      <c r="E730" s="67"/>
      <c r="F730" s="67"/>
      <c r="G730" s="67" t="s">
        <v>35</v>
      </c>
      <c r="H730" s="67">
        <v>44263</v>
      </c>
      <c r="I730" s="6" t="s">
        <v>1330</v>
      </c>
      <c r="J730" s="9">
        <v>4068700868</v>
      </c>
      <c r="K730" s="68">
        <v>44255</v>
      </c>
      <c r="L730" s="68">
        <v>46022</v>
      </c>
      <c r="M730" s="68">
        <v>46203</v>
      </c>
      <c r="N730" s="69">
        <f t="shared" si="26"/>
        <v>17</v>
      </c>
      <c r="O730" s="69">
        <f t="shared" si="27"/>
        <v>-2</v>
      </c>
      <c r="P730" s="70">
        <v>1</v>
      </c>
      <c r="Q730" s="70">
        <v>20</v>
      </c>
      <c r="R730" s="70">
        <v>18</v>
      </c>
      <c r="S730" s="68" t="str">
        <f t="shared" si="28"/>
        <v/>
      </c>
      <c r="T730" s="68"/>
      <c r="U730" s="68"/>
      <c r="V730" s="68"/>
      <c r="W730" s="9"/>
      <c r="X730" s="10"/>
      <c r="Y730" s="71">
        <f t="shared" si="29"/>
        <v>20</v>
      </c>
      <c r="Z730" s="73">
        <f t="shared" si="30"/>
        <v>18</v>
      </c>
      <c r="AA730" s="11" t="str">
        <f t="shared" si="31"/>
        <v/>
      </c>
      <c r="AB730" s="73">
        <f t="shared" si="32"/>
        <v>17</v>
      </c>
      <c r="AC730" s="11" t="str">
        <f t="shared" si="33"/>
        <v/>
      </c>
      <c r="AD730" s="73">
        <f t="shared" si="34"/>
        <v>-2</v>
      </c>
      <c r="AE730" s="11" t="str">
        <f t="shared" si="35"/>
        <v/>
      </c>
      <c r="AF730" s="73">
        <f t="shared" si="36"/>
        <v>17.000730000000001</v>
      </c>
      <c r="AG730" s="11" t="str">
        <f t="shared" si="37"/>
        <v/>
      </c>
      <c r="AH730" s="73">
        <f t="shared" si="38"/>
        <v>-1.9992700000000001</v>
      </c>
    </row>
    <row r="731" spans="1:34" ht="14.25" customHeight="1">
      <c r="A731" s="11">
        <v>716</v>
      </c>
      <c r="B731" s="66" t="s">
        <v>35</v>
      </c>
      <c r="C731" s="67">
        <v>44896</v>
      </c>
      <c r="D731" s="67"/>
      <c r="E731" s="67"/>
      <c r="F731" s="67"/>
      <c r="G731" s="67"/>
      <c r="H731" s="67"/>
      <c r="I731" s="6" t="s">
        <v>1331</v>
      </c>
      <c r="J731" s="9">
        <v>4068702662</v>
      </c>
      <c r="K731" s="68">
        <v>44895</v>
      </c>
      <c r="L731" s="68">
        <v>46022</v>
      </c>
      <c r="M731" s="68">
        <v>46203</v>
      </c>
      <c r="N731" s="69">
        <f t="shared" si="26"/>
        <v>-4</v>
      </c>
      <c r="O731" s="69">
        <f t="shared" si="27"/>
        <v>-3</v>
      </c>
      <c r="P731" s="70">
        <v>4</v>
      </c>
      <c r="Q731" s="70">
        <v>3</v>
      </c>
      <c r="R731" s="70">
        <v>0</v>
      </c>
      <c r="S731" s="68" t="str">
        <f t="shared" si="28"/>
        <v/>
      </c>
      <c r="T731" s="68"/>
      <c r="U731" s="68"/>
      <c r="V731" s="68"/>
      <c r="W731" s="9"/>
      <c r="X731" s="10"/>
      <c r="Y731" s="71">
        <f t="shared" si="29"/>
        <v>3</v>
      </c>
      <c r="Z731" s="73">
        <f t="shared" si="30"/>
        <v>0</v>
      </c>
      <c r="AA731" s="73">
        <f t="shared" si="31"/>
        <v>-4</v>
      </c>
      <c r="AB731" s="11" t="str">
        <f t="shared" si="32"/>
        <v/>
      </c>
      <c r="AC731" s="73">
        <f t="shared" si="33"/>
        <v>-3</v>
      </c>
      <c r="AD731" s="11" t="str">
        <f t="shared" si="34"/>
        <v/>
      </c>
      <c r="AE731" s="73">
        <f t="shared" si="35"/>
        <v>-3.999269</v>
      </c>
      <c r="AF731" s="11" t="str">
        <f t="shared" si="36"/>
        <v/>
      </c>
      <c r="AG731" s="73">
        <f t="shared" si="37"/>
        <v>-2.999269</v>
      </c>
      <c r="AH731" s="11" t="str">
        <f t="shared" si="38"/>
        <v/>
      </c>
    </row>
    <row r="732" spans="1:34" ht="14.25" customHeight="1">
      <c r="A732" s="11">
        <v>717</v>
      </c>
      <c r="B732" s="66"/>
      <c r="C732" s="67"/>
      <c r="D732" s="67"/>
      <c r="E732" s="67"/>
      <c r="F732" s="67"/>
      <c r="G732" s="67" t="s">
        <v>35</v>
      </c>
      <c r="H732" s="67">
        <v>44791</v>
      </c>
      <c r="I732" s="6" t="s">
        <v>1332</v>
      </c>
      <c r="J732" s="9">
        <v>4068801961</v>
      </c>
      <c r="K732" s="68">
        <v>44773</v>
      </c>
      <c r="L732" s="68">
        <v>46022</v>
      </c>
      <c r="M732" s="68">
        <v>46203</v>
      </c>
      <c r="N732" s="69">
        <f t="shared" si="26"/>
        <v>2</v>
      </c>
      <c r="O732" s="69">
        <f t="shared" si="27"/>
        <v>0</v>
      </c>
      <c r="P732" s="70">
        <v>3</v>
      </c>
      <c r="Q732" s="70">
        <v>5</v>
      </c>
      <c r="R732" s="70">
        <v>5</v>
      </c>
      <c r="S732" s="68" t="str">
        <f t="shared" si="28"/>
        <v/>
      </c>
      <c r="T732" s="68"/>
      <c r="U732" s="68"/>
      <c r="V732" s="68"/>
      <c r="W732" s="9"/>
      <c r="X732" s="10"/>
      <c r="Y732" s="71">
        <f t="shared" si="29"/>
        <v>5</v>
      </c>
      <c r="Z732" s="73">
        <f t="shared" si="30"/>
        <v>5</v>
      </c>
      <c r="AA732" s="11" t="str">
        <f t="shared" si="31"/>
        <v/>
      </c>
      <c r="AB732" s="73">
        <f t="shared" si="32"/>
        <v>2</v>
      </c>
      <c r="AC732" s="11" t="str">
        <f t="shared" si="33"/>
        <v/>
      </c>
      <c r="AD732" s="73">
        <f t="shared" si="34"/>
        <v>0</v>
      </c>
      <c r="AE732" s="11" t="str">
        <f t="shared" si="35"/>
        <v/>
      </c>
      <c r="AF732" s="73">
        <f t="shared" si="36"/>
        <v>2.0007320000000002</v>
      </c>
      <c r="AG732" s="11" t="str">
        <f t="shared" si="37"/>
        <v/>
      </c>
      <c r="AH732" s="73">
        <f t="shared" si="38"/>
        <v>7.3200000000000001E-4</v>
      </c>
    </row>
    <row r="733" spans="1:34" ht="14.25" customHeight="1">
      <c r="A733" s="11">
        <v>718</v>
      </c>
      <c r="B733" s="66" t="s">
        <v>35</v>
      </c>
      <c r="C733" s="67">
        <v>44986</v>
      </c>
      <c r="D733" s="67"/>
      <c r="E733" s="67"/>
      <c r="F733" s="67">
        <v>45757</v>
      </c>
      <c r="G733" s="67"/>
      <c r="H733" s="67"/>
      <c r="I733" s="6" t="s">
        <v>1333</v>
      </c>
      <c r="J733" s="9">
        <v>4068802368</v>
      </c>
      <c r="K733" s="68">
        <v>44985</v>
      </c>
      <c r="L733" s="68">
        <v>46022</v>
      </c>
      <c r="M733" s="68">
        <v>46203</v>
      </c>
      <c r="N733" s="69">
        <f t="shared" si="26"/>
        <v>7</v>
      </c>
      <c r="O733" s="69">
        <f t="shared" si="27"/>
        <v>0</v>
      </c>
      <c r="P733" s="70">
        <v>0</v>
      </c>
      <c r="Q733" s="70">
        <v>7</v>
      </c>
      <c r="R733" s="70">
        <v>7</v>
      </c>
      <c r="S733" s="68" t="str">
        <f t="shared" si="28"/>
        <v/>
      </c>
      <c r="T733" s="68"/>
      <c r="U733" s="68"/>
      <c r="V733" s="68"/>
      <c r="W733" s="9"/>
      <c r="X733" s="10"/>
      <c r="Y733" s="71">
        <f t="shared" si="29"/>
        <v>7</v>
      </c>
      <c r="Z733" s="73">
        <f t="shared" si="30"/>
        <v>7</v>
      </c>
      <c r="AA733" s="73">
        <f t="shared" si="31"/>
        <v>7</v>
      </c>
      <c r="AB733" s="11" t="str">
        <f t="shared" si="32"/>
        <v/>
      </c>
      <c r="AC733" s="73">
        <f t="shared" si="33"/>
        <v>0</v>
      </c>
      <c r="AD733" s="11" t="str">
        <f t="shared" si="34"/>
        <v/>
      </c>
      <c r="AE733" s="73">
        <f t="shared" si="35"/>
        <v>7.0007330000000003</v>
      </c>
      <c r="AF733" s="11" t="str">
        <f t="shared" si="36"/>
        <v/>
      </c>
      <c r="AG733" s="73">
        <f t="shared" si="37"/>
        <v>7.3300000000000004E-4</v>
      </c>
      <c r="AH733" s="11" t="str">
        <f t="shared" si="38"/>
        <v/>
      </c>
    </row>
    <row r="734" spans="1:34" ht="14.25" customHeight="1">
      <c r="A734" s="11">
        <v>719</v>
      </c>
      <c r="B734" s="66"/>
      <c r="C734" s="67"/>
      <c r="D734" s="67"/>
      <c r="E734" s="67"/>
      <c r="F734" s="67"/>
      <c r="G734" s="67" t="s">
        <v>35</v>
      </c>
      <c r="H734" s="67">
        <v>44484</v>
      </c>
      <c r="I734" s="6" t="s">
        <v>1334</v>
      </c>
      <c r="J734" s="9">
        <v>4078601714</v>
      </c>
      <c r="K734" s="68">
        <v>44469</v>
      </c>
      <c r="L734" s="68">
        <v>46022</v>
      </c>
      <c r="M734" s="68">
        <v>46203</v>
      </c>
      <c r="N734" s="69">
        <f t="shared" si="26"/>
        <v>-5</v>
      </c>
      <c r="O734" s="69">
        <f t="shared" si="27"/>
        <v>-1</v>
      </c>
      <c r="P734" s="70">
        <v>5</v>
      </c>
      <c r="Q734" s="70">
        <v>1</v>
      </c>
      <c r="R734" s="70">
        <v>0</v>
      </c>
      <c r="S734" s="68" t="str">
        <f t="shared" si="28"/>
        <v/>
      </c>
      <c r="T734" s="68"/>
      <c r="U734" s="68"/>
      <c r="V734" s="68"/>
      <c r="W734" s="9"/>
      <c r="X734" s="10"/>
      <c r="Y734" s="71">
        <f t="shared" si="29"/>
        <v>1</v>
      </c>
      <c r="Z734" s="73">
        <f t="shared" si="30"/>
        <v>0</v>
      </c>
      <c r="AA734" s="11" t="str">
        <f t="shared" si="31"/>
        <v/>
      </c>
      <c r="AB734" s="73">
        <f t="shared" si="32"/>
        <v>-5</v>
      </c>
      <c r="AC734" s="11" t="str">
        <f t="shared" si="33"/>
        <v/>
      </c>
      <c r="AD734" s="73">
        <f t="shared" si="34"/>
        <v>-1</v>
      </c>
      <c r="AE734" s="11" t="str">
        <f t="shared" si="35"/>
        <v/>
      </c>
      <c r="AF734" s="73">
        <f t="shared" si="36"/>
        <v>-4.9992660000000004</v>
      </c>
      <c r="AG734" s="11" t="str">
        <f t="shared" si="37"/>
        <v/>
      </c>
      <c r="AH734" s="73">
        <f t="shared" si="38"/>
        <v>-0.99926599999999999</v>
      </c>
    </row>
    <row r="735" spans="1:34" ht="14.25" customHeight="1">
      <c r="A735" s="11">
        <v>720</v>
      </c>
      <c r="B735" s="66"/>
      <c r="C735" s="67"/>
      <c r="D735" s="67"/>
      <c r="E735" s="67"/>
      <c r="F735" s="67"/>
      <c r="G735" s="67" t="s">
        <v>35</v>
      </c>
      <c r="H735" s="67">
        <v>44447</v>
      </c>
      <c r="I735" s="6" t="s">
        <v>1335</v>
      </c>
      <c r="J735" s="9">
        <v>4078700105</v>
      </c>
      <c r="K735" s="68">
        <v>44439</v>
      </c>
      <c r="L735" s="68">
        <v>46022</v>
      </c>
      <c r="M735" s="68">
        <v>46203</v>
      </c>
      <c r="N735" s="69">
        <f t="shared" si="26"/>
        <v>23</v>
      </c>
      <c r="O735" s="69">
        <f t="shared" si="27"/>
        <v>3</v>
      </c>
      <c r="P735" s="70">
        <v>11</v>
      </c>
      <c r="Q735" s="70">
        <v>31</v>
      </c>
      <c r="R735" s="70">
        <v>34</v>
      </c>
      <c r="S735" s="68" t="str">
        <f t="shared" si="28"/>
        <v/>
      </c>
      <c r="T735" s="68"/>
      <c r="U735" s="68"/>
      <c r="V735" s="68"/>
      <c r="W735" s="9"/>
      <c r="X735" s="10"/>
      <c r="Y735" s="71">
        <f t="shared" si="29"/>
        <v>31</v>
      </c>
      <c r="Z735" s="73">
        <f t="shared" si="30"/>
        <v>34</v>
      </c>
      <c r="AA735" s="11" t="str">
        <f t="shared" si="31"/>
        <v/>
      </c>
      <c r="AB735" s="73">
        <f t="shared" si="32"/>
        <v>23</v>
      </c>
      <c r="AC735" s="11" t="str">
        <f t="shared" si="33"/>
        <v/>
      </c>
      <c r="AD735" s="73">
        <f t="shared" si="34"/>
        <v>3</v>
      </c>
      <c r="AE735" s="11" t="str">
        <f t="shared" si="35"/>
        <v/>
      </c>
      <c r="AF735" s="73">
        <f t="shared" si="36"/>
        <v>23.000734999999999</v>
      </c>
      <c r="AG735" s="11" t="str">
        <f t="shared" si="37"/>
        <v/>
      </c>
      <c r="AH735" s="73">
        <f t="shared" si="38"/>
        <v>3.0007350000000002</v>
      </c>
    </row>
    <row r="736" spans="1:34" ht="14.25" customHeight="1">
      <c r="A736" s="11">
        <v>721</v>
      </c>
      <c r="B736" s="66" t="s">
        <v>35</v>
      </c>
      <c r="C736" s="67">
        <v>44232</v>
      </c>
      <c r="D736" s="67"/>
      <c r="E736" s="67"/>
      <c r="F736" s="67"/>
      <c r="G736" s="67"/>
      <c r="H736" s="67"/>
      <c r="I736" s="6" t="s">
        <v>1336</v>
      </c>
      <c r="J736" s="9">
        <v>4088176886</v>
      </c>
      <c r="K736" s="68">
        <v>44227</v>
      </c>
      <c r="L736" s="68">
        <v>46022</v>
      </c>
      <c r="M736" s="68">
        <v>46203</v>
      </c>
      <c r="N736" s="69">
        <f t="shared" si="26"/>
        <v>3</v>
      </c>
      <c r="O736" s="69">
        <f t="shared" si="27"/>
        <v>-1</v>
      </c>
      <c r="P736" s="70">
        <v>11</v>
      </c>
      <c r="Q736" s="70">
        <v>15</v>
      </c>
      <c r="R736" s="70">
        <v>14</v>
      </c>
      <c r="S736" s="68" t="str">
        <f t="shared" si="28"/>
        <v/>
      </c>
      <c r="T736" s="68"/>
      <c r="U736" s="68"/>
      <c r="V736" s="68"/>
      <c r="W736" s="9"/>
      <c r="X736" s="10"/>
      <c r="Y736" s="71">
        <f t="shared" si="29"/>
        <v>15</v>
      </c>
      <c r="Z736" s="73">
        <f t="shared" si="30"/>
        <v>14</v>
      </c>
      <c r="AA736" s="73">
        <f t="shared" si="31"/>
        <v>3</v>
      </c>
      <c r="AB736" s="11" t="str">
        <f t="shared" si="32"/>
        <v/>
      </c>
      <c r="AC736" s="73">
        <f t="shared" si="33"/>
        <v>-1</v>
      </c>
      <c r="AD736" s="11" t="str">
        <f t="shared" si="34"/>
        <v/>
      </c>
      <c r="AE736" s="73">
        <f t="shared" si="35"/>
        <v>3.0007359999999998</v>
      </c>
      <c r="AF736" s="11" t="str">
        <f t="shared" si="36"/>
        <v/>
      </c>
      <c r="AG736" s="73">
        <f t="shared" si="37"/>
        <v>-0.99926400000000004</v>
      </c>
      <c r="AH736" s="11" t="str">
        <f t="shared" si="38"/>
        <v/>
      </c>
    </row>
    <row r="737" spans="1:34" ht="14.25" customHeight="1">
      <c r="A737" s="11">
        <v>722</v>
      </c>
      <c r="B737" s="66"/>
      <c r="C737" s="67"/>
      <c r="D737" s="67"/>
      <c r="E737" s="67"/>
      <c r="F737" s="67"/>
      <c r="G737" s="67" t="s">
        <v>35</v>
      </c>
      <c r="H737" s="67">
        <v>45279</v>
      </c>
      <c r="I737" s="6" t="s">
        <v>1337</v>
      </c>
      <c r="J737" s="9">
        <v>4098179284</v>
      </c>
      <c r="K737" s="68">
        <v>45260</v>
      </c>
      <c r="L737" s="68">
        <v>46022</v>
      </c>
      <c r="M737" s="68">
        <v>46203</v>
      </c>
      <c r="N737" s="69">
        <f t="shared" si="26"/>
        <v>24</v>
      </c>
      <c r="O737" s="69">
        <f t="shared" si="27"/>
        <v>-3</v>
      </c>
      <c r="P737" s="70">
        <v>49</v>
      </c>
      <c r="Q737" s="70">
        <v>76</v>
      </c>
      <c r="R737" s="70">
        <v>73</v>
      </c>
      <c r="S737" s="68" t="str">
        <f t="shared" si="28"/>
        <v/>
      </c>
      <c r="T737" s="68"/>
      <c r="U737" s="68"/>
      <c r="V737" s="68"/>
      <c r="W737" s="9"/>
      <c r="X737" s="10"/>
      <c r="Y737" s="71">
        <f t="shared" si="29"/>
        <v>76</v>
      </c>
      <c r="Z737" s="73">
        <f t="shared" si="30"/>
        <v>73</v>
      </c>
      <c r="AA737" s="11" t="str">
        <f t="shared" si="31"/>
        <v/>
      </c>
      <c r="AB737" s="73">
        <f t="shared" si="32"/>
        <v>24</v>
      </c>
      <c r="AC737" s="11" t="str">
        <f t="shared" si="33"/>
        <v/>
      </c>
      <c r="AD737" s="73">
        <f t="shared" si="34"/>
        <v>-3</v>
      </c>
      <c r="AE737" s="11" t="str">
        <f t="shared" si="35"/>
        <v/>
      </c>
      <c r="AF737" s="73">
        <f t="shared" si="36"/>
        <v>24.000737000000001</v>
      </c>
      <c r="AG737" s="11" t="str">
        <f t="shared" si="37"/>
        <v/>
      </c>
      <c r="AH737" s="73">
        <f t="shared" si="38"/>
        <v>-2.999263</v>
      </c>
    </row>
    <row r="738" spans="1:34" ht="14.25" customHeight="1">
      <c r="A738" s="11">
        <v>723</v>
      </c>
      <c r="B738" s="66"/>
      <c r="C738" s="67"/>
      <c r="D738" s="67"/>
      <c r="E738" s="67"/>
      <c r="F738" s="67"/>
      <c r="G738" s="67" t="s">
        <v>35</v>
      </c>
      <c r="H738" s="67">
        <v>44809</v>
      </c>
      <c r="I738" s="6" t="s">
        <v>1338</v>
      </c>
      <c r="J738" s="9">
        <v>4098602965</v>
      </c>
      <c r="K738" s="68">
        <v>44804</v>
      </c>
      <c r="L738" s="68">
        <v>46022</v>
      </c>
      <c r="M738" s="68">
        <v>46203</v>
      </c>
      <c r="N738" s="69">
        <f t="shared" si="26"/>
        <v>17</v>
      </c>
      <c r="O738" s="69">
        <f t="shared" si="27"/>
        <v>8</v>
      </c>
      <c r="P738" s="70">
        <v>49</v>
      </c>
      <c r="Q738" s="70">
        <v>58</v>
      </c>
      <c r="R738" s="70">
        <v>66</v>
      </c>
      <c r="S738" s="68" t="str">
        <f t="shared" si="28"/>
        <v/>
      </c>
      <c r="T738" s="68"/>
      <c r="U738" s="68"/>
      <c r="V738" s="68"/>
      <c r="W738" s="9"/>
      <c r="X738" s="10"/>
      <c r="Y738" s="71">
        <f t="shared" si="29"/>
        <v>58</v>
      </c>
      <c r="Z738" s="73">
        <f t="shared" si="30"/>
        <v>66</v>
      </c>
      <c r="AA738" s="11" t="str">
        <f t="shared" si="31"/>
        <v/>
      </c>
      <c r="AB738" s="73">
        <f t="shared" si="32"/>
        <v>17</v>
      </c>
      <c r="AC738" s="11" t="str">
        <f t="shared" si="33"/>
        <v/>
      </c>
      <c r="AD738" s="73">
        <f t="shared" si="34"/>
        <v>8</v>
      </c>
      <c r="AE738" s="11" t="str">
        <f t="shared" si="35"/>
        <v/>
      </c>
      <c r="AF738" s="73">
        <f t="shared" si="36"/>
        <v>17.000737999999998</v>
      </c>
      <c r="AG738" s="11" t="str">
        <f t="shared" si="37"/>
        <v/>
      </c>
      <c r="AH738" s="73">
        <f t="shared" si="38"/>
        <v>8.0007380000000001</v>
      </c>
    </row>
    <row r="739" spans="1:34" ht="14.25" customHeight="1">
      <c r="A739" s="11">
        <v>724</v>
      </c>
      <c r="B739" s="66"/>
      <c r="C739" s="67"/>
      <c r="D739" s="67"/>
      <c r="E739" s="67"/>
      <c r="F739" s="67"/>
      <c r="G739" s="67" t="s">
        <v>35</v>
      </c>
      <c r="H739" s="67">
        <v>44351</v>
      </c>
      <c r="I739" s="6" t="s">
        <v>1339</v>
      </c>
      <c r="J739" s="9">
        <v>4098700402</v>
      </c>
      <c r="K739" s="68">
        <v>44347</v>
      </c>
      <c r="L739" s="68">
        <v>46022</v>
      </c>
      <c r="M739" s="68">
        <v>46203</v>
      </c>
      <c r="N739" s="69">
        <f t="shared" si="26"/>
        <v>19</v>
      </c>
      <c r="O739" s="69">
        <f t="shared" si="27"/>
        <v>1</v>
      </c>
      <c r="P739" s="70">
        <v>17</v>
      </c>
      <c r="Q739" s="70">
        <v>35</v>
      </c>
      <c r="R739" s="70">
        <v>36</v>
      </c>
      <c r="S739" s="68" t="str">
        <f t="shared" si="28"/>
        <v/>
      </c>
      <c r="T739" s="68"/>
      <c r="U739" s="68"/>
      <c r="V739" s="68"/>
      <c r="W739" s="9"/>
      <c r="X739" s="10"/>
      <c r="Y739" s="71">
        <f t="shared" si="29"/>
        <v>35</v>
      </c>
      <c r="Z739" s="73">
        <f t="shared" si="30"/>
        <v>36</v>
      </c>
      <c r="AA739" s="11" t="str">
        <f t="shared" si="31"/>
        <v/>
      </c>
      <c r="AB739" s="73">
        <f t="shared" si="32"/>
        <v>19</v>
      </c>
      <c r="AC739" s="11" t="str">
        <f t="shared" si="33"/>
        <v/>
      </c>
      <c r="AD739" s="73">
        <f t="shared" si="34"/>
        <v>1</v>
      </c>
      <c r="AE739" s="11" t="str">
        <f t="shared" si="35"/>
        <v/>
      </c>
      <c r="AF739" s="73">
        <f t="shared" si="36"/>
        <v>19.000738999999999</v>
      </c>
      <c r="AG739" s="11" t="str">
        <f t="shared" si="37"/>
        <v/>
      </c>
      <c r="AH739" s="73">
        <f t="shared" si="38"/>
        <v>1.000739</v>
      </c>
    </row>
    <row r="740" spans="1:34" ht="14.25" customHeight="1">
      <c r="A740" s="11">
        <v>725</v>
      </c>
      <c r="B740" s="66" t="s">
        <v>35</v>
      </c>
      <c r="C740" s="67">
        <v>44986</v>
      </c>
      <c r="D740" s="67"/>
      <c r="E740" s="67"/>
      <c r="F740" s="67"/>
      <c r="G740" s="67"/>
      <c r="H740" s="67"/>
      <c r="I740" s="6" t="s">
        <v>1340</v>
      </c>
      <c r="J740" s="9">
        <v>4098802751</v>
      </c>
      <c r="K740" s="68">
        <v>44985</v>
      </c>
      <c r="L740" s="68">
        <v>46022</v>
      </c>
      <c r="M740" s="68">
        <v>46203</v>
      </c>
      <c r="N740" s="69">
        <f t="shared" si="26"/>
        <v>7</v>
      </c>
      <c r="O740" s="69">
        <f t="shared" si="27"/>
        <v>0</v>
      </c>
      <c r="P740" s="70">
        <v>0</v>
      </c>
      <c r="Q740" s="70">
        <v>7</v>
      </c>
      <c r="R740" s="70">
        <v>7</v>
      </c>
      <c r="S740" s="68" t="str">
        <f t="shared" si="28"/>
        <v/>
      </c>
      <c r="T740" s="68"/>
      <c r="U740" s="68"/>
      <c r="V740" s="68"/>
      <c r="W740" s="9"/>
      <c r="X740" s="10"/>
      <c r="Y740" s="71">
        <f t="shared" si="29"/>
        <v>7</v>
      </c>
      <c r="Z740" s="73">
        <f t="shared" si="30"/>
        <v>7</v>
      </c>
      <c r="AA740" s="73">
        <f t="shared" si="31"/>
        <v>7</v>
      </c>
      <c r="AB740" s="11" t="str">
        <f t="shared" si="32"/>
        <v/>
      </c>
      <c r="AC740" s="73">
        <f t="shared" si="33"/>
        <v>0</v>
      </c>
      <c r="AD740" s="11" t="str">
        <f t="shared" si="34"/>
        <v/>
      </c>
      <c r="AE740" s="73">
        <f t="shared" si="35"/>
        <v>7.0007400000000004</v>
      </c>
      <c r="AF740" s="11" t="str">
        <f t="shared" si="36"/>
        <v/>
      </c>
      <c r="AG740" s="73">
        <f t="shared" si="37"/>
        <v>7.3999999999999999E-4</v>
      </c>
      <c r="AH740" s="11" t="str">
        <f t="shared" si="38"/>
        <v/>
      </c>
    </row>
    <row r="741" spans="1:34" ht="14.25" customHeight="1">
      <c r="A741" s="11">
        <v>726</v>
      </c>
      <c r="B741" s="66" t="s">
        <v>24</v>
      </c>
      <c r="C741" s="67">
        <v>42902</v>
      </c>
      <c r="D741" s="67"/>
      <c r="E741" s="67"/>
      <c r="F741" s="67"/>
      <c r="G741" s="67"/>
      <c r="H741" s="67"/>
      <c r="I741" s="6" t="s">
        <v>1341</v>
      </c>
      <c r="J741" s="9">
        <v>4108708840</v>
      </c>
      <c r="K741" s="68">
        <v>42886</v>
      </c>
      <c r="L741" s="68" t="s">
        <v>230</v>
      </c>
      <c r="M741" s="68">
        <v>44012</v>
      </c>
      <c r="N741" s="69">
        <f t="shared" si="26"/>
        <v>-6</v>
      </c>
      <c r="O741" s="69" t="str">
        <f t="shared" si="27"/>
        <v>N/A</v>
      </c>
      <c r="P741" s="70">
        <v>6</v>
      </c>
      <c r="Q741" s="70"/>
      <c r="R741" s="70">
        <v>0</v>
      </c>
      <c r="S741" s="68">
        <f t="shared" si="28"/>
        <v>44012</v>
      </c>
      <c r="T741" s="68">
        <v>44012</v>
      </c>
      <c r="U741" s="68"/>
      <c r="V741" s="68"/>
      <c r="W741" s="9"/>
      <c r="X741" s="10"/>
      <c r="Y741" s="65" t="str">
        <f t="shared" si="29"/>
        <v/>
      </c>
      <c r="Z741" s="11" t="str">
        <f t="shared" si="30"/>
        <v/>
      </c>
      <c r="AA741" s="73">
        <f t="shared" si="31"/>
        <v>-6</v>
      </c>
      <c r="AB741" s="11" t="str">
        <f t="shared" si="32"/>
        <v/>
      </c>
      <c r="AC741" s="11" t="str">
        <f t="shared" si="33"/>
        <v/>
      </c>
      <c r="AD741" s="11" t="str">
        <f t="shared" si="34"/>
        <v/>
      </c>
      <c r="AE741" s="73">
        <f t="shared" si="35"/>
        <v>-5.9992590000000003</v>
      </c>
      <c r="AF741" s="11" t="str">
        <f t="shared" si="36"/>
        <v/>
      </c>
      <c r="AG741" s="11" t="str">
        <f t="shared" si="37"/>
        <v/>
      </c>
      <c r="AH741" s="11" t="str">
        <f t="shared" si="38"/>
        <v/>
      </c>
    </row>
    <row r="742" spans="1:34" ht="14.25" customHeight="1">
      <c r="A742" s="11">
        <v>727</v>
      </c>
      <c r="B742" s="66" t="s">
        <v>35</v>
      </c>
      <c r="C742" s="67">
        <v>42416</v>
      </c>
      <c r="D742" s="67"/>
      <c r="E742" s="67"/>
      <c r="F742" s="67"/>
      <c r="G742" s="67"/>
      <c r="H742" s="67"/>
      <c r="I742" s="6" t="s">
        <v>1342</v>
      </c>
      <c r="J742" s="9">
        <v>4118700384</v>
      </c>
      <c r="K742" s="68">
        <v>42400</v>
      </c>
      <c r="L742" s="68">
        <v>46022</v>
      </c>
      <c r="M742" s="68">
        <v>46203</v>
      </c>
      <c r="N742" s="69">
        <f t="shared" si="26"/>
        <v>4</v>
      </c>
      <c r="O742" s="69">
        <f t="shared" si="27"/>
        <v>1</v>
      </c>
      <c r="P742" s="70">
        <v>0</v>
      </c>
      <c r="Q742" s="70">
        <v>3</v>
      </c>
      <c r="R742" s="70">
        <v>4</v>
      </c>
      <c r="S742" s="68" t="str">
        <f t="shared" si="28"/>
        <v/>
      </c>
      <c r="T742" s="68"/>
      <c r="U742" s="68"/>
      <c r="V742" s="68"/>
      <c r="W742" s="9"/>
      <c r="X742" s="10"/>
      <c r="Y742" s="71">
        <f t="shared" si="29"/>
        <v>3</v>
      </c>
      <c r="Z742" s="73">
        <f t="shared" si="30"/>
        <v>4</v>
      </c>
      <c r="AA742" s="73">
        <f t="shared" si="31"/>
        <v>4</v>
      </c>
      <c r="AB742" s="11" t="str">
        <f t="shared" si="32"/>
        <v/>
      </c>
      <c r="AC742" s="73">
        <f t="shared" si="33"/>
        <v>1</v>
      </c>
      <c r="AD742" s="11" t="str">
        <f t="shared" si="34"/>
        <v/>
      </c>
      <c r="AE742" s="73">
        <f t="shared" si="35"/>
        <v>4.0007419999999998</v>
      </c>
      <c r="AF742" s="11" t="str">
        <f t="shared" si="36"/>
        <v/>
      </c>
      <c r="AG742" s="73">
        <f t="shared" si="37"/>
        <v>1.000742</v>
      </c>
      <c r="AH742" s="11" t="str">
        <f t="shared" si="38"/>
        <v/>
      </c>
    </row>
    <row r="743" spans="1:34" ht="14.25" customHeight="1">
      <c r="A743" s="11">
        <v>728</v>
      </c>
      <c r="B743" s="66"/>
      <c r="C743" s="67"/>
      <c r="D743" s="67"/>
      <c r="E743" s="67"/>
      <c r="F743" s="67"/>
      <c r="G743" s="67" t="s">
        <v>35</v>
      </c>
      <c r="H743" s="67">
        <v>44797</v>
      </c>
      <c r="I743" s="6" t="s">
        <v>1343</v>
      </c>
      <c r="J743" s="9">
        <v>4128701538</v>
      </c>
      <c r="K743" s="68">
        <v>44773</v>
      </c>
      <c r="L743" s="68">
        <v>46022</v>
      </c>
      <c r="M743" s="68">
        <v>46203</v>
      </c>
      <c r="N743" s="69">
        <f t="shared" si="26"/>
        <v>-15</v>
      </c>
      <c r="O743" s="69">
        <f t="shared" si="27"/>
        <v>-2</v>
      </c>
      <c r="P743" s="70">
        <v>20</v>
      </c>
      <c r="Q743" s="70">
        <v>7</v>
      </c>
      <c r="R743" s="70">
        <v>5</v>
      </c>
      <c r="S743" s="68" t="str">
        <f t="shared" si="28"/>
        <v/>
      </c>
      <c r="T743" s="68"/>
      <c r="U743" s="68"/>
      <c r="V743" s="68"/>
      <c r="W743" s="9"/>
      <c r="X743" s="10"/>
      <c r="Y743" s="71">
        <f t="shared" si="29"/>
        <v>7</v>
      </c>
      <c r="Z743" s="73">
        <f t="shared" si="30"/>
        <v>5</v>
      </c>
      <c r="AA743" s="11" t="str">
        <f t="shared" si="31"/>
        <v/>
      </c>
      <c r="AB743" s="73">
        <f t="shared" si="32"/>
        <v>-15</v>
      </c>
      <c r="AC743" s="11" t="str">
        <f t="shared" si="33"/>
        <v/>
      </c>
      <c r="AD743" s="73">
        <f t="shared" si="34"/>
        <v>-2</v>
      </c>
      <c r="AE743" s="11" t="str">
        <f t="shared" si="35"/>
        <v/>
      </c>
      <c r="AF743" s="73">
        <f t="shared" si="36"/>
        <v>-14.999257</v>
      </c>
      <c r="AG743" s="11" t="str">
        <f t="shared" si="37"/>
        <v/>
      </c>
      <c r="AH743" s="73">
        <f t="shared" si="38"/>
        <v>-1.9992570000000001</v>
      </c>
    </row>
    <row r="744" spans="1:34" ht="14.25" customHeight="1">
      <c r="A744" s="11">
        <v>729</v>
      </c>
      <c r="B744" s="66"/>
      <c r="C744" s="67"/>
      <c r="D744" s="67"/>
      <c r="E744" s="67"/>
      <c r="F744" s="67"/>
      <c r="G744" s="67" t="s">
        <v>35</v>
      </c>
      <c r="H744" s="67">
        <v>45986</v>
      </c>
      <c r="I744" s="6" t="s">
        <v>1344</v>
      </c>
      <c r="J744" s="94">
        <v>4148106667</v>
      </c>
      <c r="K744" s="68">
        <v>45961</v>
      </c>
      <c r="L744" s="68">
        <v>46022</v>
      </c>
      <c r="M744" s="68">
        <v>46203</v>
      </c>
      <c r="N744" s="69">
        <f t="shared" si="26"/>
        <v>8</v>
      </c>
      <c r="O744" s="69">
        <f t="shared" si="27"/>
        <v>6</v>
      </c>
      <c r="P744" s="70">
        <v>34</v>
      </c>
      <c r="Q744" s="70">
        <v>36</v>
      </c>
      <c r="R744" s="70">
        <v>42</v>
      </c>
      <c r="S744" s="68" t="str">
        <f t="shared" si="28"/>
        <v/>
      </c>
      <c r="T744" s="68"/>
      <c r="U744" s="95"/>
      <c r="V744" s="68"/>
      <c r="W744" s="6"/>
      <c r="X744" s="10"/>
      <c r="Y744" s="71">
        <f t="shared" si="29"/>
        <v>36</v>
      </c>
      <c r="Z744" s="73">
        <f t="shared" si="30"/>
        <v>42</v>
      </c>
      <c r="AA744" s="11" t="str">
        <f t="shared" si="31"/>
        <v/>
      </c>
      <c r="AB744" s="73">
        <f t="shared" si="32"/>
        <v>8</v>
      </c>
      <c r="AC744" s="11" t="str">
        <f t="shared" si="33"/>
        <v/>
      </c>
      <c r="AD744" s="73">
        <f t="shared" si="34"/>
        <v>6</v>
      </c>
      <c r="AE744" s="11" t="str">
        <f t="shared" si="35"/>
        <v/>
      </c>
      <c r="AF744" s="73">
        <f t="shared" si="36"/>
        <v>8.0007439999999992</v>
      </c>
      <c r="AG744" s="11" t="str">
        <f t="shared" si="37"/>
        <v/>
      </c>
      <c r="AH744" s="73">
        <f t="shared" si="38"/>
        <v>6.0007440000000001</v>
      </c>
    </row>
    <row r="745" spans="1:34" ht="14.25" customHeight="1">
      <c r="A745" s="11">
        <v>730</v>
      </c>
      <c r="B745" s="66" t="s">
        <v>35</v>
      </c>
      <c r="C745" s="67">
        <v>45444</v>
      </c>
      <c r="D745" s="67">
        <v>45408</v>
      </c>
      <c r="E745" s="67"/>
      <c r="F745" s="67"/>
      <c r="G745" s="67" t="s">
        <v>35</v>
      </c>
      <c r="H745" s="67">
        <v>45266</v>
      </c>
      <c r="I745" s="6" t="s">
        <v>1345</v>
      </c>
      <c r="J745" s="9">
        <v>4148602818</v>
      </c>
      <c r="K745" s="68">
        <v>45260</v>
      </c>
      <c r="L745" s="68">
        <v>46022</v>
      </c>
      <c r="M745" s="68">
        <v>46203</v>
      </c>
      <c r="N745" s="69">
        <f t="shared" si="26"/>
        <v>10</v>
      </c>
      <c r="O745" s="69">
        <f t="shared" si="27"/>
        <v>1</v>
      </c>
      <c r="P745" s="70">
        <v>5</v>
      </c>
      <c r="Q745" s="70">
        <v>14</v>
      </c>
      <c r="R745" s="70">
        <v>15</v>
      </c>
      <c r="S745" s="68" t="str">
        <f t="shared" si="28"/>
        <v/>
      </c>
      <c r="T745" s="68"/>
      <c r="U745" s="68"/>
      <c r="V745" s="68"/>
      <c r="W745" s="9"/>
      <c r="X745" s="10"/>
      <c r="Y745" s="71">
        <f t="shared" si="29"/>
        <v>14</v>
      </c>
      <c r="Z745" s="73">
        <f t="shared" si="30"/>
        <v>15</v>
      </c>
      <c r="AA745" s="73">
        <f t="shared" si="31"/>
        <v>10</v>
      </c>
      <c r="AB745" s="73">
        <f t="shared" si="32"/>
        <v>10</v>
      </c>
      <c r="AC745" s="73">
        <f t="shared" si="33"/>
        <v>1</v>
      </c>
      <c r="AD745" s="73">
        <f t="shared" si="34"/>
        <v>1</v>
      </c>
      <c r="AE745" s="73">
        <f t="shared" si="35"/>
        <v>10.000745</v>
      </c>
      <c r="AF745" s="73">
        <f t="shared" si="36"/>
        <v>10.000745</v>
      </c>
      <c r="AG745" s="73">
        <f t="shared" si="37"/>
        <v>1.000745</v>
      </c>
      <c r="AH745" s="73">
        <f t="shared" si="38"/>
        <v>1.000745</v>
      </c>
    </row>
    <row r="746" spans="1:34" ht="14.25" customHeight="1">
      <c r="A746" s="11">
        <v>731</v>
      </c>
      <c r="B746" s="66" t="s">
        <v>35</v>
      </c>
      <c r="C746" s="67">
        <v>44621</v>
      </c>
      <c r="D746" s="67"/>
      <c r="E746" s="67"/>
      <c r="F746" s="67"/>
      <c r="G746" s="67"/>
      <c r="H746" s="67"/>
      <c r="I746" s="6" t="s">
        <v>1346</v>
      </c>
      <c r="J746" s="9">
        <v>4148802729</v>
      </c>
      <c r="K746" s="68">
        <v>44620</v>
      </c>
      <c r="L746" s="68">
        <v>46022</v>
      </c>
      <c r="M746" s="68">
        <v>46203</v>
      </c>
      <c r="N746" s="69">
        <f t="shared" si="26"/>
        <v>0</v>
      </c>
      <c r="O746" s="69">
        <f t="shared" si="27"/>
        <v>-1</v>
      </c>
      <c r="P746" s="70">
        <v>0</v>
      </c>
      <c r="Q746" s="70">
        <v>1</v>
      </c>
      <c r="R746" s="70">
        <v>0</v>
      </c>
      <c r="S746" s="68" t="str">
        <f t="shared" si="28"/>
        <v/>
      </c>
      <c r="T746" s="68"/>
      <c r="U746" s="68"/>
      <c r="V746" s="68"/>
      <c r="W746" s="9"/>
      <c r="X746" s="10"/>
      <c r="Y746" s="71">
        <f t="shared" si="29"/>
        <v>1</v>
      </c>
      <c r="Z746" s="73">
        <f t="shared" si="30"/>
        <v>0</v>
      </c>
      <c r="AA746" s="73">
        <f t="shared" si="31"/>
        <v>0</v>
      </c>
      <c r="AB746" s="11" t="str">
        <f t="shared" si="32"/>
        <v/>
      </c>
      <c r="AC746" s="73">
        <f t="shared" si="33"/>
        <v>-1</v>
      </c>
      <c r="AD746" s="11" t="str">
        <f t="shared" si="34"/>
        <v/>
      </c>
      <c r="AE746" s="73">
        <f t="shared" si="35"/>
        <v>7.4600000000000003E-4</v>
      </c>
      <c r="AF746" s="11" t="str">
        <f t="shared" si="36"/>
        <v/>
      </c>
      <c r="AG746" s="73">
        <f t="shared" si="37"/>
        <v>-0.99925399999999998</v>
      </c>
      <c r="AH746" s="11" t="str">
        <f t="shared" si="38"/>
        <v/>
      </c>
    </row>
    <row r="747" spans="1:34" ht="14.25" customHeight="1">
      <c r="A747" s="11">
        <v>732</v>
      </c>
      <c r="B747" s="66"/>
      <c r="C747" s="67"/>
      <c r="D747" s="67"/>
      <c r="E747" s="67"/>
      <c r="F747" s="67"/>
      <c r="G747" s="67" t="s">
        <v>35</v>
      </c>
      <c r="H747" s="67">
        <v>45873</v>
      </c>
      <c r="I747" s="6" t="s">
        <v>1347</v>
      </c>
      <c r="J747" s="94">
        <v>4148802772</v>
      </c>
      <c r="K747" s="68">
        <v>45869</v>
      </c>
      <c r="L747" s="68">
        <v>46022</v>
      </c>
      <c r="M747" s="68">
        <v>46203</v>
      </c>
      <c r="N747" s="69">
        <f t="shared" si="26"/>
        <v>5</v>
      </c>
      <c r="O747" s="69">
        <f t="shared" si="27"/>
        <v>3</v>
      </c>
      <c r="P747" s="70">
        <v>6</v>
      </c>
      <c r="Q747" s="70">
        <v>8</v>
      </c>
      <c r="R747" s="70">
        <v>11</v>
      </c>
      <c r="S747" s="68" t="str">
        <f t="shared" si="28"/>
        <v/>
      </c>
      <c r="T747" s="68"/>
      <c r="U747" s="95"/>
      <c r="V747" s="68"/>
      <c r="W747" s="6"/>
      <c r="X747" s="10"/>
      <c r="Y747" s="71">
        <f t="shared" si="29"/>
        <v>8</v>
      </c>
      <c r="Z747" s="73">
        <f t="shared" si="30"/>
        <v>11</v>
      </c>
      <c r="AA747" s="11" t="str">
        <f t="shared" si="31"/>
        <v/>
      </c>
      <c r="AB747" s="73">
        <f t="shared" si="32"/>
        <v>5</v>
      </c>
      <c r="AC747" s="11" t="str">
        <f t="shared" si="33"/>
        <v/>
      </c>
      <c r="AD747" s="73">
        <f t="shared" si="34"/>
        <v>3</v>
      </c>
      <c r="AE747" s="11" t="str">
        <f t="shared" si="35"/>
        <v/>
      </c>
      <c r="AF747" s="73">
        <f t="shared" si="36"/>
        <v>5.0007469999999996</v>
      </c>
      <c r="AG747" s="11" t="str">
        <f t="shared" si="37"/>
        <v/>
      </c>
      <c r="AH747" s="73">
        <f t="shared" si="38"/>
        <v>3.0007470000000001</v>
      </c>
    </row>
    <row r="748" spans="1:34" ht="14.25" customHeight="1">
      <c r="A748" s="11">
        <v>733</v>
      </c>
      <c r="B748" s="66"/>
      <c r="C748" s="67"/>
      <c r="D748" s="67"/>
      <c r="E748" s="67"/>
      <c r="F748" s="67"/>
      <c r="G748" s="67" t="s">
        <v>35</v>
      </c>
      <c r="H748" s="67">
        <v>42898</v>
      </c>
      <c r="I748" s="6" t="s">
        <v>1348</v>
      </c>
      <c r="J748" s="9">
        <v>4158156933</v>
      </c>
      <c r="K748" s="68">
        <v>42886</v>
      </c>
      <c r="L748" s="68">
        <v>46022</v>
      </c>
      <c r="M748" s="68">
        <v>46203</v>
      </c>
      <c r="N748" s="69">
        <f t="shared" si="26"/>
        <v>7</v>
      </c>
      <c r="O748" s="69">
        <f t="shared" si="27"/>
        <v>0</v>
      </c>
      <c r="P748" s="70">
        <v>9</v>
      </c>
      <c r="Q748" s="70">
        <v>16</v>
      </c>
      <c r="R748" s="70">
        <v>16</v>
      </c>
      <c r="S748" s="68" t="str">
        <f t="shared" si="28"/>
        <v/>
      </c>
      <c r="T748" s="68"/>
      <c r="U748" s="68"/>
      <c r="V748" s="68"/>
      <c r="W748" s="9"/>
      <c r="X748" s="10"/>
      <c r="Y748" s="71">
        <f t="shared" si="29"/>
        <v>16</v>
      </c>
      <c r="Z748" s="73">
        <f t="shared" si="30"/>
        <v>16</v>
      </c>
      <c r="AA748" s="11" t="str">
        <f t="shared" si="31"/>
        <v/>
      </c>
      <c r="AB748" s="73">
        <f t="shared" si="32"/>
        <v>7</v>
      </c>
      <c r="AC748" s="11" t="str">
        <f t="shared" si="33"/>
        <v/>
      </c>
      <c r="AD748" s="73">
        <f t="shared" si="34"/>
        <v>0</v>
      </c>
      <c r="AE748" s="11" t="str">
        <f t="shared" si="35"/>
        <v/>
      </c>
      <c r="AF748" s="73">
        <f t="shared" si="36"/>
        <v>7.0007479999999997</v>
      </c>
      <c r="AG748" s="11" t="str">
        <f t="shared" si="37"/>
        <v/>
      </c>
      <c r="AH748" s="73">
        <f t="shared" si="38"/>
        <v>7.4799999999999997E-4</v>
      </c>
    </row>
    <row r="749" spans="1:34" ht="14.25" customHeight="1">
      <c r="A749" s="11">
        <v>734</v>
      </c>
      <c r="B749" s="66"/>
      <c r="C749" s="67"/>
      <c r="D749" s="67"/>
      <c r="E749" s="67"/>
      <c r="F749" s="67"/>
      <c r="G749" s="67" t="s">
        <v>35</v>
      </c>
      <c r="H749" s="67">
        <v>43921</v>
      </c>
      <c r="I749" s="6" t="s">
        <v>1349</v>
      </c>
      <c r="J749" s="9">
        <v>4168602207</v>
      </c>
      <c r="K749" s="68">
        <v>43890</v>
      </c>
      <c r="L749" s="68">
        <v>46022</v>
      </c>
      <c r="M749" s="68">
        <v>46203</v>
      </c>
      <c r="N749" s="69">
        <f t="shared" si="26"/>
        <v>15</v>
      </c>
      <c r="O749" s="69">
        <f t="shared" si="27"/>
        <v>6</v>
      </c>
      <c r="P749" s="70">
        <v>28</v>
      </c>
      <c r="Q749" s="70">
        <v>37</v>
      </c>
      <c r="R749" s="70">
        <v>43</v>
      </c>
      <c r="S749" s="68" t="str">
        <f t="shared" si="28"/>
        <v/>
      </c>
      <c r="T749" s="68"/>
      <c r="U749" s="68"/>
      <c r="V749" s="68"/>
      <c r="W749" s="9"/>
      <c r="X749" s="10"/>
      <c r="Y749" s="71">
        <f t="shared" si="29"/>
        <v>37</v>
      </c>
      <c r="Z749" s="73">
        <f t="shared" si="30"/>
        <v>43</v>
      </c>
      <c r="AA749" s="11" t="str">
        <f t="shared" si="31"/>
        <v/>
      </c>
      <c r="AB749" s="73">
        <f t="shared" si="32"/>
        <v>15</v>
      </c>
      <c r="AC749" s="11" t="str">
        <f t="shared" si="33"/>
        <v/>
      </c>
      <c r="AD749" s="73">
        <f t="shared" si="34"/>
        <v>6</v>
      </c>
      <c r="AE749" s="11" t="str">
        <f t="shared" si="35"/>
        <v/>
      </c>
      <c r="AF749" s="73">
        <f t="shared" si="36"/>
        <v>15.000749000000001</v>
      </c>
      <c r="AG749" s="11" t="str">
        <f t="shared" si="37"/>
        <v/>
      </c>
      <c r="AH749" s="73">
        <f t="shared" si="38"/>
        <v>6.0007489999999999</v>
      </c>
    </row>
    <row r="750" spans="1:34" ht="14.25" customHeight="1">
      <c r="A750" s="11">
        <v>735</v>
      </c>
      <c r="B750" s="66"/>
      <c r="C750" s="67"/>
      <c r="D750" s="67"/>
      <c r="E750" s="67"/>
      <c r="F750" s="67"/>
      <c r="G750" s="67" t="s">
        <v>35</v>
      </c>
      <c r="H750" s="67">
        <v>43270</v>
      </c>
      <c r="I750" s="6" t="s">
        <v>1350</v>
      </c>
      <c r="J750" s="9">
        <v>4168603093</v>
      </c>
      <c r="K750" s="68">
        <v>43251</v>
      </c>
      <c r="L750" s="68">
        <v>46022</v>
      </c>
      <c r="M750" s="68">
        <v>46203</v>
      </c>
      <c r="N750" s="69">
        <f t="shared" si="26"/>
        <v>8</v>
      </c>
      <c r="O750" s="69">
        <f t="shared" si="27"/>
        <v>-1</v>
      </c>
      <c r="P750" s="70">
        <v>0</v>
      </c>
      <c r="Q750" s="70">
        <v>9</v>
      </c>
      <c r="R750" s="70">
        <v>8</v>
      </c>
      <c r="S750" s="68" t="str">
        <f t="shared" si="28"/>
        <v/>
      </c>
      <c r="T750" s="68"/>
      <c r="U750" s="68"/>
      <c r="V750" s="68"/>
      <c r="W750" s="9"/>
      <c r="X750" s="10"/>
      <c r="Y750" s="71">
        <f t="shared" si="29"/>
        <v>9</v>
      </c>
      <c r="Z750" s="73">
        <f t="shared" si="30"/>
        <v>8</v>
      </c>
      <c r="AA750" s="11" t="str">
        <f t="shared" si="31"/>
        <v/>
      </c>
      <c r="AB750" s="73">
        <f t="shared" si="32"/>
        <v>8</v>
      </c>
      <c r="AC750" s="11" t="str">
        <f t="shared" si="33"/>
        <v/>
      </c>
      <c r="AD750" s="73">
        <f t="shared" si="34"/>
        <v>-1</v>
      </c>
      <c r="AE750" s="11" t="str">
        <f t="shared" si="35"/>
        <v/>
      </c>
      <c r="AF750" s="73">
        <f t="shared" si="36"/>
        <v>8.00075</v>
      </c>
      <c r="AG750" s="11" t="str">
        <f t="shared" si="37"/>
        <v/>
      </c>
      <c r="AH750" s="73">
        <f t="shared" si="38"/>
        <v>-0.99924999999999997</v>
      </c>
    </row>
    <row r="751" spans="1:34" ht="14.25" customHeight="1">
      <c r="A751" s="11">
        <v>736</v>
      </c>
      <c r="B751" s="66"/>
      <c r="C751" s="67"/>
      <c r="D751" s="67"/>
      <c r="E751" s="67"/>
      <c r="F751" s="67"/>
      <c r="G751" s="67" t="s">
        <v>35</v>
      </c>
      <c r="H751" s="67">
        <v>45636</v>
      </c>
      <c r="I751" s="6" t="s">
        <v>1351</v>
      </c>
      <c r="J751" s="9">
        <v>4168603716</v>
      </c>
      <c r="K751" s="68">
        <v>45626</v>
      </c>
      <c r="L751" s="68">
        <v>46022</v>
      </c>
      <c r="M751" s="68">
        <v>46203</v>
      </c>
      <c r="N751" s="69">
        <f t="shared" si="26"/>
        <v>4</v>
      </c>
      <c r="O751" s="69">
        <f t="shared" si="27"/>
        <v>1</v>
      </c>
      <c r="P751" s="70">
        <v>7</v>
      </c>
      <c r="Q751" s="70">
        <v>10</v>
      </c>
      <c r="R751" s="70">
        <v>11</v>
      </c>
      <c r="S751" s="68" t="str">
        <f t="shared" si="28"/>
        <v/>
      </c>
      <c r="T751" s="68"/>
      <c r="U751" s="68"/>
      <c r="V751" s="68"/>
      <c r="W751" s="9"/>
      <c r="X751" s="10"/>
      <c r="Y751" s="71">
        <f t="shared" si="29"/>
        <v>10</v>
      </c>
      <c r="Z751" s="73">
        <f t="shared" si="30"/>
        <v>11</v>
      </c>
      <c r="AA751" s="11" t="str">
        <f t="shared" si="31"/>
        <v/>
      </c>
      <c r="AB751" s="73">
        <f t="shared" si="32"/>
        <v>4</v>
      </c>
      <c r="AC751" s="11" t="str">
        <f t="shared" si="33"/>
        <v/>
      </c>
      <c r="AD751" s="73">
        <f t="shared" si="34"/>
        <v>1</v>
      </c>
      <c r="AE751" s="11" t="str">
        <f t="shared" si="35"/>
        <v/>
      </c>
      <c r="AF751" s="73">
        <f t="shared" si="36"/>
        <v>4.0007510000000002</v>
      </c>
      <c r="AG751" s="11" t="str">
        <f t="shared" si="37"/>
        <v/>
      </c>
      <c r="AH751" s="73">
        <f t="shared" si="38"/>
        <v>1.0007509999999999</v>
      </c>
    </row>
    <row r="752" spans="1:34" ht="14.25" customHeight="1">
      <c r="A752" s="11">
        <v>737</v>
      </c>
      <c r="B752" s="66"/>
      <c r="C752" s="67"/>
      <c r="D752" s="67"/>
      <c r="E752" s="67"/>
      <c r="F752" s="67"/>
      <c r="G752" s="124" t="s">
        <v>24</v>
      </c>
      <c r="H752" s="67">
        <v>45092</v>
      </c>
      <c r="I752" s="6" t="s">
        <v>1352</v>
      </c>
      <c r="J752" s="9">
        <v>4168604544</v>
      </c>
      <c r="K752" s="68">
        <v>45077</v>
      </c>
      <c r="L752" s="68">
        <v>46022</v>
      </c>
      <c r="M752" s="68">
        <v>46142</v>
      </c>
      <c r="N752" s="69">
        <f t="shared" si="26"/>
        <v>-4</v>
      </c>
      <c r="O752" s="69">
        <f t="shared" si="27"/>
        <v>-20</v>
      </c>
      <c r="P752" s="70">
        <v>4</v>
      </c>
      <c r="Q752" s="70">
        <v>20</v>
      </c>
      <c r="R752" s="70">
        <v>0</v>
      </c>
      <c r="S752" s="68">
        <f t="shared" si="28"/>
        <v>46121</v>
      </c>
      <c r="T752" s="68">
        <v>46121</v>
      </c>
      <c r="U752" s="68"/>
      <c r="V752" s="68"/>
      <c r="W752" s="9"/>
      <c r="X752" s="10"/>
      <c r="Y752" s="71">
        <f t="shared" si="29"/>
        <v>20</v>
      </c>
      <c r="Z752" s="73">
        <f t="shared" si="30"/>
        <v>0</v>
      </c>
      <c r="AA752" s="11" t="str">
        <f t="shared" si="31"/>
        <v/>
      </c>
      <c r="AB752" s="73">
        <f t="shared" si="32"/>
        <v>-4</v>
      </c>
      <c r="AC752" s="11" t="str">
        <f t="shared" si="33"/>
        <v/>
      </c>
      <c r="AD752" s="73">
        <f t="shared" si="34"/>
        <v>-20</v>
      </c>
      <c r="AE752" s="11" t="str">
        <f t="shared" si="35"/>
        <v/>
      </c>
      <c r="AF752" s="73">
        <f t="shared" si="36"/>
        <v>-3.9992480000000001</v>
      </c>
      <c r="AG752" s="11" t="str">
        <f t="shared" si="37"/>
        <v/>
      </c>
      <c r="AH752" s="73">
        <f t="shared" si="38"/>
        <v>-19.999248000000001</v>
      </c>
    </row>
    <row r="753" spans="1:34" ht="14.25" customHeight="1">
      <c r="A753" s="11">
        <v>738</v>
      </c>
      <c r="B753" s="66" t="s">
        <v>35</v>
      </c>
      <c r="C753" s="67">
        <v>45078</v>
      </c>
      <c r="D753" s="67"/>
      <c r="E753" s="67"/>
      <c r="F753" s="67"/>
      <c r="G753" s="67"/>
      <c r="H753" s="67"/>
      <c r="I753" s="6" t="s">
        <v>1353</v>
      </c>
      <c r="J753" s="9">
        <v>4168701826</v>
      </c>
      <c r="K753" s="68">
        <v>45077</v>
      </c>
      <c r="L753" s="68">
        <v>46022</v>
      </c>
      <c r="M753" s="68">
        <v>46203</v>
      </c>
      <c r="N753" s="69">
        <f t="shared" si="26"/>
        <v>-3</v>
      </c>
      <c r="O753" s="69">
        <f t="shared" si="27"/>
        <v>-6</v>
      </c>
      <c r="P753" s="70">
        <v>6</v>
      </c>
      <c r="Q753" s="70">
        <v>9</v>
      </c>
      <c r="R753" s="70">
        <v>3</v>
      </c>
      <c r="S753" s="68" t="str">
        <f t="shared" si="28"/>
        <v/>
      </c>
      <c r="T753" s="68"/>
      <c r="U753" s="68"/>
      <c r="V753" s="68"/>
      <c r="W753" s="9"/>
      <c r="X753" s="10"/>
      <c r="Y753" s="71">
        <f t="shared" si="29"/>
        <v>9</v>
      </c>
      <c r="Z753" s="73">
        <f t="shared" si="30"/>
        <v>3</v>
      </c>
      <c r="AA753" s="73">
        <f t="shared" si="31"/>
        <v>-3</v>
      </c>
      <c r="AB753" s="11" t="str">
        <f t="shared" si="32"/>
        <v/>
      </c>
      <c r="AC753" s="73">
        <f t="shared" si="33"/>
        <v>-6</v>
      </c>
      <c r="AD753" s="11" t="str">
        <f t="shared" si="34"/>
        <v/>
      </c>
      <c r="AE753" s="73">
        <f t="shared" si="35"/>
        <v>-2.999247</v>
      </c>
      <c r="AF753" s="11" t="str">
        <f t="shared" si="36"/>
        <v/>
      </c>
      <c r="AG753" s="73">
        <f t="shared" si="37"/>
        <v>-5.9992470000000004</v>
      </c>
      <c r="AH753" s="11" t="str">
        <f t="shared" si="38"/>
        <v/>
      </c>
    </row>
    <row r="754" spans="1:34" ht="14.25" customHeight="1">
      <c r="A754" s="11">
        <v>739</v>
      </c>
      <c r="B754" s="66" t="s">
        <v>35</v>
      </c>
      <c r="C754" s="67">
        <v>44319</v>
      </c>
      <c r="D754" s="67"/>
      <c r="E754" s="67"/>
      <c r="F754" s="67"/>
      <c r="G754" s="67"/>
      <c r="H754" s="67"/>
      <c r="I754" s="6" t="s">
        <v>1354</v>
      </c>
      <c r="J754" s="9">
        <v>4168800896</v>
      </c>
      <c r="K754" s="68">
        <v>44316</v>
      </c>
      <c r="L754" s="68">
        <v>46022</v>
      </c>
      <c r="M754" s="68">
        <v>46203</v>
      </c>
      <c r="N754" s="69">
        <f t="shared" si="26"/>
        <v>-7</v>
      </c>
      <c r="O754" s="69">
        <f t="shared" si="27"/>
        <v>0</v>
      </c>
      <c r="P754" s="70">
        <v>9</v>
      </c>
      <c r="Q754" s="70">
        <v>2</v>
      </c>
      <c r="R754" s="70">
        <v>2</v>
      </c>
      <c r="S754" s="68" t="str">
        <f t="shared" si="28"/>
        <v/>
      </c>
      <c r="T754" s="68"/>
      <c r="U754" s="68"/>
      <c r="V754" s="68"/>
      <c r="W754" s="9"/>
      <c r="X754" s="10"/>
      <c r="Y754" s="71">
        <f t="shared" si="29"/>
        <v>2</v>
      </c>
      <c r="Z754" s="73">
        <f t="shared" si="30"/>
        <v>2</v>
      </c>
      <c r="AA754" s="73">
        <f t="shared" si="31"/>
        <v>-7</v>
      </c>
      <c r="AB754" s="11" t="str">
        <f t="shared" si="32"/>
        <v/>
      </c>
      <c r="AC754" s="73">
        <f t="shared" si="33"/>
        <v>0</v>
      </c>
      <c r="AD754" s="11" t="str">
        <f t="shared" si="34"/>
        <v/>
      </c>
      <c r="AE754" s="73">
        <f t="shared" si="35"/>
        <v>-6.9992460000000003</v>
      </c>
      <c r="AF754" s="11" t="str">
        <f t="shared" si="36"/>
        <v/>
      </c>
      <c r="AG754" s="73">
        <f t="shared" si="37"/>
        <v>7.54E-4</v>
      </c>
      <c r="AH754" s="11" t="str">
        <f t="shared" si="38"/>
        <v/>
      </c>
    </row>
    <row r="755" spans="1:34" ht="14.25" customHeight="1">
      <c r="A755" s="11">
        <v>740</v>
      </c>
      <c r="B755" s="66"/>
      <c r="C755" s="67"/>
      <c r="D755" s="67"/>
      <c r="E755" s="67"/>
      <c r="F755" s="67"/>
      <c r="G755" s="67" t="s">
        <v>35</v>
      </c>
      <c r="H755" s="67">
        <v>45644</v>
      </c>
      <c r="I755" s="6" t="s">
        <v>1355</v>
      </c>
      <c r="J755" s="9">
        <v>4188121582</v>
      </c>
      <c r="K755" s="68">
        <v>45626</v>
      </c>
      <c r="L755" s="68">
        <v>46022</v>
      </c>
      <c r="M755" s="68">
        <v>46203</v>
      </c>
      <c r="N755" s="69">
        <f t="shared" si="26"/>
        <v>26</v>
      </c>
      <c r="O755" s="69">
        <f t="shared" si="27"/>
        <v>-5</v>
      </c>
      <c r="P755" s="70">
        <v>29</v>
      </c>
      <c r="Q755" s="70">
        <v>60</v>
      </c>
      <c r="R755" s="70">
        <v>55</v>
      </c>
      <c r="S755" s="68" t="str">
        <f t="shared" si="28"/>
        <v/>
      </c>
      <c r="T755" s="68"/>
      <c r="U755" s="68"/>
      <c r="V755" s="68"/>
      <c r="W755" s="9"/>
      <c r="X755" s="10"/>
      <c r="Y755" s="71">
        <f t="shared" si="29"/>
        <v>60</v>
      </c>
      <c r="Z755" s="73">
        <f t="shared" si="30"/>
        <v>55</v>
      </c>
      <c r="AA755" s="11" t="str">
        <f t="shared" si="31"/>
        <v/>
      </c>
      <c r="AB755" s="73">
        <f t="shared" si="32"/>
        <v>26</v>
      </c>
      <c r="AC755" s="11" t="str">
        <f t="shared" si="33"/>
        <v/>
      </c>
      <c r="AD755" s="73">
        <f t="shared" si="34"/>
        <v>-5</v>
      </c>
      <c r="AE755" s="11" t="str">
        <f t="shared" si="35"/>
        <v/>
      </c>
      <c r="AF755" s="73">
        <f t="shared" si="36"/>
        <v>26.000755000000002</v>
      </c>
      <c r="AG755" s="11" t="str">
        <f t="shared" si="37"/>
        <v/>
      </c>
      <c r="AH755" s="73">
        <f t="shared" si="38"/>
        <v>-4.9992450000000002</v>
      </c>
    </row>
    <row r="756" spans="1:34" ht="14.25" customHeight="1">
      <c r="A756" s="11">
        <v>741</v>
      </c>
      <c r="B756" s="66"/>
      <c r="C756" s="67"/>
      <c r="D756" s="67"/>
      <c r="E756" s="67"/>
      <c r="F756" s="67"/>
      <c r="G756" s="67" t="s">
        <v>35</v>
      </c>
      <c r="H756" s="67">
        <v>43343</v>
      </c>
      <c r="I756" s="6" t="s">
        <v>1356</v>
      </c>
      <c r="J756" s="9">
        <v>4188800382</v>
      </c>
      <c r="K756" s="68">
        <v>43312</v>
      </c>
      <c r="L756" s="68">
        <v>46022</v>
      </c>
      <c r="M756" s="68">
        <v>46203</v>
      </c>
      <c r="N756" s="69">
        <f t="shared" si="26"/>
        <v>125</v>
      </c>
      <c r="O756" s="69">
        <f t="shared" si="27"/>
        <v>8</v>
      </c>
      <c r="P756" s="70">
        <v>17</v>
      </c>
      <c r="Q756" s="70">
        <v>134</v>
      </c>
      <c r="R756" s="70">
        <v>142</v>
      </c>
      <c r="S756" s="68" t="str">
        <f t="shared" si="28"/>
        <v/>
      </c>
      <c r="T756" s="68"/>
      <c r="U756" s="68"/>
      <c r="V756" s="68"/>
      <c r="W756" s="9"/>
      <c r="X756" s="10"/>
      <c r="Y756" s="71">
        <f t="shared" si="29"/>
        <v>134</v>
      </c>
      <c r="Z756" s="73">
        <f t="shared" si="30"/>
        <v>142</v>
      </c>
      <c r="AA756" s="11" t="str">
        <f t="shared" si="31"/>
        <v/>
      </c>
      <c r="AB756" s="73">
        <f t="shared" si="32"/>
        <v>125</v>
      </c>
      <c r="AC756" s="11" t="str">
        <f t="shared" si="33"/>
        <v/>
      </c>
      <c r="AD756" s="73">
        <f t="shared" si="34"/>
        <v>8</v>
      </c>
      <c r="AE756" s="11" t="str">
        <f t="shared" si="35"/>
        <v/>
      </c>
      <c r="AF756" s="73">
        <f t="shared" si="36"/>
        <v>125.000756</v>
      </c>
      <c r="AG756" s="11" t="str">
        <f t="shared" si="37"/>
        <v/>
      </c>
      <c r="AH756" s="73">
        <f t="shared" si="38"/>
        <v>8.0007560000000009</v>
      </c>
    </row>
    <row r="757" spans="1:34" ht="14.25" customHeight="1">
      <c r="A757" s="11">
        <v>742</v>
      </c>
      <c r="B757" s="66" t="s">
        <v>35</v>
      </c>
      <c r="C757" s="67">
        <v>44896</v>
      </c>
      <c r="D757" s="67">
        <v>44911</v>
      </c>
      <c r="E757" s="67"/>
      <c r="F757" s="67"/>
      <c r="G757" s="67"/>
      <c r="H757" s="67"/>
      <c r="I757" s="6" t="s">
        <v>1357</v>
      </c>
      <c r="J757" s="9">
        <v>4198102652</v>
      </c>
      <c r="K757" s="68">
        <v>44895</v>
      </c>
      <c r="L757" s="68">
        <v>46022</v>
      </c>
      <c r="M757" s="68">
        <v>46203</v>
      </c>
      <c r="N757" s="69">
        <f t="shared" si="26"/>
        <v>2</v>
      </c>
      <c r="O757" s="69">
        <f t="shared" si="27"/>
        <v>-1</v>
      </c>
      <c r="P757" s="70">
        <v>3</v>
      </c>
      <c r="Q757" s="70">
        <v>6</v>
      </c>
      <c r="R757" s="70">
        <v>5</v>
      </c>
      <c r="S757" s="68" t="str">
        <f t="shared" si="28"/>
        <v/>
      </c>
      <c r="T757" s="68"/>
      <c r="U757" s="68"/>
      <c r="V757" s="68"/>
      <c r="W757" s="9"/>
      <c r="X757" s="10"/>
      <c r="Y757" s="71">
        <f t="shared" si="29"/>
        <v>6</v>
      </c>
      <c r="Z757" s="73">
        <f t="shared" si="30"/>
        <v>5</v>
      </c>
      <c r="AA757" s="73">
        <f t="shared" si="31"/>
        <v>2</v>
      </c>
      <c r="AB757" s="11" t="str">
        <f t="shared" si="32"/>
        <v/>
      </c>
      <c r="AC757" s="73">
        <f t="shared" si="33"/>
        <v>-1</v>
      </c>
      <c r="AD757" s="11" t="str">
        <f t="shared" si="34"/>
        <v/>
      </c>
      <c r="AE757" s="73">
        <f t="shared" si="35"/>
        <v>2.0007570000000001</v>
      </c>
      <c r="AF757" s="11" t="str">
        <f t="shared" si="36"/>
        <v/>
      </c>
      <c r="AG757" s="73">
        <f t="shared" si="37"/>
        <v>-0.99924299999999999</v>
      </c>
      <c r="AH757" s="11" t="str">
        <f t="shared" si="38"/>
        <v/>
      </c>
    </row>
    <row r="758" spans="1:34" ht="14.25" customHeight="1">
      <c r="A758" s="11">
        <v>743</v>
      </c>
      <c r="B758" s="66"/>
      <c r="C758" s="67"/>
      <c r="D758" s="67"/>
      <c r="E758" s="67"/>
      <c r="F758" s="67"/>
      <c r="G758" s="67" t="s">
        <v>35</v>
      </c>
      <c r="H758" s="67">
        <v>44817</v>
      </c>
      <c r="I758" s="6" t="s">
        <v>1358</v>
      </c>
      <c r="J758" s="9">
        <v>4198701728</v>
      </c>
      <c r="K758" s="68">
        <v>44804</v>
      </c>
      <c r="L758" s="68">
        <v>46022</v>
      </c>
      <c r="M758" s="68">
        <v>46203</v>
      </c>
      <c r="N758" s="69">
        <f t="shared" si="26"/>
        <v>5</v>
      </c>
      <c r="O758" s="69">
        <f t="shared" si="27"/>
        <v>-2</v>
      </c>
      <c r="P758" s="70">
        <v>17</v>
      </c>
      <c r="Q758" s="70">
        <v>24</v>
      </c>
      <c r="R758" s="70">
        <v>22</v>
      </c>
      <c r="S758" s="68" t="str">
        <f t="shared" si="28"/>
        <v/>
      </c>
      <c r="T758" s="68"/>
      <c r="U758" s="68"/>
      <c r="V758" s="68"/>
      <c r="W758" s="9"/>
      <c r="X758" s="10"/>
      <c r="Y758" s="71">
        <f t="shared" si="29"/>
        <v>24</v>
      </c>
      <c r="Z758" s="73">
        <f t="shared" si="30"/>
        <v>22</v>
      </c>
      <c r="AA758" s="11" t="str">
        <f t="shared" si="31"/>
        <v/>
      </c>
      <c r="AB758" s="73">
        <f t="shared" si="32"/>
        <v>5</v>
      </c>
      <c r="AC758" s="11" t="str">
        <f t="shared" si="33"/>
        <v/>
      </c>
      <c r="AD758" s="73">
        <f t="shared" si="34"/>
        <v>-2</v>
      </c>
      <c r="AE758" s="11" t="str">
        <f t="shared" si="35"/>
        <v/>
      </c>
      <c r="AF758" s="73">
        <f t="shared" si="36"/>
        <v>5.0007580000000003</v>
      </c>
      <c r="AG758" s="11" t="str">
        <f t="shared" si="37"/>
        <v/>
      </c>
      <c r="AH758" s="73">
        <f t="shared" si="38"/>
        <v>-1.999242</v>
      </c>
    </row>
    <row r="759" spans="1:34" ht="14.25" customHeight="1">
      <c r="A759" s="11">
        <v>744</v>
      </c>
      <c r="B759" s="66" t="s">
        <v>35</v>
      </c>
      <c r="C759" s="67">
        <v>44896</v>
      </c>
      <c r="D759" s="67"/>
      <c r="E759" s="67"/>
      <c r="F759" s="67"/>
      <c r="G759" s="67"/>
      <c r="H759" s="67"/>
      <c r="I759" s="6" t="s">
        <v>1359</v>
      </c>
      <c r="J759" s="9">
        <v>4218600201</v>
      </c>
      <c r="K759" s="68">
        <v>44895</v>
      </c>
      <c r="L759" s="68">
        <v>46022</v>
      </c>
      <c r="M759" s="68">
        <v>46203</v>
      </c>
      <c r="N759" s="69">
        <f t="shared" si="26"/>
        <v>-1</v>
      </c>
      <c r="O759" s="69">
        <f t="shared" si="27"/>
        <v>-2</v>
      </c>
      <c r="P759" s="70">
        <v>16</v>
      </c>
      <c r="Q759" s="70">
        <v>17</v>
      </c>
      <c r="R759" s="70">
        <v>15</v>
      </c>
      <c r="S759" s="68" t="str">
        <f t="shared" si="28"/>
        <v/>
      </c>
      <c r="T759" s="68"/>
      <c r="U759" s="68"/>
      <c r="V759" s="68"/>
      <c r="W759" s="9"/>
      <c r="X759" s="10"/>
      <c r="Y759" s="71">
        <f t="shared" si="29"/>
        <v>17</v>
      </c>
      <c r="Z759" s="73">
        <f t="shared" si="30"/>
        <v>15</v>
      </c>
      <c r="AA759" s="73">
        <f t="shared" si="31"/>
        <v>-1</v>
      </c>
      <c r="AB759" s="11" t="str">
        <f t="shared" si="32"/>
        <v/>
      </c>
      <c r="AC759" s="73">
        <f t="shared" si="33"/>
        <v>-2</v>
      </c>
      <c r="AD759" s="11" t="str">
        <f t="shared" si="34"/>
        <v/>
      </c>
      <c r="AE759" s="73">
        <f t="shared" si="35"/>
        <v>-0.99924100000000005</v>
      </c>
      <c r="AF759" s="11" t="str">
        <f t="shared" si="36"/>
        <v/>
      </c>
      <c r="AG759" s="73">
        <f t="shared" si="37"/>
        <v>-1.999241</v>
      </c>
      <c r="AH759" s="11" t="str">
        <f t="shared" si="38"/>
        <v/>
      </c>
    </row>
    <row r="760" spans="1:34" ht="14.25" customHeight="1">
      <c r="A760" s="11">
        <v>745</v>
      </c>
      <c r="B760" s="66"/>
      <c r="C760" s="67"/>
      <c r="D760" s="67"/>
      <c r="E760" s="67"/>
      <c r="F760" s="67"/>
      <c r="G760" s="67" t="s">
        <v>35</v>
      </c>
      <c r="H760" s="67">
        <v>45590</v>
      </c>
      <c r="I760" s="6" t="s">
        <v>1360</v>
      </c>
      <c r="J760" s="9">
        <v>4218703001</v>
      </c>
      <c r="K760" s="68">
        <v>45565</v>
      </c>
      <c r="L760" s="68">
        <v>46022</v>
      </c>
      <c r="M760" s="68">
        <v>46203</v>
      </c>
      <c r="N760" s="69">
        <f t="shared" si="26"/>
        <v>9</v>
      </c>
      <c r="O760" s="69">
        <f t="shared" si="27"/>
        <v>1</v>
      </c>
      <c r="P760" s="70">
        <v>0</v>
      </c>
      <c r="Q760" s="70">
        <v>8</v>
      </c>
      <c r="R760" s="70">
        <v>9</v>
      </c>
      <c r="S760" s="68" t="str">
        <f t="shared" si="28"/>
        <v/>
      </c>
      <c r="T760" s="68"/>
      <c r="U760" s="68"/>
      <c r="V760" s="68"/>
      <c r="W760" s="9"/>
      <c r="X760" s="10"/>
      <c r="Y760" s="71">
        <f t="shared" si="29"/>
        <v>8</v>
      </c>
      <c r="Z760" s="73">
        <f t="shared" si="30"/>
        <v>9</v>
      </c>
      <c r="AA760" s="11" t="str">
        <f t="shared" si="31"/>
        <v/>
      </c>
      <c r="AB760" s="73">
        <f t="shared" si="32"/>
        <v>9</v>
      </c>
      <c r="AC760" s="11" t="str">
        <f t="shared" si="33"/>
        <v/>
      </c>
      <c r="AD760" s="73">
        <f t="shared" si="34"/>
        <v>1</v>
      </c>
      <c r="AE760" s="11" t="str">
        <f t="shared" si="35"/>
        <v/>
      </c>
      <c r="AF760" s="73">
        <f t="shared" si="36"/>
        <v>9.0007599999999996</v>
      </c>
      <c r="AG760" s="11" t="str">
        <f t="shared" si="37"/>
        <v/>
      </c>
      <c r="AH760" s="73">
        <f t="shared" si="38"/>
        <v>1.0007600000000001</v>
      </c>
    </row>
    <row r="761" spans="1:34" ht="14.25" customHeight="1">
      <c r="A761" s="11">
        <v>746</v>
      </c>
      <c r="B761" s="66" t="s">
        <v>35</v>
      </c>
      <c r="C761" s="67">
        <v>44986</v>
      </c>
      <c r="D761" s="67">
        <v>44977</v>
      </c>
      <c r="E761" s="67"/>
      <c r="F761" s="67"/>
      <c r="G761" s="67"/>
      <c r="H761" s="67"/>
      <c r="I761" s="6" t="s">
        <v>1361</v>
      </c>
      <c r="J761" s="9">
        <v>4238102739</v>
      </c>
      <c r="K761" s="68">
        <v>44957</v>
      </c>
      <c r="L761" s="68">
        <v>46022</v>
      </c>
      <c r="M761" s="68">
        <v>46203</v>
      </c>
      <c r="N761" s="69">
        <f t="shared" si="26"/>
        <v>-2</v>
      </c>
      <c r="O761" s="69">
        <f t="shared" si="27"/>
        <v>-1</v>
      </c>
      <c r="P761" s="70">
        <v>3</v>
      </c>
      <c r="Q761" s="70">
        <v>2</v>
      </c>
      <c r="R761" s="70">
        <v>1</v>
      </c>
      <c r="S761" s="68" t="str">
        <f t="shared" si="28"/>
        <v/>
      </c>
      <c r="T761" s="68"/>
      <c r="U761" s="68"/>
      <c r="V761" s="68"/>
      <c r="W761" s="9"/>
      <c r="X761" s="10"/>
      <c r="Y761" s="71">
        <f t="shared" si="29"/>
        <v>2</v>
      </c>
      <c r="Z761" s="73">
        <f t="shared" si="30"/>
        <v>1</v>
      </c>
      <c r="AA761" s="73">
        <f t="shared" si="31"/>
        <v>-2</v>
      </c>
      <c r="AB761" s="11" t="str">
        <f t="shared" si="32"/>
        <v/>
      </c>
      <c r="AC761" s="73">
        <f t="shared" si="33"/>
        <v>-1</v>
      </c>
      <c r="AD761" s="11" t="str">
        <f t="shared" si="34"/>
        <v/>
      </c>
      <c r="AE761" s="73">
        <f t="shared" si="35"/>
        <v>-1.999239</v>
      </c>
      <c r="AF761" s="11" t="str">
        <f t="shared" si="36"/>
        <v/>
      </c>
      <c r="AG761" s="73">
        <f t="shared" si="37"/>
        <v>-0.99923899999999999</v>
      </c>
      <c r="AH761" s="11" t="str">
        <f t="shared" si="38"/>
        <v/>
      </c>
    </row>
    <row r="762" spans="1:34" ht="14.25" customHeight="1">
      <c r="A762" s="11">
        <v>747</v>
      </c>
      <c r="B762" s="66" t="s">
        <v>35</v>
      </c>
      <c r="C762" s="67">
        <v>45261</v>
      </c>
      <c r="D762" s="67"/>
      <c r="E762" s="67"/>
      <c r="F762" s="67"/>
      <c r="G762" s="67" t="s">
        <v>35</v>
      </c>
      <c r="H762" s="67">
        <v>42926</v>
      </c>
      <c r="I762" s="6" t="s">
        <v>1362</v>
      </c>
      <c r="J762" s="9">
        <v>4238600075</v>
      </c>
      <c r="K762" s="68">
        <v>42916</v>
      </c>
      <c r="L762" s="68">
        <v>46022</v>
      </c>
      <c r="M762" s="68">
        <v>46203</v>
      </c>
      <c r="N762" s="69">
        <f t="shared" si="26"/>
        <v>22</v>
      </c>
      <c r="O762" s="69">
        <f t="shared" si="27"/>
        <v>-6</v>
      </c>
      <c r="P762" s="70">
        <v>8</v>
      </c>
      <c r="Q762" s="70">
        <v>36</v>
      </c>
      <c r="R762" s="70">
        <v>30</v>
      </c>
      <c r="S762" s="68" t="str">
        <f t="shared" si="28"/>
        <v/>
      </c>
      <c r="T762" s="68"/>
      <c r="U762" s="68"/>
      <c r="V762" s="68"/>
      <c r="W762" s="9"/>
      <c r="X762" s="10"/>
      <c r="Y762" s="71">
        <f t="shared" si="29"/>
        <v>36</v>
      </c>
      <c r="Z762" s="73">
        <f t="shared" si="30"/>
        <v>30</v>
      </c>
      <c r="AA762" s="73">
        <f t="shared" si="31"/>
        <v>22</v>
      </c>
      <c r="AB762" s="73">
        <f t="shared" si="32"/>
        <v>22</v>
      </c>
      <c r="AC762" s="73">
        <f t="shared" si="33"/>
        <v>-6</v>
      </c>
      <c r="AD762" s="73">
        <f t="shared" si="34"/>
        <v>-6</v>
      </c>
      <c r="AE762" s="73">
        <f t="shared" si="35"/>
        <v>22.000762000000002</v>
      </c>
      <c r="AF762" s="73">
        <f t="shared" si="36"/>
        <v>22.000762000000002</v>
      </c>
      <c r="AG762" s="73">
        <f t="shared" si="37"/>
        <v>-5.9992380000000001</v>
      </c>
      <c r="AH762" s="73">
        <f t="shared" si="38"/>
        <v>-5.9992380000000001</v>
      </c>
    </row>
    <row r="763" spans="1:34" ht="14.25" customHeight="1">
      <c r="A763" s="11">
        <v>748</v>
      </c>
      <c r="B763" s="66"/>
      <c r="C763" s="67"/>
      <c r="D763" s="67"/>
      <c r="E763" s="67"/>
      <c r="F763" s="67"/>
      <c r="G763" s="67" t="s">
        <v>35</v>
      </c>
      <c r="H763" s="67">
        <v>44761</v>
      </c>
      <c r="I763" s="6" t="s">
        <v>1363</v>
      </c>
      <c r="J763" s="9">
        <v>4238700640</v>
      </c>
      <c r="K763" s="68">
        <v>44742</v>
      </c>
      <c r="L763" s="68">
        <v>46022</v>
      </c>
      <c r="M763" s="68">
        <v>46203</v>
      </c>
      <c r="N763" s="69">
        <f t="shared" si="26"/>
        <v>3</v>
      </c>
      <c r="O763" s="69">
        <f t="shared" si="27"/>
        <v>1</v>
      </c>
      <c r="P763" s="70">
        <v>4</v>
      </c>
      <c r="Q763" s="70">
        <v>6</v>
      </c>
      <c r="R763" s="70">
        <v>7</v>
      </c>
      <c r="S763" s="68" t="str">
        <f t="shared" si="28"/>
        <v/>
      </c>
      <c r="T763" s="68"/>
      <c r="U763" s="68"/>
      <c r="V763" s="68"/>
      <c r="W763" s="9"/>
      <c r="X763" s="10"/>
      <c r="Y763" s="71">
        <f t="shared" si="29"/>
        <v>6</v>
      </c>
      <c r="Z763" s="73">
        <f t="shared" si="30"/>
        <v>7</v>
      </c>
      <c r="AA763" s="11" t="str">
        <f t="shared" si="31"/>
        <v/>
      </c>
      <c r="AB763" s="73">
        <f t="shared" si="32"/>
        <v>3</v>
      </c>
      <c r="AC763" s="11" t="str">
        <f t="shared" si="33"/>
        <v/>
      </c>
      <c r="AD763" s="73">
        <f t="shared" si="34"/>
        <v>1</v>
      </c>
      <c r="AE763" s="11" t="str">
        <f t="shared" si="35"/>
        <v/>
      </c>
      <c r="AF763" s="73">
        <f t="shared" si="36"/>
        <v>3.0007630000000001</v>
      </c>
      <c r="AG763" s="11" t="str">
        <f t="shared" si="37"/>
        <v/>
      </c>
      <c r="AH763" s="73">
        <f t="shared" si="38"/>
        <v>1.0007630000000001</v>
      </c>
    </row>
    <row r="764" spans="1:34" ht="14.25" customHeight="1">
      <c r="A764" s="11">
        <v>749</v>
      </c>
      <c r="B764" s="66" t="s">
        <v>35</v>
      </c>
      <c r="C764" s="67">
        <v>44998</v>
      </c>
      <c r="D764" s="67">
        <v>45035</v>
      </c>
      <c r="E764" s="67"/>
      <c r="F764" s="67"/>
      <c r="G764" s="67" t="s">
        <v>35</v>
      </c>
      <c r="H764" s="67">
        <v>44678</v>
      </c>
      <c r="I764" s="6" t="s">
        <v>1364</v>
      </c>
      <c r="J764" s="9">
        <v>4248602377</v>
      </c>
      <c r="K764" s="68">
        <v>44651</v>
      </c>
      <c r="L764" s="68">
        <v>46022</v>
      </c>
      <c r="M764" s="68">
        <v>46203</v>
      </c>
      <c r="N764" s="69">
        <f t="shared" si="26"/>
        <v>4</v>
      </c>
      <c r="O764" s="69">
        <f t="shared" si="27"/>
        <v>0</v>
      </c>
      <c r="P764" s="70">
        <v>0</v>
      </c>
      <c r="Q764" s="70">
        <v>4</v>
      </c>
      <c r="R764" s="70">
        <v>4</v>
      </c>
      <c r="S764" s="68" t="str">
        <f t="shared" si="28"/>
        <v/>
      </c>
      <c r="T764" s="68"/>
      <c r="U764" s="68"/>
      <c r="V764" s="68"/>
      <c r="W764" s="9"/>
      <c r="X764" s="10"/>
      <c r="Y764" s="71">
        <f t="shared" si="29"/>
        <v>4</v>
      </c>
      <c r="Z764" s="73">
        <f t="shared" si="30"/>
        <v>4</v>
      </c>
      <c r="AA764" s="73">
        <f t="shared" si="31"/>
        <v>4</v>
      </c>
      <c r="AB764" s="73">
        <f t="shared" si="32"/>
        <v>4</v>
      </c>
      <c r="AC764" s="73">
        <f t="shared" si="33"/>
        <v>0</v>
      </c>
      <c r="AD764" s="73">
        <f t="shared" si="34"/>
        <v>0</v>
      </c>
      <c r="AE764" s="73">
        <f t="shared" si="35"/>
        <v>4.0007640000000002</v>
      </c>
      <c r="AF764" s="73">
        <f t="shared" si="36"/>
        <v>4.0007640000000002</v>
      </c>
      <c r="AG764" s="73">
        <f t="shared" si="37"/>
        <v>7.6400000000000003E-4</v>
      </c>
      <c r="AH764" s="73">
        <f t="shared" si="38"/>
        <v>7.6400000000000003E-4</v>
      </c>
    </row>
    <row r="765" spans="1:34" ht="14.25" customHeight="1">
      <c r="A765" s="11">
        <v>750</v>
      </c>
      <c r="B765" s="66"/>
      <c r="C765" s="67"/>
      <c r="D765" s="67"/>
      <c r="E765" s="67"/>
      <c r="F765" s="67"/>
      <c r="G765" s="67" t="s">
        <v>35</v>
      </c>
      <c r="H765" s="67">
        <v>45918</v>
      </c>
      <c r="I765" s="6" t="s">
        <v>1365</v>
      </c>
      <c r="J765" s="94">
        <v>4248703484</v>
      </c>
      <c r="K765" s="68">
        <v>45900</v>
      </c>
      <c r="L765" s="68">
        <v>46022</v>
      </c>
      <c r="M765" s="68">
        <v>46203</v>
      </c>
      <c r="N765" s="69">
        <f t="shared" si="26"/>
        <v>0</v>
      </c>
      <c r="O765" s="69">
        <f t="shared" si="27"/>
        <v>0</v>
      </c>
      <c r="P765" s="123">
        <v>0</v>
      </c>
      <c r="Q765" s="70">
        <v>0</v>
      </c>
      <c r="R765" s="70">
        <v>0</v>
      </c>
      <c r="S765" s="68" t="str">
        <f t="shared" si="28"/>
        <v/>
      </c>
      <c r="T765" s="68"/>
      <c r="U765" s="95"/>
      <c r="V765" s="68"/>
      <c r="W765" s="6"/>
      <c r="X765" s="10"/>
      <c r="Y765" s="71">
        <f t="shared" si="29"/>
        <v>0</v>
      </c>
      <c r="Z765" s="73">
        <f t="shared" si="30"/>
        <v>0</v>
      </c>
      <c r="AA765" s="11" t="str">
        <f t="shared" si="31"/>
        <v/>
      </c>
      <c r="AB765" s="73">
        <f t="shared" si="32"/>
        <v>0</v>
      </c>
      <c r="AC765" s="11" t="str">
        <f t="shared" si="33"/>
        <v/>
      </c>
      <c r="AD765" s="73">
        <f t="shared" si="34"/>
        <v>0</v>
      </c>
      <c r="AE765" s="11" t="str">
        <f t="shared" si="35"/>
        <v/>
      </c>
      <c r="AF765" s="73">
        <f t="shared" si="36"/>
        <v>7.6499999999999995E-4</v>
      </c>
      <c r="AG765" s="11" t="str">
        <f t="shared" si="37"/>
        <v/>
      </c>
      <c r="AH765" s="73">
        <f t="shared" si="38"/>
        <v>7.6499999999999995E-4</v>
      </c>
    </row>
    <row r="766" spans="1:34" ht="14.25" customHeight="1">
      <c r="A766" s="11">
        <v>751</v>
      </c>
      <c r="B766" s="66"/>
      <c r="C766" s="67"/>
      <c r="D766" s="67"/>
      <c r="E766" s="67"/>
      <c r="F766" s="67"/>
      <c r="G766" s="124" t="s">
        <v>24</v>
      </c>
      <c r="H766" s="67">
        <v>44992</v>
      </c>
      <c r="I766" s="6" t="s">
        <v>1366</v>
      </c>
      <c r="J766" s="9">
        <v>4248801391</v>
      </c>
      <c r="K766" s="68">
        <v>44985</v>
      </c>
      <c r="L766" s="68">
        <v>46022</v>
      </c>
      <c r="M766" s="68">
        <v>46203</v>
      </c>
      <c r="N766" s="69">
        <f t="shared" si="26"/>
        <v>-6</v>
      </c>
      <c r="O766" s="69">
        <f t="shared" si="27"/>
        <v>0</v>
      </c>
      <c r="P766" s="70">
        <v>6</v>
      </c>
      <c r="Q766" s="70">
        <v>0</v>
      </c>
      <c r="R766" s="70">
        <v>0</v>
      </c>
      <c r="S766" s="68">
        <f t="shared" si="28"/>
        <v>46175</v>
      </c>
      <c r="T766" s="68">
        <v>46175</v>
      </c>
      <c r="U766" s="68"/>
      <c r="V766" s="68"/>
      <c r="W766" s="9"/>
      <c r="X766" s="10"/>
      <c r="Y766" s="71">
        <f t="shared" si="29"/>
        <v>0</v>
      </c>
      <c r="Z766" s="73">
        <f t="shared" si="30"/>
        <v>0</v>
      </c>
      <c r="AA766" s="11" t="str">
        <f t="shared" si="31"/>
        <v/>
      </c>
      <c r="AB766" s="73">
        <f t="shared" si="32"/>
        <v>-6</v>
      </c>
      <c r="AC766" s="11" t="str">
        <f t="shared" si="33"/>
        <v/>
      </c>
      <c r="AD766" s="73">
        <f t="shared" si="34"/>
        <v>0</v>
      </c>
      <c r="AE766" s="11" t="str">
        <f t="shared" si="35"/>
        <v/>
      </c>
      <c r="AF766" s="73">
        <f t="shared" si="36"/>
        <v>-5.9992340000000004</v>
      </c>
      <c r="AG766" s="11" t="str">
        <f t="shared" si="37"/>
        <v/>
      </c>
      <c r="AH766" s="73">
        <f t="shared" si="38"/>
        <v>7.6599999999999997E-4</v>
      </c>
    </row>
    <row r="767" spans="1:34" ht="14.25" customHeight="1">
      <c r="A767" s="11">
        <v>752</v>
      </c>
      <c r="B767" s="66" t="s">
        <v>35</v>
      </c>
      <c r="C767" s="67">
        <v>44029</v>
      </c>
      <c r="D767" s="67">
        <v>42726</v>
      </c>
      <c r="E767" s="67"/>
      <c r="F767" s="67"/>
      <c r="G767" s="67"/>
      <c r="H767" s="67"/>
      <c r="I767" s="6" t="s">
        <v>1367</v>
      </c>
      <c r="J767" s="9">
        <v>4258100173</v>
      </c>
      <c r="K767" s="68">
        <v>42704</v>
      </c>
      <c r="L767" s="68">
        <v>46022</v>
      </c>
      <c r="M767" s="68">
        <v>46203</v>
      </c>
      <c r="N767" s="69">
        <f t="shared" si="26"/>
        <v>1</v>
      </c>
      <c r="O767" s="69">
        <f t="shared" si="27"/>
        <v>0</v>
      </c>
      <c r="P767" s="70">
        <v>6</v>
      </c>
      <c r="Q767" s="70">
        <v>7</v>
      </c>
      <c r="R767" s="70">
        <v>7</v>
      </c>
      <c r="S767" s="68" t="str">
        <f t="shared" si="28"/>
        <v/>
      </c>
      <c r="T767" s="68"/>
      <c r="U767" s="68"/>
      <c r="V767" s="68"/>
      <c r="W767" s="9"/>
      <c r="X767" s="10"/>
      <c r="Y767" s="71">
        <f t="shared" si="29"/>
        <v>7</v>
      </c>
      <c r="Z767" s="73">
        <f t="shared" si="30"/>
        <v>7</v>
      </c>
      <c r="AA767" s="73">
        <f t="shared" si="31"/>
        <v>1</v>
      </c>
      <c r="AB767" s="11" t="str">
        <f t="shared" si="32"/>
        <v/>
      </c>
      <c r="AC767" s="73">
        <f t="shared" si="33"/>
        <v>0</v>
      </c>
      <c r="AD767" s="11" t="str">
        <f t="shared" si="34"/>
        <v/>
      </c>
      <c r="AE767" s="73">
        <f t="shared" si="35"/>
        <v>1.000767</v>
      </c>
      <c r="AF767" s="11" t="str">
        <f t="shared" si="36"/>
        <v/>
      </c>
      <c r="AG767" s="73">
        <f t="shared" si="37"/>
        <v>7.67E-4</v>
      </c>
      <c r="AH767" s="11" t="str">
        <f t="shared" si="38"/>
        <v/>
      </c>
    </row>
    <row r="768" spans="1:34" ht="14.25" customHeight="1">
      <c r="A768" s="11">
        <v>753</v>
      </c>
      <c r="B768" s="66"/>
      <c r="C768" s="67"/>
      <c r="D768" s="67"/>
      <c r="E768" s="67"/>
      <c r="F768" s="67"/>
      <c r="G768" s="67" t="s">
        <v>35</v>
      </c>
      <c r="H768" s="67">
        <v>45575</v>
      </c>
      <c r="I768" s="6" t="s">
        <v>1368</v>
      </c>
      <c r="J768" s="9">
        <v>4258101361</v>
      </c>
      <c r="K768" s="68">
        <v>45565</v>
      </c>
      <c r="L768" s="68">
        <v>46022</v>
      </c>
      <c r="M768" s="68">
        <v>46203</v>
      </c>
      <c r="N768" s="69">
        <f t="shared" si="26"/>
        <v>33</v>
      </c>
      <c r="O768" s="69">
        <f t="shared" si="27"/>
        <v>1</v>
      </c>
      <c r="P768" s="70">
        <v>27</v>
      </c>
      <c r="Q768" s="70">
        <v>59</v>
      </c>
      <c r="R768" s="70">
        <v>60</v>
      </c>
      <c r="S768" s="68" t="str">
        <f t="shared" si="28"/>
        <v/>
      </c>
      <c r="T768" s="68"/>
      <c r="U768" s="68"/>
      <c r="V768" s="68"/>
      <c r="W768" s="9"/>
      <c r="X768" s="10"/>
      <c r="Y768" s="71">
        <f t="shared" si="29"/>
        <v>59</v>
      </c>
      <c r="Z768" s="73">
        <f t="shared" si="30"/>
        <v>60</v>
      </c>
      <c r="AA768" s="11" t="str">
        <f t="shared" si="31"/>
        <v/>
      </c>
      <c r="AB768" s="73">
        <f t="shared" si="32"/>
        <v>33</v>
      </c>
      <c r="AC768" s="11" t="str">
        <f t="shared" si="33"/>
        <v/>
      </c>
      <c r="AD768" s="73">
        <f t="shared" si="34"/>
        <v>1</v>
      </c>
      <c r="AE768" s="11" t="str">
        <f t="shared" si="35"/>
        <v/>
      </c>
      <c r="AF768" s="73">
        <f t="shared" si="36"/>
        <v>33.000768000000001</v>
      </c>
      <c r="AG768" s="11" t="str">
        <f t="shared" si="37"/>
        <v/>
      </c>
      <c r="AH768" s="73">
        <f t="shared" si="38"/>
        <v>1.0007680000000001</v>
      </c>
    </row>
    <row r="769" spans="1:34" ht="14.25" customHeight="1">
      <c r="A769" s="11">
        <v>754</v>
      </c>
      <c r="B769" s="66" t="s">
        <v>35</v>
      </c>
      <c r="C769" s="67">
        <v>45352</v>
      </c>
      <c r="D769" s="67"/>
      <c r="E769" s="67"/>
      <c r="F769" s="67"/>
      <c r="G769" s="67"/>
      <c r="H769" s="67"/>
      <c r="I769" s="6" t="s">
        <v>1369</v>
      </c>
      <c r="J769" s="9">
        <v>4258703342</v>
      </c>
      <c r="K769" s="68">
        <v>45351</v>
      </c>
      <c r="L769" s="68">
        <v>46022</v>
      </c>
      <c r="M769" s="68">
        <v>46203</v>
      </c>
      <c r="N769" s="69">
        <f t="shared" si="26"/>
        <v>2</v>
      </c>
      <c r="O769" s="69">
        <f t="shared" si="27"/>
        <v>0</v>
      </c>
      <c r="P769" s="70">
        <v>3</v>
      </c>
      <c r="Q769" s="70">
        <v>5</v>
      </c>
      <c r="R769" s="70">
        <v>5</v>
      </c>
      <c r="S769" s="68" t="str">
        <f t="shared" si="28"/>
        <v/>
      </c>
      <c r="T769" s="68"/>
      <c r="U769" s="68"/>
      <c r="V769" s="68"/>
      <c r="W769" s="9"/>
      <c r="X769" s="10"/>
      <c r="Y769" s="71">
        <f t="shared" si="29"/>
        <v>5</v>
      </c>
      <c r="Z769" s="73">
        <f t="shared" si="30"/>
        <v>5</v>
      </c>
      <c r="AA769" s="73">
        <f t="shared" si="31"/>
        <v>2</v>
      </c>
      <c r="AB769" s="11" t="str">
        <f t="shared" si="32"/>
        <v/>
      </c>
      <c r="AC769" s="73">
        <f t="shared" si="33"/>
        <v>0</v>
      </c>
      <c r="AD769" s="11" t="str">
        <f t="shared" si="34"/>
        <v/>
      </c>
      <c r="AE769" s="73">
        <f t="shared" si="35"/>
        <v>2.000769</v>
      </c>
      <c r="AF769" s="11" t="str">
        <f t="shared" si="36"/>
        <v/>
      </c>
      <c r="AG769" s="73">
        <f t="shared" si="37"/>
        <v>7.6900000000000004E-4</v>
      </c>
      <c r="AH769" s="11" t="str">
        <f t="shared" si="38"/>
        <v/>
      </c>
    </row>
    <row r="770" spans="1:34" ht="14.25" customHeight="1">
      <c r="A770" s="11">
        <v>755</v>
      </c>
      <c r="B770" s="66"/>
      <c r="C770" s="67"/>
      <c r="D770" s="67"/>
      <c r="E770" s="67"/>
      <c r="F770" s="67"/>
      <c r="G770" s="67" t="s">
        <v>35</v>
      </c>
      <c r="H770" s="67">
        <v>44266</v>
      </c>
      <c r="I770" s="6" t="s">
        <v>1370</v>
      </c>
      <c r="J770" s="9">
        <v>4258801017</v>
      </c>
      <c r="K770" s="68">
        <v>44255</v>
      </c>
      <c r="L770" s="68">
        <v>46022</v>
      </c>
      <c r="M770" s="68">
        <v>46203</v>
      </c>
      <c r="N770" s="69">
        <f t="shared" si="26"/>
        <v>-2</v>
      </c>
      <c r="O770" s="69">
        <f t="shared" si="27"/>
        <v>0</v>
      </c>
      <c r="P770" s="70">
        <v>2</v>
      </c>
      <c r="Q770" s="70">
        <v>0</v>
      </c>
      <c r="R770" s="70">
        <v>0</v>
      </c>
      <c r="S770" s="68" t="str">
        <f t="shared" si="28"/>
        <v/>
      </c>
      <c r="T770" s="68"/>
      <c r="U770" s="68"/>
      <c r="V770" s="68"/>
      <c r="W770" s="9"/>
      <c r="X770" s="10"/>
      <c r="Y770" s="71">
        <f t="shared" si="29"/>
        <v>0</v>
      </c>
      <c r="Z770" s="73">
        <f t="shared" si="30"/>
        <v>0</v>
      </c>
      <c r="AA770" s="11" t="str">
        <f t="shared" si="31"/>
        <v/>
      </c>
      <c r="AB770" s="73">
        <f t="shared" si="32"/>
        <v>-2</v>
      </c>
      <c r="AC770" s="11" t="str">
        <f t="shared" si="33"/>
        <v/>
      </c>
      <c r="AD770" s="73">
        <f t="shared" si="34"/>
        <v>0</v>
      </c>
      <c r="AE770" s="11" t="str">
        <f t="shared" si="35"/>
        <v/>
      </c>
      <c r="AF770" s="73">
        <f t="shared" si="36"/>
        <v>-1.9992300000000001</v>
      </c>
      <c r="AG770" s="11" t="str">
        <f t="shared" si="37"/>
        <v/>
      </c>
      <c r="AH770" s="73">
        <f t="shared" si="38"/>
        <v>7.6999999999999996E-4</v>
      </c>
    </row>
    <row r="771" spans="1:34" ht="14.25" customHeight="1">
      <c r="A771" s="11">
        <v>756</v>
      </c>
      <c r="B771" s="66"/>
      <c r="C771" s="67"/>
      <c r="D771" s="67"/>
      <c r="E771" s="67"/>
      <c r="F771" s="67"/>
      <c r="G771" s="67" t="s">
        <v>35</v>
      </c>
      <c r="H771" s="67">
        <v>45371</v>
      </c>
      <c r="I771" s="6" t="s">
        <v>1371</v>
      </c>
      <c r="J771" s="9">
        <v>4268603294</v>
      </c>
      <c r="K771" s="68">
        <v>45351</v>
      </c>
      <c r="L771" s="68">
        <v>46022</v>
      </c>
      <c r="M771" s="68">
        <v>46203</v>
      </c>
      <c r="N771" s="69">
        <f t="shared" si="26"/>
        <v>3</v>
      </c>
      <c r="O771" s="69">
        <f t="shared" si="27"/>
        <v>2</v>
      </c>
      <c r="P771" s="70">
        <v>0</v>
      </c>
      <c r="Q771" s="70">
        <v>1</v>
      </c>
      <c r="R771" s="70">
        <v>3</v>
      </c>
      <c r="S771" s="68" t="str">
        <f t="shared" si="28"/>
        <v/>
      </c>
      <c r="T771" s="68"/>
      <c r="U771" s="68"/>
      <c r="V771" s="68"/>
      <c r="W771" s="9"/>
      <c r="X771" s="10"/>
      <c r="Y771" s="71">
        <f t="shared" si="29"/>
        <v>1</v>
      </c>
      <c r="Z771" s="73">
        <f t="shared" si="30"/>
        <v>3</v>
      </c>
      <c r="AA771" s="11" t="str">
        <f t="shared" si="31"/>
        <v/>
      </c>
      <c r="AB771" s="73">
        <f t="shared" si="32"/>
        <v>3</v>
      </c>
      <c r="AC771" s="11" t="str">
        <f t="shared" si="33"/>
        <v/>
      </c>
      <c r="AD771" s="73">
        <f t="shared" si="34"/>
        <v>2</v>
      </c>
      <c r="AE771" s="11" t="str">
        <f t="shared" si="35"/>
        <v/>
      </c>
      <c r="AF771" s="73">
        <f t="shared" si="36"/>
        <v>3.0007709999999999</v>
      </c>
      <c r="AG771" s="11" t="str">
        <f t="shared" si="37"/>
        <v/>
      </c>
      <c r="AH771" s="73">
        <f t="shared" si="38"/>
        <v>2.0007709999999999</v>
      </c>
    </row>
    <row r="772" spans="1:34" ht="14.25" customHeight="1">
      <c r="A772" s="11">
        <v>757</v>
      </c>
      <c r="B772" s="66"/>
      <c r="C772" s="67"/>
      <c r="D772" s="67"/>
      <c r="E772" s="67"/>
      <c r="F772" s="67"/>
      <c r="G772" s="67" t="s">
        <v>24</v>
      </c>
      <c r="H772" s="67">
        <v>42475</v>
      </c>
      <c r="I772" s="6" t="s">
        <v>1372</v>
      </c>
      <c r="J772" s="9">
        <v>4278600233</v>
      </c>
      <c r="K772" s="68">
        <v>42460</v>
      </c>
      <c r="L772" s="68" t="s">
        <v>230</v>
      </c>
      <c r="M772" s="68">
        <v>44957</v>
      </c>
      <c r="N772" s="69">
        <f t="shared" si="26"/>
        <v>-4</v>
      </c>
      <c r="O772" s="69" t="str">
        <f t="shared" si="27"/>
        <v>N/A</v>
      </c>
      <c r="P772" s="70">
        <v>4</v>
      </c>
      <c r="Q772" s="70"/>
      <c r="R772" s="70">
        <v>0</v>
      </c>
      <c r="S772" s="68">
        <f t="shared" si="28"/>
        <v>44927</v>
      </c>
      <c r="T772" s="68">
        <v>44927</v>
      </c>
      <c r="U772" s="68"/>
      <c r="V772" s="68"/>
      <c r="W772" s="9"/>
      <c r="X772" s="10"/>
      <c r="Y772" s="65" t="str">
        <f t="shared" si="29"/>
        <v/>
      </c>
      <c r="Z772" s="11" t="str">
        <f t="shared" si="30"/>
        <v/>
      </c>
      <c r="AA772" s="11" t="str">
        <f t="shared" si="31"/>
        <v/>
      </c>
      <c r="AB772" s="73">
        <f t="shared" si="32"/>
        <v>-4</v>
      </c>
      <c r="AC772" s="11" t="str">
        <f t="shared" si="33"/>
        <v/>
      </c>
      <c r="AD772" s="11" t="str">
        <f t="shared" si="34"/>
        <v/>
      </c>
      <c r="AE772" s="11" t="str">
        <f t="shared" si="35"/>
        <v/>
      </c>
      <c r="AF772" s="73">
        <f t="shared" si="36"/>
        <v>-3.999228</v>
      </c>
      <c r="AG772" s="11" t="str">
        <f t="shared" si="37"/>
        <v/>
      </c>
      <c r="AH772" s="11" t="str">
        <f t="shared" si="38"/>
        <v/>
      </c>
    </row>
    <row r="773" spans="1:34" ht="14.25" customHeight="1">
      <c r="A773" s="11">
        <v>758</v>
      </c>
      <c r="B773" s="66" t="s">
        <v>24</v>
      </c>
      <c r="C773" s="67">
        <v>43262</v>
      </c>
      <c r="D773" s="67"/>
      <c r="E773" s="67"/>
      <c r="F773" s="67"/>
      <c r="G773" s="67"/>
      <c r="H773" s="67"/>
      <c r="I773" s="6" t="s">
        <v>1373</v>
      </c>
      <c r="J773" s="9">
        <v>4288100740</v>
      </c>
      <c r="K773" s="68">
        <v>43251</v>
      </c>
      <c r="L773" s="68" t="s">
        <v>230</v>
      </c>
      <c r="M773" s="68">
        <v>45169</v>
      </c>
      <c r="N773" s="69">
        <f t="shared" si="26"/>
        <v>0</v>
      </c>
      <c r="O773" s="69" t="str">
        <f t="shared" si="27"/>
        <v>N/A</v>
      </c>
      <c r="P773" s="70">
        <v>0</v>
      </c>
      <c r="Q773" s="70"/>
      <c r="R773" s="70">
        <v>0</v>
      </c>
      <c r="S773" s="68">
        <f t="shared" si="28"/>
        <v>45145</v>
      </c>
      <c r="T773" s="68">
        <v>45145</v>
      </c>
      <c r="U773" s="68"/>
      <c r="V773" s="68"/>
      <c r="W773" s="9"/>
      <c r="X773" s="10"/>
      <c r="Y773" s="65" t="str">
        <f t="shared" si="29"/>
        <v/>
      </c>
      <c r="Z773" s="11" t="str">
        <f t="shared" si="30"/>
        <v/>
      </c>
      <c r="AA773" s="73">
        <f t="shared" si="31"/>
        <v>0</v>
      </c>
      <c r="AB773" s="11" t="str">
        <f t="shared" si="32"/>
        <v/>
      </c>
      <c r="AC773" s="11" t="str">
        <f t="shared" si="33"/>
        <v/>
      </c>
      <c r="AD773" s="11" t="str">
        <f t="shared" si="34"/>
        <v/>
      </c>
      <c r="AE773" s="73">
        <f t="shared" si="35"/>
        <v>7.7300000000000003E-4</v>
      </c>
      <c r="AF773" s="11" t="str">
        <f t="shared" si="36"/>
        <v/>
      </c>
      <c r="AG773" s="11" t="str">
        <f t="shared" si="37"/>
        <v/>
      </c>
      <c r="AH773" s="11" t="str">
        <f t="shared" si="38"/>
        <v/>
      </c>
    </row>
    <row r="774" spans="1:34" ht="14.25" customHeight="1">
      <c r="A774" s="11">
        <v>759</v>
      </c>
      <c r="B774" s="66" t="s">
        <v>35</v>
      </c>
      <c r="C774" s="67">
        <v>45536</v>
      </c>
      <c r="D774" s="67">
        <v>45484</v>
      </c>
      <c r="E774" s="67"/>
      <c r="F774" s="67"/>
      <c r="G774" s="67" t="s">
        <v>35</v>
      </c>
      <c r="H774" s="67">
        <v>45453</v>
      </c>
      <c r="I774" s="6" t="s">
        <v>1374</v>
      </c>
      <c r="J774" s="9">
        <v>4288103204</v>
      </c>
      <c r="K774" s="68">
        <v>45443</v>
      </c>
      <c r="L774" s="68">
        <v>46022</v>
      </c>
      <c r="M774" s="68">
        <v>46203</v>
      </c>
      <c r="N774" s="69">
        <f t="shared" si="26"/>
        <v>7</v>
      </c>
      <c r="O774" s="69">
        <f t="shared" si="27"/>
        <v>1</v>
      </c>
      <c r="P774" s="70">
        <v>0</v>
      </c>
      <c r="Q774" s="70">
        <v>6</v>
      </c>
      <c r="R774" s="70">
        <v>7</v>
      </c>
      <c r="S774" s="68" t="str">
        <f t="shared" si="28"/>
        <v/>
      </c>
      <c r="T774" s="68"/>
      <c r="U774" s="68"/>
      <c r="V774" s="68"/>
      <c r="W774" s="9"/>
      <c r="X774" s="10"/>
      <c r="Y774" s="71">
        <f t="shared" si="29"/>
        <v>6</v>
      </c>
      <c r="Z774" s="73">
        <f t="shared" si="30"/>
        <v>7</v>
      </c>
      <c r="AA774" s="73">
        <f t="shared" si="31"/>
        <v>7</v>
      </c>
      <c r="AB774" s="73">
        <f t="shared" si="32"/>
        <v>7</v>
      </c>
      <c r="AC774" s="73">
        <f t="shared" si="33"/>
        <v>1</v>
      </c>
      <c r="AD774" s="73">
        <f t="shared" si="34"/>
        <v>1</v>
      </c>
      <c r="AE774" s="73">
        <f t="shared" si="35"/>
        <v>7.0007739999999998</v>
      </c>
      <c r="AF774" s="73">
        <f t="shared" si="36"/>
        <v>7.0007739999999998</v>
      </c>
      <c r="AG774" s="73">
        <f t="shared" si="37"/>
        <v>1.0007740000000001</v>
      </c>
      <c r="AH774" s="73">
        <f t="shared" si="38"/>
        <v>1.0007740000000001</v>
      </c>
    </row>
    <row r="775" spans="1:34" ht="14.25" customHeight="1">
      <c r="A775" s="11">
        <v>760</v>
      </c>
      <c r="B775" s="66" t="s">
        <v>35</v>
      </c>
      <c r="C775" s="67">
        <v>42776</v>
      </c>
      <c r="D775" s="67"/>
      <c r="E775" s="67"/>
      <c r="F775" s="67"/>
      <c r="G775" s="67"/>
      <c r="H775" s="67"/>
      <c r="I775" s="6" t="s">
        <v>1375</v>
      </c>
      <c r="J775" s="9">
        <v>4288600293</v>
      </c>
      <c r="K775" s="68">
        <v>42766</v>
      </c>
      <c r="L775" s="68">
        <v>46022</v>
      </c>
      <c r="M775" s="68">
        <v>46203</v>
      </c>
      <c r="N775" s="69">
        <f t="shared" si="26"/>
        <v>-3</v>
      </c>
      <c r="O775" s="69">
        <f t="shared" si="27"/>
        <v>0</v>
      </c>
      <c r="P775" s="70">
        <v>5</v>
      </c>
      <c r="Q775" s="70">
        <v>2</v>
      </c>
      <c r="R775" s="70">
        <v>2</v>
      </c>
      <c r="S775" s="68" t="str">
        <f t="shared" si="28"/>
        <v/>
      </c>
      <c r="T775" s="68"/>
      <c r="U775" s="68"/>
      <c r="V775" s="68"/>
      <c r="W775" s="9"/>
      <c r="X775" s="10"/>
      <c r="Y775" s="71">
        <f t="shared" si="29"/>
        <v>2</v>
      </c>
      <c r="Z775" s="73">
        <f t="shared" si="30"/>
        <v>2</v>
      </c>
      <c r="AA775" s="73">
        <f t="shared" si="31"/>
        <v>-3</v>
      </c>
      <c r="AB775" s="11" t="str">
        <f t="shared" si="32"/>
        <v/>
      </c>
      <c r="AC775" s="73">
        <f t="shared" si="33"/>
        <v>0</v>
      </c>
      <c r="AD775" s="11" t="str">
        <f t="shared" si="34"/>
        <v/>
      </c>
      <c r="AE775" s="73">
        <f t="shared" si="35"/>
        <v>-2.999225</v>
      </c>
      <c r="AF775" s="11" t="str">
        <f t="shared" si="36"/>
        <v/>
      </c>
      <c r="AG775" s="73">
        <f t="shared" si="37"/>
        <v>7.7499999999999997E-4</v>
      </c>
      <c r="AH775" s="11" t="str">
        <f t="shared" si="38"/>
        <v/>
      </c>
    </row>
    <row r="776" spans="1:34" ht="14.25" customHeight="1">
      <c r="A776" s="11">
        <v>761</v>
      </c>
      <c r="B776" s="66"/>
      <c r="C776" s="67"/>
      <c r="D776" s="67"/>
      <c r="E776" s="67"/>
      <c r="F776" s="67"/>
      <c r="G776" s="67" t="s">
        <v>35</v>
      </c>
      <c r="H776" s="67">
        <v>43266</v>
      </c>
      <c r="I776" s="6" t="s">
        <v>1376</v>
      </c>
      <c r="J776" s="9">
        <v>4288600430</v>
      </c>
      <c r="K776" s="68">
        <v>43251</v>
      </c>
      <c r="L776" s="68">
        <v>46022</v>
      </c>
      <c r="M776" s="68">
        <v>46203</v>
      </c>
      <c r="N776" s="69">
        <f t="shared" si="26"/>
        <v>-6</v>
      </c>
      <c r="O776" s="69">
        <f t="shared" si="27"/>
        <v>0</v>
      </c>
      <c r="P776" s="70">
        <v>6</v>
      </c>
      <c r="Q776" s="70">
        <v>0</v>
      </c>
      <c r="R776" s="70">
        <v>0</v>
      </c>
      <c r="S776" s="68" t="str">
        <f t="shared" si="28"/>
        <v/>
      </c>
      <c r="T776" s="68"/>
      <c r="U776" s="68"/>
      <c r="V776" s="68"/>
      <c r="W776" s="9"/>
      <c r="X776" s="10"/>
      <c r="Y776" s="71">
        <f t="shared" si="29"/>
        <v>0</v>
      </c>
      <c r="Z776" s="73">
        <f t="shared" si="30"/>
        <v>0</v>
      </c>
      <c r="AA776" s="11" t="str">
        <f t="shared" si="31"/>
        <v/>
      </c>
      <c r="AB776" s="73">
        <f t="shared" si="32"/>
        <v>-6</v>
      </c>
      <c r="AC776" s="11" t="str">
        <f t="shared" si="33"/>
        <v/>
      </c>
      <c r="AD776" s="73">
        <f t="shared" si="34"/>
        <v>0</v>
      </c>
      <c r="AE776" s="11" t="str">
        <f t="shared" si="35"/>
        <v/>
      </c>
      <c r="AF776" s="73">
        <f t="shared" si="36"/>
        <v>-5.9992239999999999</v>
      </c>
      <c r="AG776" s="11" t="str">
        <f t="shared" si="37"/>
        <v/>
      </c>
      <c r="AH776" s="73">
        <f t="shared" si="38"/>
        <v>7.76E-4</v>
      </c>
    </row>
    <row r="777" spans="1:34" ht="14.25" customHeight="1">
      <c r="A777" s="11">
        <v>762</v>
      </c>
      <c r="B777" s="66"/>
      <c r="C777" s="67"/>
      <c r="D777" s="67"/>
      <c r="E777" s="67"/>
      <c r="F777" s="67"/>
      <c r="G777" s="67" t="s">
        <v>35</v>
      </c>
      <c r="H777" s="67">
        <v>44672</v>
      </c>
      <c r="I777" s="6" t="s">
        <v>1377</v>
      </c>
      <c r="J777" s="9">
        <v>4288600954</v>
      </c>
      <c r="K777" s="68">
        <v>44651</v>
      </c>
      <c r="L777" s="68">
        <v>46022</v>
      </c>
      <c r="M777" s="68">
        <v>46203</v>
      </c>
      <c r="N777" s="69">
        <f t="shared" si="26"/>
        <v>-12</v>
      </c>
      <c r="O777" s="69">
        <f t="shared" si="27"/>
        <v>0</v>
      </c>
      <c r="P777" s="70">
        <v>12</v>
      </c>
      <c r="Q777" s="70">
        <v>0</v>
      </c>
      <c r="R777" s="70">
        <v>0</v>
      </c>
      <c r="S777" s="68" t="str">
        <f t="shared" si="28"/>
        <v/>
      </c>
      <c r="T777" s="68"/>
      <c r="U777" s="68"/>
      <c r="V777" s="68"/>
      <c r="W777" s="9"/>
      <c r="X777" s="10"/>
      <c r="Y777" s="71">
        <f t="shared" si="29"/>
        <v>0</v>
      </c>
      <c r="Z777" s="73">
        <f t="shared" si="30"/>
        <v>0</v>
      </c>
      <c r="AA777" s="11" t="str">
        <f t="shared" si="31"/>
        <v/>
      </c>
      <c r="AB777" s="73">
        <f t="shared" si="32"/>
        <v>-12</v>
      </c>
      <c r="AC777" s="11" t="str">
        <f t="shared" si="33"/>
        <v/>
      </c>
      <c r="AD777" s="73">
        <f t="shared" si="34"/>
        <v>0</v>
      </c>
      <c r="AE777" s="11" t="str">
        <f t="shared" si="35"/>
        <v/>
      </c>
      <c r="AF777" s="73">
        <f t="shared" si="36"/>
        <v>-11.999223000000001</v>
      </c>
      <c r="AG777" s="11" t="str">
        <f t="shared" si="37"/>
        <v/>
      </c>
      <c r="AH777" s="73">
        <f t="shared" si="38"/>
        <v>7.7700000000000002E-4</v>
      </c>
    </row>
    <row r="778" spans="1:34" ht="14.25" customHeight="1">
      <c r="A778" s="11">
        <v>763</v>
      </c>
      <c r="B778" s="66"/>
      <c r="C778" s="67"/>
      <c r="D778" s="67"/>
      <c r="E778" s="67"/>
      <c r="F778" s="67"/>
      <c r="G778" s="67" t="s">
        <v>35</v>
      </c>
      <c r="H778" s="67">
        <v>45989</v>
      </c>
      <c r="I778" s="6" t="s">
        <v>1378</v>
      </c>
      <c r="J778" s="94">
        <v>4298703795</v>
      </c>
      <c r="K778" s="68">
        <v>45961</v>
      </c>
      <c r="L778" s="68">
        <v>46022</v>
      </c>
      <c r="M778" s="68">
        <v>46203</v>
      </c>
      <c r="N778" s="69">
        <f t="shared" si="26"/>
        <v>2</v>
      </c>
      <c r="O778" s="69">
        <f t="shared" si="27"/>
        <v>2</v>
      </c>
      <c r="P778" s="70">
        <v>3</v>
      </c>
      <c r="Q778" s="70">
        <v>3</v>
      </c>
      <c r="R778" s="70">
        <v>5</v>
      </c>
      <c r="S778" s="68" t="str">
        <f t="shared" si="28"/>
        <v/>
      </c>
      <c r="T778" s="68"/>
      <c r="U778" s="95"/>
      <c r="V778" s="68"/>
      <c r="W778" s="6"/>
      <c r="X778" s="10"/>
      <c r="Y778" s="71">
        <f t="shared" si="29"/>
        <v>3</v>
      </c>
      <c r="Z778" s="73">
        <f t="shared" si="30"/>
        <v>5</v>
      </c>
      <c r="AA778" s="11" t="str">
        <f t="shared" si="31"/>
        <v/>
      </c>
      <c r="AB778" s="73">
        <f t="shared" si="32"/>
        <v>2</v>
      </c>
      <c r="AC778" s="11" t="str">
        <f t="shared" si="33"/>
        <v/>
      </c>
      <c r="AD778" s="73">
        <f t="shared" si="34"/>
        <v>2</v>
      </c>
      <c r="AE778" s="11" t="str">
        <f t="shared" si="35"/>
        <v/>
      </c>
      <c r="AF778" s="73">
        <f t="shared" si="36"/>
        <v>2.0007779999999999</v>
      </c>
      <c r="AG778" s="11" t="str">
        <f t="shared" si="37"/>
        <v/>
      </c>
      <c r="AH778" s="73">
        <f t="shared" si="38"/>
        <v>2.0007779999999999</v>
      </c>
    </row>
    <row r="779" spans="1:34" ht="14.25" customHeight="1">
      <c r="A779" s="11">
        <v>764</v>
      </c>
      <c r="B779" s="66" t="s">
        <v>35</v>
      </c>
      <c r="C779" s="67"/>
      <c r="D779" s="67">
        <v>44767</v>
      </c>
      <c r="E779" s="67"/>
      <c r="F779" s="67"/>
      <c r="G779" s="67"/>
      <c r="H779" s="67"/>
      <c r="I779" s="6" t="s">
        <v>1379</v>
      </c>
      <c r="J779" s="9">
        <v>4328702036</v>
      </c>
      <c r="K779" s="68">
        <v>44742</v>
      </c>
      <c r="L779" s="68">
        <v>46022</v>
      </c>
      <c r="M779" s="68">
        <v>46203</v>
      </c>
      <c r="N779" s="69">
        <f t="shared" si="26"/>
        <v>3</v>
      </c>
      <c r="O779" s="69">
        <f t="shared" si="27"/>
        <v>0</v>
      </c>
      <c r="P779" s="70">
        <v>6</v>
      </c>
      <c r="Q779" s="70">
        <v>9</v>
      </c>
      <c r="R779" s="70">
        <v>9</v>
      </c>
      <c r="S779" s="68" t="str">
        <f t="shared" si="28"/>
        <v/>
      </c>
      <c r="T779" s="68"/>
      <c r="U779" s="68"/>
      <c r="V779" s="68"/>
      <c r="W779" s="9"/>
      <c r="X779" s="10"/>
      <c r="Y779" s="71">
        <f t="shared" si="29"/>
        <v>9</v>
      </c>
      <c r="Z779" s="73">
        <f t="shared" si="30"/>
        <v>9</v>
      </c>
      <c r="AA779" s="73">
        <f t="shared" si="31"/>
        <v>3</v>
      </c>
      <c r="AB779" s="11" t="str">
        <f t="shared" si="32"/>
        <v/>
      </c>
      <c r="AC779" s="73">
        <f t="shared" si="33"/>
        <v>0</v>
      </c>
      <c r="AD779" s="11" t="str">
        <f t="shared" si="34"/>
        <v/>
      </c>
      <c r="AE779" s="73">
        <f t="shared" si="35"/>
        <v>3.0007790000000001</v>
      </c>
      <c r="AF779" s="11" t="str">
        <f t="shared" si="36"/>
        <v/>
      </c>
      <c r="AG779" s="73">
        <f t="shared" si="37"/>
        <v>7.7899999999999996E-4</v>
      </c>
      <c r="AH779" s="11" t="str">
        <f t="shared" si="38"/>
        <v/>
      </c>
    </row>
    <row r="780" spans="1:34" ht="14.25" customHeight="1">
      <c r="A780" s="11">
        <v>765</v>
      </c>
      <c r="B780" s="66"/>
      <c r="C780" s="67"/>
      <c r="D780" s="67"/>
      <c r="E780" s="67"/>
      <c r="F780" s="67"/>
      <c r="G780" s="67" t="s">
        <v>35</v>
      </c>
      <c r="H780" s="67">
        <v>44721</v>
      </c>
      <c r="I780" s="6" t="s">
        <v>1380</v>
      </c>
      <c r="J780" s="9">
        <v>4338602478</v>
      </c>
      <c r="K780" s="68">
        <v>44712</v>
      </c>
      <c r="L780" s="68">
        <v>46022</v>
      </c>
      <c r="M780" s="68">
        <v>46203</v>
      </c>
      <c r="N780" s="69">
        <f t="shared" si="26"/>
        <v>4</v>
      </c>
      <c r="O780" s="69">
        <f t="shared" si="27"/>
        <v>-1</v>
      </c>
      <c r="P780" s="70">
        <v>7</v>
      </c>
      <c r="Q780" s="70">
        <v>12</v>
      </c>
      <c r="R780" s="70">
        <v>11</v>
      </c>
      <c r="S780" s="68" t="str">
        <f t="shared" si="28"/>
        <v/>
      </c>
      <c r="T780" s="68"/>
      <c r="U780" s="68"/>
      <c r="V780" s="68"/>
      <c r="W780" s="9"/>
      <c r="X780" s="10"/>
      <c r="Y780" s="71">
        <f t="shared" si="29"/>
        <v>12</v>
      </c>
      <c r="Z780" s="73">
        <f t="shared" si="30"/>
        <v>11</v>
      </c>
      <c r="AA780" s="11" t="str">
        <f t="shared" si="31"/>
        <v/>
      </c>
      <c r="AB780" s="73">
        <f t="shared" si="32"/>
        <v>4</v>
      </c>
      <c r="AC780" s="11" t="str">
        <f t="shared" si="33"/>
        <v/>
      </c>
      <c r="AD780" s="73">
        <f t="shared" si="34"/>
        <v>-1</v>
      </c>
      <c r="AE780" s="11" t="str">
        <f t="shared" si="35"/>
        <v/>
      </c>
      <c r="AF780" s="73">
        <f t="shared" si="36"/>
        <v>4.0007799999999998</v>
      </c>
      <c r="AG780" s="11" t="str">
        <f t="shared" si="37"/>
        <v/>
      </c>
      <c r="AH780" s="73">
        <f t="shared" si="38"/>
        <v>-0.99922</v>
      </c>
    </row>
    <row r="781" spans="1:34" ht="14.25" customHeight="1">
      <c r="A781" s="11">
        <v>766</v>
      </c>
      <c r="B781" s="66" t="s">
        <v>35</v>
      </c>
      <c r="C781" s="67">
        <v>44896</v>
      </c>
      <c r="D781" s="67"/>
      <c r="E781" s="67"/>
      <c r="F781" s="67"/>
      <c r="G781" s="67" t="s">
        <v>35</v>
      </c>
      <c r="H781" s="67">
        <v>45216</v>
      </c>
      <c r="I781" s="6" t="s">
        <v>1381</v>
      </c>
      <c r="J781" s="9">
        <v>4348101803</v>
      </c>
      <c r="K781" s="68">
        <v>44895</v>
      </c>
      <c r="L781" s="68">
        <v>46022</v>
      </c>
      <c r="M781" s="68">
        <v>46203</v>
      </c>
      <c r="N781" s="69">
        <f t="shared" ref="N781:N1035" si="39">R781-P781</f>
        <v>-2</v>
      </c>
      <c r="O781" s="69">
        <f t="shared" ref="O781:O1035" si="40">IF(M781&lt;DATE(2026,1,1),"N/A",IF(K781&gt;=DATE(2026,1,1),R781-P781,R781-Q781))</f>
        <v>-2</v>
      </c>
      <c r="P781" s="70">
        <v>15</v>
      </c>
      <c r="Q781" s="70">
        <v>15</v>
      </c>
      <c r="R781" s="70">
        <v>13</v>
      </c>
      <c r="S781" s="68" t="str">
        <f t="shared" ref="S781:S1035" si="41">IF(OR(LEFT(B781,6)="Active",G781="Active"),"",IF(COUNT(C781,E781,F781)&gt;0,IF(COUNT(T781)=0,"",T781),IF(COUNT(T781:W781)=0,"",MIN(T781:W781))))</f>
        <v/>
      </c>
      <c r="T781" s="68"/>
      <c r="U781" s="68"/>
      <c r="V781" s="68"/>
      <c r="W781" s="9"/>
      <c r="X781" s="10"/>
      <c r="Y781" s="71">
        <f t="shared" ref="Y781:Y1035" si="42">IF($M781&lt;DATE(2026,1,1),"",IF($K781&gt;=DATE(2026,1,1),$P781,$Q781))</f>
        <v>15</v>
      </c>
      <c r="Z781" s="73">
        <f t="shared" ref="Z781:Z1035" si="43">IF($M781&lt;DATE(2026,1,1),"",$R781)</f>
        <v>13</v>
      </c>
      <c r="AA781" s="73">
        <f t="shared" ref="AA781:AA1035" si="44">IF($B781="","",IF(ISNUMBER($N781),$N781,""))</f>
        <v>-2</v>
      </c>
      <c r="AB781" s="73">
        <f t="shared" ref="AB781:AB1035" si="45">IF($G781="","",IF(ISNUMBER($N781),$N781,""))</f>
        <v>-2</v>
      </c>
      <c r="AC781" s="73">
        <f t="shared" ref="AC781:AC1035" si="46">IF($B781="","",IF(ISNUMBER($O781),$O781,""))</f>
        <v>-2</v>
      </c>
      <c r="AD781" s="73">
        <f t="shared" ref="AD781:AD1035" si="47">IF($G781="","",IF(ISNUMBER($O781),$O781,""))</f>
        <v>-2</v>
      </c>
      <c r="AE781" s="73">
        <f t="shared" ref="AE781:AE1035" si="48">IF($AA781="","",$AA781+ROW()/1000000)</f>
        <v>-1.9992190000000001</v>
      </c>
      <c r="AF781" s="73">
        <f t="shared" ref="AF781:AF1035" si="49">IF($AB781="","",$AB781+ROW()/1000000)</f>
        <v>-1.9992190000000001</v>
      </c>
      <c r="AG781" s="73">
        <f t="shared" ref="AG781:AG1035" si="50">IF($AC781="","",$AC781+ROW()/1000000)</f>
        <v>-1.9992190000000001</v>
      </c>
      <c r="AH781" s="73">
        <f t="shared" ref="AH781:AH1035" si="51">IF($AD781="","",$AD781+ROW()/1000000)</f>
        <v>-1.9992190000000001</v>
      </c>
    </row>
    <row r="782" spans="1:34" ht="14.25" customHeight="1">
      <c r="A782" s="11">
        <v>767</v>
      </c>
      <c r="B782" s="66"/>
      <c r="C782" s="67"/>
      <c r="D782" s="67"/>
      <c r="E782" s="67"/>
      <c r="F782" s="67"/>
      <c r="G782" s="67" t="s">
        <v>35</v>
      </c>
      <c r="H782" s="67">
        <v>42485</v>
      </c>
      <c r="I782" s="6" t="s">
        <v>1382</v>
      </c>
      <c r="J782" s="9">
        <v>4348600449</v>
      </c>
      <c r="K782" s="68">
        <v>42460</v>
      </c>
      <c r="L782" s="68">
        <v>46022</v>
      </c>
      <c r="M782" s="68">
        <v>46203</v>
      </c>
      <c r="N782" s="69">
        <f t="shared" si="39"/>
        <v>2</v>
      </c>
      <c r="O782" s="69">
        <f t="shared" si="40"/>
        <v>-2</v>
      </c>
      <c r="P782" s="70">
        <v>0</v>
      </c>
      <c r="Q782" s="70">
        <v>4</v>
      </c>
      <c r="R782" s="70">
        <v>2</v>
      </c>
      <c r="S782" s="68" t="str">
        <f t="shared" si="41"/>
        <v/>
      </c>
      <c r="T782" s="68"/>
      <c r="U782" s="68"/>
      <c r="V782" s="68"/>
      <c r="W782" s="9"/>
      <c r="X782" s="10"/>
      <c r="Y782" s="71">
        <f t="shared" si="42"/>
        <v>4</v>
      </c>
      <c r="Z782" s="73">
        <f t="shared" si="43"/>
        <v>2</v>
      </c>
      <c r="AA782" s="11" t="str">
        <f t="shared" si="44"/>
        <v/>
      </c>
      <c r="AB782" s="73">
        <f t="shared" si="45"/>
        <v>2</v>
      </c>
      <c r="AC782" s="11" t="str">
        <f t="shared" si="46"/>
        <v/>
      </c>
      <c r="AD782" s="73">
        <f t="shared" si="47"/>
        <v>-2</v>
      </c>
      <c r="AE782" s="11" t="str">
        <f t="shared" si="48"/>
        <v/>
      </c>
      <c r="AF782" s="73">
        <f t="shared" si="49"/>
        <v>2.0007820000000001</v>
      </c>
      <c r="AG782" s="11" t="str">
        <f t="shared" si="50"/>
        <v/>
      </c>
      <c r="AH782" s="73">
        <f t="shared" si="51"/>
        <v>-1.9992179999999999</v>
      </c>
    </row>
    <row r="783" spans="1:34" ht="14.25" customHeight="1">
      <c r="A783" s="11">
        <v>768</v>
      </c>
      <c r="B783" s="66"/>
      <c r="C783" s="67"/>
      <c r="D783" s="67"/>
      <c r="E783" s="67"/>
      <c r="F783" s="67"/>
      <c r="G783" s="67" t="s">
        <v>35</v>
      </c>
      <c r="H783" s="67">
        <v>45818</v>
      </c>
      <c r="I783" s="6" t="s">
        <v>1383</v>
      </c>
      <c r="J783" s="9">
        <v>4348600681</v>
      </c>
      <c r="K783" s="68">
        <v>45808</v>
      </c>
      <c r="L783" s="68">
        <v>46022</v>
      </c>
      <c r="M783" s="68">
        <v>46203</v>
      </c>
      <c r="N783" s="69">
        <f t="shared" si="39"/>
        <v>1</v>
      </c>
      <c r="O783" s="69">
        <f t="shared" si="40"/>
        <v>-2</v>
      </c>
      <c r="P783" s="70">
        <v>11</v>
      </c>
      <c r="Q783" s="70">
        <v>14</v>
      </c>
      <c r="R783" s="70">
        <v>12</v>
      </c>
      <c r="S783" s="68" t="str">
        <f t="shared" si="41"/>
        <v/>
      </c>
      <c r="T783" s="68"/>
      <c r="U783" s="68"/>
      <c r="V783" s="68"/>
      <c r="W783" s="9"/>
      <c r="X783" s="10"/>
      <c r="Y783" s="71">
        <f t="shared" si="42"/>
        <v>14</v>
      </c>
      <c r="Z783" s="73">
        <f t="shared" si="43"/>
        <v>12</v>
      </c>
      <c r="AA783" s="11" t="str">
        <f t="shared" si="44"/>
        <v/>
      </c>
      <c r="AB783" s="73">
        <f t="shared" si="45"/>
        <v>1</v>
      </c>
      <c r="AC783" s="11" t="str">
        <f t="shared" si="46"/>
        <v/>
      </c>
      <c r="AD783" s="73">
        <f t="shared" si="47"/>
        <v>-2</v>
      </c>
      <c r="AE783" s="11" t="str">
        <f t="shared" si="48"/>
        <v/>
      </c>
      <c r="AF783" s="73">
        <f t="shared" si="49"/>
        <v>1.000783</v>
      </c>
      <c r="AG783" s="11" t="str">
        <f t="shared" si="50"/>
        <v/>
      </c>
      <c r="AH783" s="73">
        <f t="shared" si="51"/>
        <v>-1.999217</v>
      </c>
    </row>
    <row r="784" spans="1:34" ht="14.25" customHeight="1">
      <c r="A784" s="11">
        <v>769</v>
      </c>
      <c r="B784" s="66" t="s">
        <v>35</v>
      </c>
      <c r="C784" s="67">
        <v>42887</v>
      </c>
      <c r="D784" s="67"/>
      <c r="E784" s="67"/>
      <c r="F784" s="67"/>
      <c r="G784" s="67"/>
      <c r="H784" s="67"/>
      <c r="I784" s="6" t="s">
        <v>1384</v>
      </c>
      <c r="J784" s="9">
        <v>4358800655</v>
      </c>
      <c r="K784" s="68">
        <v>42886</v>
      </c>
      <c r="L784" s="68">
        <v>46022</v>
      </c>
      <c r="M784" s="68">
        <v>46203</v>
      </c>
      <c r="N784" s="69">
        <f t="shared" si="39"/>
        <v>59</v>
      </c>
      <c r="O784" s="69">
        <f t="shared" si="40"/>
        <v>17</v>
      </c>
      <c r="P784" s="70">
        <v>0</v>
      </c>
      <c r="Q784" s="70">
        <v>42</v>
      </c>
      <c r="R784" s="70">
        <v>59</v>
      </c>
      <c r="S784" s="68" t="str">
        <f t="shared" si="41"/>
        <v/>
      </c>
      <c r="T784" s="68"/>
      <c r="U784" s="68"/>
      <c r="V784" s="68"/>
      <c r="W784" s="9"/>
      <c r="X784" s="10"/>
      <c r="Y784" s="71">
        <f t="shared" si="42"/>
        <v>42</v>
      </c>
      <c r="Z784" s="73">
        <f t="shared" si="43"/>
        <v>59</v>
      </c>
      <c r="AA784" s="73">
        <f t="shared" si="44"/>
        <v>59</v>
      </c>
      <c r="AB784" s="11" t="str">
        <f t="shared" si="45"/>
        <v/>
      </c>
      <c r="AC784" s="73">
        <f t="shared" si="46"/>
        <v>17</v>
      </c>
      <c r="AD784" s="11" t="str">
        <f t="shared" si="47"/>
        <v/>
      </c>
      <c r="AE784" s="73">
        <f t="shared" si="48"/>
        <v>59.000784000000003</v>
      </c>
      <c r="AF784" s="11" t="str">
        <f t="shared" si="49"/>
        <v/>
      </c>
      <c r="AG784" s="73">
        <f t="shared" si="50"/>
        <v>17.000783999999999</v>
      </c>
      <c r="AH784" s="11" t="str">
        <f t="shared" si="51"/>
        <v/>
      </c>
    </row>
    <row r="785" spans="1:34" ht="14.25" customHeight="1">
      <c r="A785" s="11">
        <v>770</v>
      </c>
      <c r="B785" s="66" t="s">
        <v>1385</v>
      </c>
      <c r="C785" s="67">
        <v>45261</v>
      </c>
      <c r="D785" s="67"/>
      <c r="E785" s="67"/>
      <c r="F785" s="67"/>
      <c r="G785" s="67"/>
      <c r="H785" s="67"/>
      <c r="I785" s="6" t="s">
        <v>1386</v>
      </c>
      <c r="J785" s="9">
        <v>4368102924</v>
      </c>
      <c r="K785" s="68">
        <v>45260</v>
      </c>
      <c r="L785" s="68">
        <v>46022</v>
      </c>
      <c r="M785" s="68">
        <v>46203</v>
      </c>
      <c r="N785" s="69">
        <f t="shared" si="39"/>
        <v>0</v>
      </c>
      <c r="O785" s="69">
        <f t="shared" si="40"/>
        <v>-3</v>
      </c>
      <c r="P785" s="70">
        <v>0</v>
      </c>
      <c r="Q785" s="70">
        <v>3</v>
      </c>
      <c r="R785" s="70">
        <v>0</v>
      </c>
      <c r="S785" s="68" t="str">
        <f t="shared" si="41"/>
        <v/>
      </c>
      <c r="T785" s="68"/>
      <c r="U785" s="68"/>
      <c r="V785" s="68"/>
      <c r="W785" s="9"/>
      <c r="X785" s="10"/>
      <c r="Y785" s="71">
        <f t="shared" si="42"/>
        <v>3</v>
      </c>
      <c r="Z785" s="73">
        <f t="shared" si="43"/>
        <v>0</v>
      </c>
      <c r="AA785" s="73">
        <f t="shared" si="44"/>
        <v>0</v>
      </c>
      <c r="AB785" s="11" t="str">
        <f t="shared" si="45"/>
        <v/>
      </c>
      <c r="AC785" s="73">
        <f t="shared" si="46"/>
        <v>-3</v>
      </c>
      <c r="AD785" s="11" t="str">
        <f t="shared" si="47"/>
        <v/>
      </c>
      <c r="AE785" s="73">
        <f t="shared" si="48"/>
        <v>7.85E-4</v>
      </c>
      <c r="AF785" s="11" t="str">
        <f t="shared" si="49"/>
        <v/>
      </c>
      <c r="AG785" s="73">
        <f t="shared" si="50"/>
        <v>-2.999215</v>
      </c>
      <c r="AH785" s="11" t="str">
        <f t="shared" si="51"/>
        <v/>
      </c>
    </row>
    <row r="786" spans="1:34" ht="14.25" customHeight="1">
      <c r="A786" s="11">
        <v>771</v>
      </c>
      <c r="B786" s="66" t="s">
        <v>35</v>
      </c>
      <c r="C786" s="67">
        <v>45444</v>
      </c>
      <c r="D786" s="67"/>
      <c r="E786" s="67"/>
      <c r="F786" s="67"/>
      <c r="G786" s="67"/>
      <c r="H786" s="67"/>
      <c r="I786" s="6" t="s">
        <v>1387</v>
      </c>
      <c r="J786" s="9">
        <v>4368602104</v>
      </c>
      <c r="K786" s="68">
        <v>45443</v>
      </c>
      <c r="L786" s="68">
        <v>46022</v>
      </c>
      <c r="M786" s="68">
        <v>46203</v>
      </c>
      <c r="N786" s="69">
        <f t="shared" si="39"/>
        <v>-1</v>
      </c>
      <c r="O786" s="69">
        <f t="shared" si="40"/>
        <v>0</v>
      </c>
      <c r="P786" s="70">
        <v>7</v>
      </c>
      <c r="Q786" s="70">
        <v>6</v>
      </c>
      <c r="R786" s="70">
        <v>6</v>
      </c>
      <c r="S786" s="68" t="str">
        <f t="shared" si="41"/>
        <v/>
      </c>
      <c r="T786" s="68"/>
      <c r="U786" s="68"/>
      <c r="V786" s="68"/>
      <c r="W786" s="9"/>
      <c r="X786" s="10"/>
      <c r="Y786" s="71">
        <f t="shared" si="42"/>
        <v>6</v>
      </c>
      <c r="Z786" s="73">
        <f t="shared" si="43"/>
        <v>6</v>
      </c>
      <c r="AA786" s="73">
        <f t="shared" si="44"/>
        <v>-1</v>
      </c>
      <c r="AB786" s="11" t="str">
        <f t="shared" si="45"/>
        <v/>
      </c>
      <c r="AC786" s="73">
        <f t="shared" si="46"/>
        <v>0</v>
      </c>
      <c r="AD786" s="11" t="str">
        <f t="shared" si="47"/>
        <v/>
      </c>
      <c r="AE786" s="73">
        <f t="shared" si="48"/>
        <v>-0.99921400000000005</v>
      </c>
      <c r="AF786" s="11" t="str">
        <f t="shared" si="49"/>
        <v/>
      </c>
      <c r="AG786" s="73">
        <f t="shared" si="50"/>
        <v>7.8600000000000002E-4</v>
      </c>
      <c r="AH786" s="11" t="str">
        <f t="shared" si="51"/>
        <v/>
      </c>
    </row>
    <row r="787" spans="1:34" ht="14.25" customHeight="1">
      <c r="A787" s="11">
        <v>772</v>
      </c>
      <c r="B787" s="66"/>
      <c r="C787" s="67"/>
      <c r="D787" s="67"/>
      <c r="E787" s="67"/>
      <c r="F787" s="67"/>
      <c r="G787" s="67" t="s">
        <v>35</v>
      </c>
      <c r="H787" s="67">
        <v>43531</v>
      </c>
      <c r="I787" s="6" t="s">
        <v>1388</v>
      </c>
      <c r="J787" s="9">
        <v>4368700817</v>
      </c>
      <c r="K787" s="68">
        <v>43524</v>
      </c>
      <c r="L787" s="68">
        <v>46022</v>
      </c>
      <c r="M787" s="68">
        <v>46203</v>
      </c>
      <c r="N787" s="69">
        <f t="shared" si="39"/>
        <v>36</v>
      </c>
      <c r="O787" s="69">
        <f t="shared" si="40"/>
        <v>-2</v>
      </c>
      <c r="P787" s="70">
        <v>21</v>
      </c>
      <c r="Q787" s="70">
        <v>59</v>
      </c>
      <c r="R787" s="70">
        <v>57</v>
      </c>
      <c r="S787" s="68" t="str">
        <f t="shared" si="41"/>
        <v/>
      </c>
      <c r="T787" s="68"/>
      <c r="U787" s="68"/>
      <c r="V787" s="68"/>
      <c r="W787" s="9"/>
      <c r="X787" s="10"/>
      <c r="Y787" s="71">
        <f t="shared" si="42"/>
        <v>59</v>
      </c>
      <c r="Z787" s="73">
        <f t="shared" si="43"/>
        <v>57</v>
      </c>
      <c r="AA787" s="11" t="str">
        <f t="shared" si="44"/>
        <v/>
      </c>
      <c r="AB787" s="73">
        <f t="shared" si="45"/>
        <v>36</v>
      </c>
      <c r="AC787" s="11" t="str">
        <f t="shared" si="46"/>
        <v/>
      </c>
      <c r="AD787" s="73">
        <f t="shared" si="47"/>
        <v>-2</v>
      </c>
      <c r="AE787" s="11" t="str">
        <f t="shared" si="48"/>
        <v/>
      </c>
      <c r="AF787" s="73">
        <f t="shared" si="49"/>
        <v>36.000787000000003</v>
      </c>
      <c r="AG787" s="11" t="str">
        <f t="shared" si="50"/>
        <v/>
      </c>
      <c r="AH787" s="73">
        <f t="shared" si="51"/>
        <v>-1.9992129999999999</v>
      </c>
    </row>
    <row r="788" spans="1:34" ht="14.25" customHeight="1">
      <c r="A788" s="11">
        <v>773</v>
      </c>
      <c r="B788" s="66" t="s">
        <v>35</v>
      </c>
      <c r="C788" s="67">
        <v>45261</v>
      </c>
      <c r="D788" s="67"/>
      <c r="E788" s="67"/>
      <c r="F788" s="67"/>
      <c r="G788" s="67"/>
      <c r="H788" s="67"/>
      <c r="I788" s="6" t="s">
        <v>1389</v>
      </c>
      <c r="J788" s="9">
        <v>4368702208</v>
      </c>
      <c r="K788" s="68">
        <v>45260</v>
      </c>
      <c r="L788" s="68">
        <v>46022</v>
      </c>
      <c r="M788" s="68">
        <v>46203</v>
      </c>
      <c r="N788" s="69">
        <f t="shared" si="39"/>
        <v>2</v>
      </c>
      <c r="O788" s="69">
        <f t="shared" si="40"/>
        <v>1</v>
      </c>
      <c r="P788" s="70">
        <v>1</v>
      </c>
      <c r="Q788" s="70">
        <v>2</v>
      </c>
      <c r="R788" s="70">
        <v>3</v>
      </c>
      <c r="S788" s="68" t="str">
        <f t="shared" si="41"/>
        <v/>
      </c>
      <c r="T788" s="68"/>
      <c r="U788" s="68"/>
      <c r="V788" s="68"/>
      <c r="W788" s="9"/>
      <c r="X788" s="10"/>
      <c r="Y788" s="71">
        <f t="shared" si="42"/>
        <v>2</v>
      </c>
      <c r="Z788" s="73">
        <f t="shared" si="43"/>
        <v>3</v>
      </c>
      <c r="AA788" s="73">
        <f t="shared" si="44"/>
        <v>2</v>
      </c>
      <c r="AB788" s="11" t="str">
        <f t="shared" si="45"/>
        <v/>
      </c>
      <c r="AC788" s="73">
        <f t="shared" si="46"/>
        <v>1</v>
      </c>
      <c r="AD788" s="11" t="str">
        <f t="shared" si="47"/>
        <v/>
      </c>
      <c r="AE788" s="73">
        <f t="shared" si="48"/>
        <v>2.000788</v>
      </c>
      <c r="AF788" s="11" t="str">
        <f t="shared" si="49"/>
        <v/>
      </c>
      <c r="AG788" s="73">
        <f t="shared" si="50"/>
        <v>1.000788</v>
      </c>
      <c r="AH788" s="11" t="str">
        <f t="shared" si="51"/>
        <v/>
      </c>
    </row>
    <row r="789" spans="1:34" ht="14.25" customHeight="1">
      <c r="A789" s="11">
        <v>774</v>
      </c>
      <c r="B789" s="66" t="s">
        <v>24</v>
      </c>
      <c r="C789" s="67">
        <v>42416</v>
      </c>
      <c r="D789" s="67"/>
      <c r="E789" s="67"/>
      <c r="F789" s="67"/>
      <c r="G789" s="67"/>
      <c r="H789" s="67"/>
      <c r="I789" s="6" t="s">
        <v>1390</v>
      </c>
      <c r="J789" s="9">
        <v>4371800075</v>
      </c>
      <c r="K789" s="68">
        <v>42400</v>
      </c>
      <c r="L789" s="68" t="s">
        <v>230</v>
      </c>
      <c r="M789" s="68">
        <v>42766</v>
      </c>
      <c r="N789" s="69">
        <f t="shared" si="39"/>
        <v>0</v>
      </c>
      <c r="O789" s="69" t="str">
        <f t="shared" si="40"/>
        <v>N/A</v>
      </c>
      <c r="P789" s="70">
        <v>0</v>
      </c>
      <c r="Q789" s="70"/>
      <c r="R789" s="70">
        <v>0</v>
      </c>
      <c r="S789" s="68">
        <f t="shared" si="41"/>
        <v>42766</v>
      </c>
      <c r="T789" s="68">
        <v>42766</v>
      </c>
      <c r="U789" s="68"/>
      <c r="V789" s="68"/>
      <c r="W789" s="9"/>
      <c r="X789" s="10"/>
      <c r="Y789" s="65" t="str">
        <f t="shared" si="42"/>
        <v/>
      </c>
      <c r="Z789" s="11" t="str">
        <f t="shared" si="43"/>
        <v/>
      </c>
      <c r="AA789" s="73">
        <f t="shared" si="44"/>
        <v>0</v>
      </c>
      <c r="AB789" s="11" t="str">
        <f t="shared" si="45"/>
        <v/>
      </c>
      <c r="AC789" s="11" t="str">
        <f t="shared" si="46"/>
        <v/>
      </c>
      <c r="AD789" s="11" t="str">
        <f t="shared" si="47"/>
        <v/>
      </c>
      <c r="AE789" s="73">
        <f t="shared" si="48"/>
        <v>7.8899999999999999E-4</v>
      </c>
      <c r="AF789" s="11" t="str">
        <f t="shared" si="49"/>
        <v/>
      </c>
      <c r="AG789" s="11" t="str">
        <f t="shared" si="50"/>
        <v/>
      </c>
      <c r="AH789" s="11" t="str">
        <f t="shared" si="51"/>
        <v/>
      </c>
    </row>
    <row r="790" spans="1:34" ht="14.25" customHeight="1">
      <c r="A790" s="11">
        <v>775</v>
      </c>
      <c r="B790" s="66"/>
      <c r="C790" s="67"/>
      <c r="D790" s="67"/>
      <c r="E790" s="67"/>
      <c r="F790" s="67"/>
      <c r="G790" s="67" t="s">
        <v>35</v>
      </c>
      <c r="H790" s="67">
        <v>45575</v>
      </c>
      <c r="I790" s="6" t="s">
        <v>1391</v>
      </c>
      <c r="J790" s="9">
        <v>4378602790</v>
      </c>
      <c r="K790" s="68">
        <v>45565</v>
      </c>
      <c r="L790" s="68">
        <v>46022</v>
      </c>
      <c r="M790" s="68">
        <v>46203</v>
      </c>
      <c r="N790" s="69">
        <f t="shared" si="39"/>
        <v>2</v>
      </c>
      <c r="O790" s="69">
        <f t="shared" si="40"/>
        <v>0</v>
      </c>
      <c r="P790" s="70">
        <v>4</v>
      </c>
      <c r="Q790" s="70">
        <v>6</v>
      </c>
      <c r="R790" s="70">
        <v>6</v>
      </c>
      <c r="S790" s="68" t="str">
        <f t="shared" si="41"/>
        <v/>
      </c>
      <c r="T790" s="68"/>
      <c r="U790" s="68"/>
      <c r="V790" s="68"/>
      <c r="W790" s="9"/>
      <c r="X790" s="10"/>
      <c r="Y790" s="71">
        <f t="shared" si="42"/>
        <v>6</v>
      </c>
      <c r="Z790" s="73">
        <f t="shared" si="43"/>
        <v>6</v>
      </c>
      <c r="AA790" s="11" t="str">
        <f t="shared" si="44"/>
        <v/>
      </c>
      <c r="AB790" s="73">
        <f t="shared" si="45"/>
        <v>2</v>
      </c>
      <c r="AC790" s="11" t="str">
        <f t="shared" si="46"/>
        <v/>
      </c>
      <c r="AD790" s="73">
        <f t="shared" si="47"/>
        <v>0</v>
      </c>
      <c r="AE790" s="11" t="str">
        <f t="shared" si="48"/>
        <v/>
      </c>
      <c r="AF790" s="73">
        <f t="shared" si="49"/>
        <v>2.0007899999999998</v>
      </c>
      <c r="AG790" s="11" t="str">
        <f t="shared" si="50"/>
        <v/>
      </c>
      <c r="AH790" s="73">
        <f t="shared" si="51"/>
        <v>7.9000000000000001E-4</v>
      </c>
    </row>
    <row r="791" spans="1:34" ht="14.25" customHeight="1">
      <c r="A791" s="11">
        <v>776</v>
      </c>
      <c r="B791" s="66"/>
      <c r="C791" s="67"/>
      <c r="D791" s="67"/>
      <c r="E791" s="67"/>
      <c r="F791" s="67"/>
      <c r="G791" s="67" t="s">
        <v>35</v>
      </c>
      <c r="H791" s="67">
        <v>43454</v>
      </c>
      <c r="I791" s="6" t="s">
        <v>1392</v>
      </c>
      <c r="J791" s="9">
        <v>4378700746</v>
      </c>
      <c r="K791" s="68">
        <v>43434</v>
      </c>
      <c r="L791" s="68">
        <v>46022</v>
      </c>
      <c r="M791" s="68">
        <v>46203</v>
      </c>
      <c r="N791" s="69">
        <f t="shared" si="39"/>
        <v>4</v>
      </c>
      <c r="O791" s="69">
        <f t="shared" si="40"/>
        <v>-1</v>
      </c>
      <c r="P791" s="70">
        <v>7</v>
      </c>
      <c r="Q791" s="70">
        <v>12</v>
      </c>
      <c r="R791" s="70">
        <v>11</v>
      </c>
      <c r="S791" s="68" t="str">
        <f t="shared" si="41"/>
        <v/>
      </c>
      <c r="T791" s="68"/>
      <c r="U791" s="68"/>
      <c r="V791" s="68"/>
      <c r="W791" s="9"/>
      <c r="X791" s="10"/>
      <c r="Y791" s="71">
        <f t="shared" si="42"/>
        <v>12</v>
      </c>
      <c r="Z791" s="73">
        <f t="shared" si="43"/>
        <v>11</v>
      </c>
      <c r="AA791" s="11" t="str">
        <f t="shared" si="44"/>
        <v/>
      </c>
      <c r="AB791" s="73">
        <f t="shared" si="45"/>
        <v>4</v>
      </c>
      <c r="AC791" s="11" t="str">
        <f t="shared" si="46"/>
        <v/>
      </c>
      <c r="AD791" s="73">
        <f t="shared" si="47"/>
        <v>-1</v>
      </c>
      <c r="AE791" s="11" t="str">
        <f t="shared" si="48"/>
        <v/>
      </c>
      <c r="AF791" s="73">
        <f t="shared" si="49"/>
        <v>4.0007910000000004</v>
      </c>
      <c r="AG791" s="11" t="str">
        <f t="shared" si="50"/>
        <v/>
      </c>
      <c r="AH791" s="73">
        <f t="shared" si="51"/>
        <v>-0.99920900000000001</v>
      </c>
    </row>
    <row r="792" spans="1:34" ht="14.25" customHeight="1">
      <c r="A792" s="11">
        <v>777</v>
      </c>
      <c r="B792" s="66"/>
      <c r="C792" s="67"/>
      <c r="D792" s="67"/>
      <c r="E792" s="67"/>
      <c r="F792" s="67"/>
      <c r="G792" s="67" t="s">
        <v>35</v>
      </c>
      <c r="H792" s="67">
        <v>45930</v>
      </c>
      <c r="I792" s="6" t="s">
        <v>1393</v>
      </c>
      <c r="J792" s="94">
        <v>4398601424</v>
      </c>
      <c r="K792" s="68">
        <v>45900</v>
      </c>
      <c r="L792" s="68">
        <v>46022</v>
      </c>
      <c r="M792" s="68">
        <v>46203</v>
      </c>
      <c r="N792" s="69">
        <f t="shared" si="39"/>
        <v>4</v>
      </c>
      <c r="O792" s="69">
        <f t="shared" si="40"/>
        <v>4</v>
      </c>
      <c r="P792" s="70">
        <v>40</v>
      </c>
      <c r="Q792" s="70">
        <v>40</v>
      </c>
      <c r="R792" s="70">
        <v>44</v>
      </c>
      <c r="S792" s="68" t="str">
        <f t="shared" si="41"/>
        <v/>
      </c>
      <c r="T792" s="68"/>
      <c r="U792" s="95"/>
      <c r="V792" s="68"/>
      <c r="W792" s="6"/>
      <c r="X792" s="10"/>
      <c r="Y792" s="71">
        <f t="shared" si="42"/>
        <v>40</v>
      </c>
      <c r="Z792" s="73">
        <f t="shared" si="43"/>
        <v>44</v>
      </c>
      <c r="AA792" s="11" t="str">
        <f t="shared" si="44"/>
        <v/>
      </c>
      <c r="AB792" s="73">
        <f t="shared" si="45"/>
        <v>4</v>
      </c>
      <c r="AC792" s="11" t="str">
        <f t="shared" si="46"/>
        <v/>
      </c>
      <c r="AD792" s="73">
        <f t="shared" si="47"/>
        <v>4</v>
      </c>
      <c r="AE792" s="11" t="str">
        <f t="shared" si="48"/>
        <v/>
      </c>
      <c r="AF792" s="73">
        <f t="shared" si="49"/>
        <v>4.0007919999999997</v>
      </c>
      <c r="AG792" s="11" t="str">
        <f t="shared" si="50"/>
        <v/>
      </c>
      <c r="AH792" s="73">
        <f t="shared" si="51"/>
        <v>4.0007919999999997</v>
      </c>
    </row>
    <row r="793" spans="1:34" ht="14.25" customHeight="1">
      <c r="A793" s="11">
        <v>778</v>
      </c>
      <c r="B793" s="66"/>
      <c r="C793" s="67"/>
      <c r="D793" s="67"/>
      <c r="E793" s="67"/>
      <c r="F793" s="67"/>
      <c r="G793" s="67" t="s">
        <v>35</v>
      </c>
      <c r="H793" s="67">
        <v>44491</v>
      </c>
      <c r="I793" s="6" t="s">
        <v>1394</v>
      </c>
      <c r="J793" s="9">
        <v>4408100283</v>
      </c>
      <c r="K793" s="68">
        <v>44469</v>
      </c>
      <c r="L793" s="68">
        <v>46022</v>
      </c>
      <c r="M793" s="68">
        <v>46203</v>
      </c>
      <c r="N793" s="69">
        <f t="shared" si="39"/>
        <v>-15</v>
      </c>
      <c r="O793" s="69">
        <f t="shared" si="40"/>
        <v>-3</v>
      </c>
      <c r="P793" s="70">
        <v>38</v>
      </c>
      <c r="Q793" s="70">
        <v>26</v>
      </c>
      <c r="R793" s="70">
        <v>23</v>
      </c>
      <c r="S793" s="68" t="str">
        <f t="shared" si="41"/>
        <v/>
      </c>
      <c r="T793" s="68"/>
      <c r="U793" s="68"/>
      <c r="V793" s="68"/>
      <c r="W793" s="9"/>
      <c r="X793" s="10"/>
      <c r="Y793" s="71">
        <f t="shared" si="42"/>
        <v>26</v>
      </c>
      <c r="Z793" s="73">
        <f t="shared" si="43"/>
        <v>23</v>
      </c>
      <c r="AA793" s="11" t="str">
        <f t="shared" si="44"/>
        <v/>
      </c>
      <c r="AB793" s="73">
        <f t="shared" si="45"/>
        <v>-15</v>
      </c>
      <c r="AC793" s="11" t="str">
        <f t="shared" si="46"/>
        <v/>
      </c>
      <c r="AD793" s="73">
        <f t="shared" si="47"/>
        <v>-3</v>
      </c>
      <c r="AE793" s="11" t="str">
        <f t="shared" si="48"/>
        <v/>
      </c>
      <c r="AF793" s="73">
        <f t="shared" si="49"/>
        <v>-14.999207</v>
      </c>
      <c r="AG793" s="11" t="str">
        <f t="shared" si="50"/>
        <v/>
      </c>
      <c r="AH793" s="73">
        <f t="shared" si="51"/>
        <v>-2.9992070000000002</v>
      </c>
    </row>
    <row r="794" spans="1:34" ht="14.25" customHeight="1">
      <c r="A794" s="11">
        <v>779</v>
      </c>
      <c r="B794" s="66"/>
      <c r="C794" s="67"/>
      <c r="D794" s="67"/>
      <c r="E794" s="67"/>
      <c r="F794" s="67"/>
      <c r="G794" s="67" t="s">
        <v>35</v>
      </c>
      <c r="H794" s="67">
        <v>45483</v>
      </c>
      <c r="I794" s="6" t="s">
        <v>1395</v>
      </c>
      <c r="J794" s="94">
        <v>4418102964</v>
      </c>
      <c r="K794" s="68">
        <v>45930</v>
      </c>
      <c r="L794" s="68">
        <v>46022</v>
      </c>
      <c r="M794" s="68">
        <v>46203</v>
      </c>
      <c r="N794" s="69">
        <f t="shared" si="39"/>
        <v>1</v>
      </c>
      <c r="O794" s="69">
        <f t="shared" si="40"/>
        <v>0</v>
      </c>
      <c r="P794" s="78">
        <v>1</v>
      </c>
      <c r="Q794" s="78">
        <v>2</v>
      </c>
      <c r="R794" s="78">
        <v>2</v>
      </c>
      <c r="S794" s="68" t="str">
        <f t="shared" si="41"/>
        <v/>
      </c>
      <c r="T794" s="68"/>
      <c r="U794" s="95"/>
      <c r="V794" s="68"/>
      <c r="W794" s="6"/>
      <c r="X794" s="93" t="s">
        <v>1149</v>
      </c>
      <c r="Y794" s="71">
        <f t="shared" si="42"/>
        <v>2</v>
      </c>
      <c r="Z794" s="73">
        <f t="shared" si="43"/>
        <v>2</v>
      </c>
      <c r="AA794" s="11" t="str">
        <f t="shared" si="44"/>
        <v/>
      </c>
      <c r="AB794" s="73">
        <f t="shared" si="45"/>
        <v>1</v>
      </c>
      <c r="AC794" s="11" t="str">
        <f t="shared" si="46"/>
        <v/>
      </c>
      <c r="AD794" s="73">
        <f t="shared" si="47"/>
        <v>0</v>
      </c>
      <c r="AE794" s="11" t="str">
        <f t="shared" si="48"/>
        <v/>
      </c>
      <c r="AF794" s="73">
        <f t="shared" si="49"/>
        <v>1.000794</v>
      </c>
      <c r="AG794" s="11" t="str">
        <f t="shared" si="50"/>
        <v/>
      </c>
      <c r="AH794" s="73">
        <f t="shared" si="51"/>
        <v>7.94E-4</v>
      </c>
    </row>
    <row r="795" spans="1:34" ht="14.25" customHeight="1">
      <c r="A795" s="11">
        <v>780</v>
      </c>
      <c r="B795" s="66" t="s">
        <v>35</v>
      </c>
      <c r="C795" s="67"/>
      <c r="D795" s="67">
        <v>45142</v>
      </c>
      <c r="E795" s="67"/>
      <c r="F795" s="67"/>
      <c r="G795" s="67"/>
      <c r="H795" s="67"/>
      <c r="I795" s="6" t="s">
        <v>1396</v>
      </c>
      <c r="J795" s="9">
        <v>4418602877</v>
      </c>
      <c r="K795" s="68">
        <v>45138</v>
      </c>
      <c r="L795" s="68">
        <v>46022</v>
      </c>
      <c r="M795" s="68">
        <v>46203</v>
      </c>
      <c r="N795" s="69">
        <f t="shared" si="39"/>
        <v>1</v>
      </c>
      <c r="O795" s="69">
        <f t="shared" si="40"/>
        <v>0</v>
      </c>
      <c r="P795" s="70">
        <v>9</v>
      </c>
      <c r="Q795" s="70">
        <v>10</v>
      </c>
      <c r="R795" s="70">
        <v>10</v>
      </c>
      <c r="S795" s="68" t="str">
        <f t="shared" si="41"/>
        <v/>
      </c>
      <c r="T795" s="68"/>
      <c r="U795" s="68"/>
      <c r="V795" s="68"/>
      <c r="W795" s="9"/>
      <c r="X795" s="10"/>
      <c r="Y795" s="71">
        <f t="shared" si="42"/>
        <v>10</v>
      </c>
      <c r="Z795" s="73">
        <f t="shared" si="43"/>
        <v>10</v>
      </c>
      <c r="AA795" s="73">
        <f t="shared" si="44"/>
        <v>1</v>
      </c>
      <c r="AB795" s="11" t="str">
        <f t="shared" si="45"/>
        <v/>
      </c>
      <c r="AC795" s="73">
        <f t="shared" si="46"/>
        <v>0</v>
      </c>
      <c r="AD795" s="11" t="str">
        <f t="shared" si="47"/>
        <v/>
      </c>
      <c r="AE795" s="73">
        <f t="shared" si="48"/>
        <v>1.0007950000000001</v>
      </c>
      <c r="AF795" s="11" t="str">
        <f t="shared" si="49"/>
        <v/>
      </c>
      <c r="AG795" s="73">
        <f t="shared" si="50"/>
        <v>7.9500000000000003E-4</v>
      </c>
      <c r="AH795" s="11" t="str">
        <f t="shared" si="51"/>
        <v/>
      </c>
    </row>
    <row r="796" spans="1:34" ht="14.25" customHeight="1">
      <c r="A796" s="11">
        <v>781</v>
      </c>
      <c r="B796" s="66"/>
      <c r="C796" s="67"/>
      <c r="D796" s="67"/>
      <c r="E796" s="67"/>
      <c r="F796" s="67"/>
      <c r="G796" s="67" t="s">
        <v>35</v>
      </c>
      <c r="H796" s="67">
        <v>45958</v>
      </c>
      <c r="I796" s="6" t="s">
        <v>1397</v>
      </c>
      <c r="J796" s="94">
        <v>4418603390</v>
      </c>
      <c r="K796" s="68">
        <v>45930</v>
      </c>
      <c r="L796" s="68">
        <v>46022</v>
      </c>
      <c r="M796" s="68">
        <v>46203</v>
      </c>
      <c r="N796" s="69">
        <f t="shared" si="39"/>
        <v>9</v>
      </c>
      <c r="O796" s="69">
        <f t="shared" si="40"/>
        <v>3</v>
      </c>
      <c r="P796" s="70">
        <v>8</v>
      </c>
      <c r="Q796" s="70">
        <v>14</v>
      </c>
      <c r="R796" s="70">
        <v>17</v>
      </c>
      <c r="S796" s="68" t="str">
        <f t="shared" si="41"/>
        <v/>
      </c>
      <c r="T796" s="68"/>
      <c r="U796" s="95"/>
      <c r="V796" s="68"/>
      <c r="W796" s="6"/>
      <c r="X796" s="10"/>
      <c r="Y796" s="71">
        <f t="shared" si="42"/>
        <v>14</v>
      </c>
      <c r="Z796" s="73">
        <f t="shared" si="43"/>
        <v>17</v>
      </c>
      <c r="AA796" s="11" t="str">
        <f t="shared" si="44"/>
        <v/>
      </c>
      <c r="AB796" s="73">
        <f t="shared" si="45"/>
        <v>9</v>
      </c>
      <c r="AC796" s="11" t="str">
        <f t="shared" si="46"/>
        <v/>
      </c>
      <c r="AD796" s="73">
        <f t="shared" si="47"/>
        <v>3</v>
      </c>
      <c r="AE796" s="11" t="str">
        <f t="shared" si="48"/>
        <v/>
      </c>
      <c r="AF796" s="73">
        <f t="shared" si="49"/>
        <v>9.0007959999999994</v>
      </c>
      <c r="AG796" s="11" t="str">
        <f t="shared" si="50"/>
        <v/>
      </c>
      <c r="AH796" s="73">
        <f t="shared" si="51"/>
        <v>3.0007959999999998</v>
      </c>
    </row>
    <row r="797" spans="1:34" ht="14.25" customHeight="1">
      <c r="A797" s="11">
        <v>782</v>
      </c>
      <c r="B797" s="66"/>
      <c r="C797" s="67"/>
      <c r="D797" s="67"/>
      <c r="E797" s="67"/>
      <c r="F797" s="67"/>
      <c r="G797" s="67" t="s">
        <v>35</v>
      </c>
      <c r="H797" s="67">
        <v>44785</v>
      </c>
      <c r="I797" s="6" t="s">
        <v>1398</v>
      </c>
      <c r="J797" s="9">
        <v>4418802041</v>
      </c>
      <c r="K797" s="68">
        <v>44773</v>
      </c>
      <c r="L797" s="68">
        <v>46022</v>
      </c>
      <c r="M797" s="68">
        <v>46203</v>
      </c>
      <c r="N797" s="69">
        <f t="shared" si="39"/>
        <v>0</v>
      </c>
      <c r="O797" s="69">
        <f t="shared" si="40"/>
        <v>0</v>
      </c>
      <c r="P797" s="70">
        <v>1</v>
      </c>
      <c r="Q797" s="70">
        <v>1</v>
      </c>
      <c r="R797" s="70">
        <v>1</v>
      </c>
      <c r="S797" s="68" t="str">
        <f t="shared" si="41"/>
        <v/>
      </c>
      <c r="T797" s="68"/>
      <c r="U797" s="68"/>
      <c r="V797" s="68"/>
      <c r="W797" s="9"/>
      <c r="X797" s="10"/>
      <c r="Y797" s="71">
        <f t="shared" si="42"/>
        <v>1</v>
      </c>
      <c r="Z797" s="73">
        <f t="shared" si="43"/>
        <v>1</v>
      </c>
      <c r="AA797" s="11" t="str">
        <f t="shared" si="44"/>
        <v/>
      </c>
      <c r="AB797" s="73">
        <f t="shared" si="45"/>
        <v>0</v>
      </c>
      <c r="AC797" s="11" t="str">
        <f t="shared" si="46"/>
        <v/>
      </c>
      <c r="AD797" s="73">
        <f t="shared" si="47"/>
        <v>0</v>
      </c>
      <c r="AE797" s="11" t="str">
        <f t="shared" si="48"/>
        <v/>
      </c>
      <c r="AF797" s="73">
        <f t="shared" si="49"/>
        <v>7.9699999999999997E-4</v>
      </c>
      <c r="AG797" s="11" t="str">
        <f t="shared" si="50"/>
        <v/>
      </c>
      <c r="AH797" s="73">
        <f t="shared" si="51"/>
        <v>7.9699999999999997E-4</v>
      </c>
    </row>
    <row r="798" spans="1:34" ht="14.25" customHeight="1">
      <c r="A798" s="11">
        <v>783</v>
      </c>
      <c r="B798" s="66"/>
      <c r="C798" s="67"/>
      <c r="D798" s="67"/>
      <c r="E798" s="67"/>
      <c r="F798" s="67"/>
      <c r="G798" s="67" t="s">
        <v>35</v>
      </c>
      <c r="H798" s="67">
        <v>45789</v>
      </c>
      <c r="I798" s="6" t="s">
        <v>1399</v>
      </c>
      <c r="J798" s="9">
        <v>4438102918</v>
      </c>
      <c r="K798" s="68">
        <v>45777</v>
      </c>
      <c r="L798" s="68">
        <v>46022</v>
      </c>
      <c r="M798" s="68">
        <v>46203</v>
      </c>
      <c r="N798" s="69">
        <f t="shared" si="39"/>
        <v>7</v>
      </c>
      <c r="O798" s="69">
        <f t="shared" si="40"/>
        <v>5</v>
      </c>
      <c r="P798" s="70">
        <v>1</v>
      </c>
      <c r="Q798" s="70">
        <v>3</v>
      </c>
      <c r="R798" s="70">
        <v>8</v>
      </c>
      <c r="S798" s="68" t="str">
        <f t="shared" si="41"/>
        <v/>
      </c>
      <c r="T798" s="68"/>
      <c r="U798" s="68"/>
      <c r="V798" s="68"/>
      <c r="W798" s="9"/>
      <c r="X798" s="10"/>
      <c r="Y798" s="71">
        <f t="shared" si="42"/>
        <v>3</v>
      </c>
      <c r="Z798" s="73">
        <f t="shared" si="43"/>
        <v>8</v>
      </c>
      <c r="AA798" s="11" t="str">
        <f t="shared" si="44"/>
        <v/>
      </c>
      <c r="AB798" s="73">
        <f t="shared" si="45"/>
        <v>7</v>
      </c>
      <c r="AC798" s="11" t="str">
        <f t="shared" si="46"/>
        <v/>
      </c>
      <c r="AD798" s="73">
        <f t="shared" si="47"/>
        <v>5</v>
      </c>
      <c r="AE798" s="11" t="str">
        <f t="shared" si="48"/>
        <v/>
      </c>
      <c r="AF798" s="73">
        <f t="shared" si="49"/>
        <v>7.0007979999999996</v>
      </c>
      <c r="AG798" s="11" t="str">
        <f t="shared" si="50"/>
        <v/>
      </c>
      <c r="AH798" s="73">
        <f t="shared" si="51"/>
        <v>5.0007979999999996</v>
      </c>
    </row>
    <row r="799" spans="1:34" ht="14.25" customHeight="1">
      <c r="A799" s="11">
        <v>784</v>
      </c>
      <c r="B799" s="66" t="s">
        <v>24</v>
      </c>
      <c r="C799" s="67">
        <v>43098</v>
      </c>
      <c r="D799" s="67"/>
      <c r="E799" s="67"/>
      <c r="F799" s="67"/>
      <c r="G799" s="67"/>
      <c r="H799" s="67"/>
      <c r="I799" s="6" t="s">
        <v>1400</v>
      </c>
      <c r="J799" s="9">
        <v>4438700421</v>
      </c>
      <c r="K799" s="68">
        <v>43069</v>
      </c>
      <c r="L799" s="68" t="s">
        <v>230</v>
      </c>
      <c r="M799" s="68">
        <v>43769</v>
      </c>
      <c r="N799" s="69">
        <f t="shared" si="39"/>
        <v>-3</v>
      </c>
      <c r="O799" s="69" t="str">
        <f t="shared" si="40"/>
        <v>N/A</v>
      </c>
      <c r="P799" s="70">
        <v>3</v>
      </c>
      <c r="Q799" s="70"/>
      <c r="R799" s="70">
        <v>0</v>
      </c>
      <c r="S799" s="68">
        <f t="shared" si="41"/>
        <v>43755</v>
      </c>
      <c r="T799" s="68">
        <v>43755</v>
      </c>
      <c r="U799" s="68"/>
      <c r="V799" s="68"/>
      <c r="W799" s="9"/>
      <c r="X799" s="10"/>
      <c r="Y799" s="65" t="str">
        <f t="shared" si="42"/>
        <v/>
      </c>
      <c r="Z799" s="11" t="str">
        <f t="shared" si="43"/>
        <v/>
      </c>
      <c r="AA799" s="73">
        <f t="shared" si="44"/>
        <v>-3</v>
      </c>
      <c r="AB799" s="11" t="str">
        <f t="shared" si="45"/>
        <v/>
      </c>
      <c r="AC799" s="11" t="str">
        <f t="shared" si="46"/>
        <v/>
      </c>
      <c r="AD799" s="11" t="str">
        <f t="shared" si="47"/>
        <v/>
      </c>
      <c r="AE799" s="73">
        <f t="shared" si="48"/>
        <v>-2.9992009999999998</v>
      </c>
      <c r="AF799" s="11" t="str">
        <f t="shared" si="49"/>
        <v/>
      </c>
      <c r="AG799" s="11" t="str">
        <f t="shared" si="50"/>
        <v/>
      </c>
      <c r="AH799" s="11" t="str">
        <f t="shared" si="51"/>
        <v/>
      </c>
    </row>
    <row r="800" spans="1:34" ht="14.25" customHeight="1">
      <c r="A800" s="11">
        <v>785</v>
      </c>
      <c r="B800" s="66" t="s">
        <v>35</v>
      </c>
      <c r="C800" s="67">
        <v>45261</v>
      </c>
      <c r="D800" s="67"/>
      <c r="E800" s="67"/>
      <c r="F800" s="67"/>
      <c r="G800" s="67" t="s">
        <v>35</v>
      </c>
      <c r="H800" s="67">
        <v>45323</v>
      </c>
      <c r="I800" s="6" t="s">
        <v>1401</v>
      </c>
      <c r="J800" s="9">
        <v>4448703358</v>
      </c>
      <c r="K800" s="68">
        <v>45260</v>
      </c>
      <c r="L800" s="68">
        <v>46022</v>
      </c>
      <c r="M800" s="68">
        <v>46203</v>
      </c>
      <c r="N800" s="69">
        <f t="shared" si="39"/>
        <v>10</v>
      </c>
      <c r="O800" s="69">
        <f t="shared" si="40"/>
        <v>1</v>
      </c>
      <c r="P800" s="70">
        <v>0</v>
      </c>
      <c r="Q800" s="70">
        <v>9</v>
      </c>
      <c r="R800" s="70">
        <v>10</v>
      </c>
      <c r="S800" s="68" t="str">
        <f t="shared" si="41"/>
        <v/>
      </c>
      <c r="T800" s="68"/>
      <c r="U800" s="68"/>
      <c r="V800" s="68"/>
      <c r="W800" s="9"/>
      <c r="X800" s="10"/>
      <c r="Y800" s="71">
        <f t="shared" si="42"/>
        <v>9</v>
      </c>
      <c r="Z800" s="73">
        <f t="shared" si="43"/>
        <v>10</v>
      </c>
      <c r="AA800" s="73">
        <f t="shared" si="44"/>
        <v>10</v>
      </c>
      <c r="AB800" s="73">
        <f t="shared" si="45"/>
        <v>10</v>
      </c>
      <c r="AC800" s="73">
        <f t="shared" si="46"/>
        <v>1</v>
      </c>
      <c r="AD800" s="73">
        <f t="shared" si="47"/>
        <v>1</v>
      </c>
      <c r="AE800" s="73">
        <f t="shared" si="48"/>
        <v>10.0008</v>
      </c>
      <c r="AF800" s="73">
        <f t="shared" si="49"/>
        <v>10.0008</v>
      </c>
      <c r="AG800" s="73">
        <f t="shared" si="50"/>
        <v>1.0007999999999999</v>
      </c>
      <c r="AH800" s="73">
        <f t="shared" si="51"/>
        <v>1.0007999999999999</v>
      </c>
    </row>
    <row r="801" spans="1:34" ht="14.25" customHeight="1">
      <c r="A801" s="11">
        <v>786</v>
      </c>
      <c r="B801" s="66"/>
      <c r="C801" s="67"/>
      <c r="D801" s="67"/>
      <c r="E801" s="67"/>
      <c r="F801" s="67"/>
      <c r="G801" s="67" t="s">
        <v>35</v>
      </c>
      <c r="H801" s="67">
        <v>42761</v>
      </c>
      <c r="I801" s="6" t="s">
        <v>1402</v>
      </c>
      <c r="J801" s="9">
        <v>4458100707</v>
      </c>
      <c r="K801" s="68">
        <v>42735</v>
      </c>
      <c r="L801" s="68">
        <v>46022</v>
      </c>
      <c r="M801" s="68">
        <v>46203</v>
      </c>
      <c r="N801" s="69">
        <f t="shared" si="39"/>
        <v>34</v>
      </c>
      <c r="O801" s="69">
        <f t="shared" si="40"/>
        <v>1</v>
      </c>
      <c r="P801" s="70">
        <v>0</v>
      </c>
      <c r="Q801" s="70">
        <v>33</v>
      </c>
      <c r="R801" s="70">
        <v>34</v>
      </c>
      <c r="S801" s="68" t="str">
        <f t="shared" si="41"/>
        <v/>
      </c>
      <c r="T801" s="68"/>
      <c r="U801" s="68"/>
      <c r="V801" s="68"/>
      <c r="W801" s="9"/>
      <c r="X801" s="10"/>
      <c r="Y801" s="71">
        <f t="shared" si="42"/>
        <v>33</v>
      </c>
      <c r="Z801" s="73">
        <f t="shared" si="43"/>
        <v>34</v>
      </c>
      <c r="AA801" s="11" t="str">
        <f t="shared" si="44"/>
        <v/>
      </c>
      <c r="AB801" s="73">
        <f t="shared" si="45"/>
        <v>34</v>
      </c>
      <c r="AC801" s="11" t="str">
        <f t="shared" si="46"/>
        <v/>
      </c>
      <c r="AD801" s="73">
        <f t="shared" si="47"/>
        <v>1</v>
      </c>
      <c r="AE801" s="11" t="str">
        <f t="shared" si="48"/>
        <v/>
      </c>
      <c r="AF801" s="73">
        <f t="shared" si="49"/>
        <v>34.000801000000003</v>
      </c>
      <c r="AG801" s="11" t="str">
        <f t="shared" si="50"/>
        <v/>
      </c>
      <c r="AH801" s="73">
        <f t="shared" si="51"/>
        <v>1.0008010000000001</v>
      </c>
    </row>
    <row r="802" spans="1:34" ht="14.25" customHeight="1">
      <c r="A802" s="11">
        <v>787</v>
      </c>
      <c r="B802" s="66"/>
      <c r="C802" s="67"/>
      <c r="D802" s="67"/>
      <c r="E802" s="67"/>
      <c r="F802" s="67"/>
      <c r="G802" s="67" t="s">
        <v>35</v>
      </c>
      <c r="H802" s="67">
        <v>45470</v>
      </c>
      <c r="I802" s="6" t="s">
        <v>1403</v>
      </c>
      <c r="J802" s="9">
        <v>4458601773</v>
      </c>
      <c r="K802" s="68">
        <v>45443</v>
      </c>
      <c r="L802" s="68">
        <v>46022</v>
      </c>
      <c r="M802" s="68">
        <v>46203</v>
      </c>
      <c r="N802" s="69">
        <f t="shared" si="39"/>
        <v>-1</v>
      </c>
      <c r="O802" s="69">
        <f t="shared" si="40"/>
        <v>0</v>
      </c>
      <c r="P802" s="70">
        <v>5</v>
      </c>
      <c r="Q802" s="70">
        <v>4</v>
      </c>
      <c r="R802" s="70">
        <v>4</v>
      </c>
      <c r="S802" s="68" t="str">
        <f t="shared" si="41"/>
        <v/>
      </c>
      <c r="T802" s="68"/>
      <c r="U802" s="68"/>
      <c r="V802" s="68"/>
      <c r="W802" s="9"/>
      <c r="X802" s="10"/>
      <c r="Y802" s="71">
        <f t="shared" si="42"/>
        <v>4</v>
      </c>
      <c r="Z802" s="73">
        <f t="shared" si="43"/>
        <v>4</v>
      </c>
      <c r="AA802" s="11" t="str">
        <f t="shared" si="44"/>
        <v/>
      </c>
      <c r="AB802" s="73">
        <f t="shared" si="45"/>
        <v>-1</v>
      </c>
      <c r="AC802" s="11" t="str">
        <f t="shared" si="46"/>
        <v/>
      </c>
      <c r="AD802" s="73">
        <f t="shared" si="47"/>
        <v>0</v>
      </c>
      <c r="AE802" s="11" t="str">
        <f t="shared" si="48"/>
        <v/>
      </c>
      <c r="AF802" s="73">
        <f t="shared" si="49"/>
        <v>-0.99919800000000003</v>
      </c>
      <c r="AG802" s="11" t="str">
        <f t="shared" si="50"/>
        <v/>
      </c>
      <c r="AH802" s="73">
        <f t="shared" si="51"/>
        <v>8.0199999999999998E-4</v>
      </c>
    </row>
    <row r="803" spans="1:34" ht="14.25" customHeight="1">
      <c r="A803" s="11">
        <v>788</v>
      </c>
      <c r="B803" s="66"/>
      <c r="C803" s="67"/>
      <c r="D803" s="67"/>
      <c r="E803" s="67"/>
      <c r="F803" s="67"/>
      <c r="G803" s="67" t="s">
        <v>35</v>
      </c>
      <c r="H803" s="67">
        <v>43866</v>
      </c>
      <c r="I803" s="6" t="s">
        <v>1404</v>
      </c>
      <c r="J803" s="9">
        <v>4468101655</v>
      </c>
      <c r="K803" s="68">
        <v>43861</v>
      </c>
      <c r="L803" s="68">
        <v>46022</v>
      </c>
      <c r="M803" s="68">
        <v>46203</v>
      </c>
      <c r="N803" s="69">
        <f t="shared" si="39"/>
        <v>17</v>
      </c>
      <c r="O803" s="69">
        <f t="shared" si="40"/>
        <v>2</v>
      </c>
      <c r="P803" s="70">
        <v>0</v>
      </c>
      <c r="Q803" s="70">
        <v>15</v>
      </c>
      <c r="R803" s="70">
        <v>17</v>
      </c>
      <c r="S803" s="68" t="str">
        <f t="shared" si="41"/>
        <v/>
      </c>
      <c r="T803" s="68"/>
      <c r="U803" s="68"/>
      <c r="V803" s="68"/>
      <c r="W803" s="9"/>
      <c r="X803" s="10"/>
      <c r="Y803" s="71">
        <f t="shared" si="42"/>
        <v>15</v>
      </c>
      <c r="Z803" s="73">
        <f t="shared" si="43"/>
        <v>17</v>
      </c>
      <c r="AA803" s="11" t="str">
        <f t="shared" si="44"/>
        <v/>
      </c>
      <c r="AB803" s="73">
        <f t="shared" si="45"/>
        <v>17</v>
      </c>
      <c r="AC803" s="11" t="str">
        <f t="shared" si="46"/>
        <v/>
      </c>
      <c r="AD803" s="73">
        <f t="shared" si="47"/>
        <v>2</v>
      </c>
      <c r="AE803" s="11" t="str">
        <f t="shared" si="48"/>
        <v/>
      </c>
      <c r="AF803" s="73">
        <f t="shared" si="49"/>
        <v>17.000803000000001</v>
      </c>
      <c r="AG803" s="11" t="str">
        <f t="shared" si="50"/>
        <v/>
      </c>
      <c r="AH803" s="73">
        <f t="shared" si="51"/>
        <v>2.0008029999999999</v>
      </c>
    </row>
    <row r="804" spans="1:34" ht="14.25" customHeight="1">
      <c r="A804" s="11">
        <v>789</v>
      </c>
      <c r="B804" s="66"/>
      <c r="C804" s="67"/>
      <c r="D804" s="67"/>
      <c r="E804" s="67"/>
      <c r="F804" s="67"/>
      <c r="G804" s="67" t="s">
        <v>35</v>
      </c>
      <c r="H804" s="67">
        <v>45181</v>
      </c>
      <c r="I804" s="6" t="s">
        <v>1405</v>
      </c>
      <c r="J804" s="9">
        <v>4468601913</v>
      </c>
      <c r="K804" s="68">
        <v>45169</v>
      </c>
      <c r="L804" s="68">
        <v>46022</v>
      </c>
      <c r="M804" s="68">
        <v>46203</v>
      </c>
      <c r="N804" s="69">
        <f t="shared" si="39"/>
        <v>93</v>
      </c>
      <c r="O804" s="69">
        <f t="shared" si="40"/>
        <v>9</v>
      </c>
      <c r="P804" s="70">
        <v>54</v>
      </c>
      <c r="Q804" s="70">
        <v>138</v>
      </c>
      <c r="R804" s="70">
        <v>147</v>
      </c>
      <c r="S804" s="68" t="str">
        <f t="shared" si="41"/>
        <v/>
      </c>
      <c r="T804" s="68"/>
      <c r="U804" s="68"/>
      <c r="V804" s="68"/>
      <c r="W804" s="9"/>
      <c r="X804" s="10"/>
      <c r="Y804" s="71">
        <f t="shared" si="42"/>
        <v>138</v>
      </c>
      <c r="Z804" s="73">
        <f t="shared" si="43"/>
        <v>147</v>
      </c>
      <c r="AA804" s="11" t="str">
        <f t="shared" si="44"/>
        <v/>
      </c>
      <c r="AB804" s="73">
        <f t="shared" si="45"/>
        <v>93</v>
      </c>
      <c r="AC804" s="11" t="str">
        <f t="shared" si="46"/>
        <v/>
      </c>
      <c r="AD804" s="73">
        <f t="shared" si="47"/>
        <v>9</v>
      </c>
      <c r="AE804" s="11" t="str">
        <f t="shared" si="48"/>
        <v/>
      </c>
      <c r="AF804" s="73">
        <f t="shared" si="49"/>
        <v>93.000804000000002</v>
      </c>
      <c r="AG804" s="11" t="str">
        <f t="shared" si="50"/>
        <v/>
      </c>
      <c r="AH804" s="73">
        <f t="shared" si="51"/>
        <v>9.0008040000000005</v>
      </c>
    </row>
    <row r="805" spans="1:34" ht="14.25" customHeight="1">
      <c r="A805" s="11">
        <v>790</v>
      </c>
      <c r="B805" s="66"/>
      <c r="C805" s="67"/>
      <c r="D805" s="67"/>
      <c r="E805" s="67"/>
      <c r="F805" s="67"/>
      <c r="G805" s="67" t="s">
        <v>35</v>
      </c>
      <c r="H805" s="67">
        <v>45831</v>
      </c>
      <c r="I805" s="6" t="s">
        <v>1406</v>
      </c>
      <c r="J805" s="9">
        <v>4478103734</v>
      </c>
      <c r="K805" s="68">
        <v>45808</v>
      </c>
      <c r="L805" s="68">
        <v>46022</v>
      </c>
      <c r="M805" s="68">
        <v>46203</v>
      </c>
      <c r="N805" s="69">
        <f t="shared" si="39"/>
        <v>5</v>
      </c>
      <c r="O805" s="69">
        <f t="shared" si="40"/>
        <v>5</v>
      </c>
      <c r="P805" s="70">
        <v>3</v>
      </c>
      <c r="Q805" s="70">
        <v>3</v>
      </c>
      <c r="R805" s="70">
        <v>8</v>
      </c>
      <c r="S805" s="68" t="str">
        <f t="shared" si="41"/>
        <v/>
      </c>
      <c r="T805" s="68"/>
      <c r="U805" s="68"/>
      <c r="V805" s="68"/>
      <c r="W805" s="9"/>
      <c r="X805" s="10"/>
      <c r="Y805" s="71">
        <f t="shared" si="42"/>
        <v>3</v>
      </c>
      <c r="Z805" s="73">
        <f t="shared" si="43"/>
        <v>8</v>
      </c>
      <c r="AA805" s="11" t="str">
        <f t="shared" si="44"/>
        <v/>
      </c>
      <c r="AB805" s="73">
        <f t="shared" si="45"/>
        <v>5</v>
      </c>
      <c r="AC805" s="11" t="str">
        <f t="shared" si="46"/>
        <v/>
      </c>
      <c r="AD805" s="73">
        <f t="shared" si="47"/>
        <v>5</v>
      </c>
      <c r="AE805" s="11" t="str">
        <f t="shared" si="48"/>
        <v/>
      </c>
      <c r="AF805" s="73">
        <f t="shared" si="49"/>
        <v>5.0008049999999997</v>
      </c>
      <c r="AG805" s="11" t="str">
        <f t="shared" si="50"/>
        <v/>
      </c>
      <c r="AH805" s="73">
        <f t="shared" si="51"/>
        <v>5.0008049999999997</v>
      </c>
    </row>
    <row r="806" spans="1:34" ht="14.25" customHeight="1">
      <c r="A806" s="11">
        <v>791</v>
      </c>
      <c r="B806" s="66"/>
      <c r="C806" s="67"/>
      <c r="D806" s="67"/>
      <c r="E806" s="67"/>
      <c r="F806" s="67"/>
      <c r="G806" s="67" t="s">
        <v>35</v>
      </c>
      <c r="H806" s="67">
        <v>45628</v>
      </c>
      <c r="I806" s="6" t="s">
        <v>1407</v>
      </c>
      <c r="J806" s="9">
        <v>4478602477</v>
      </c>
      <c r="K806" s="68">
        <v>45626</v>
      </c>
      <c r="L806" s="68">
        <v>46022</v>
      </c>
      <c r="M806" s="68">
        <v>46203</v>
      </c>
      <c r="N806" s="69">
        <f t="shared" si="39"/>
        <v>7</v>
      </c>
      <c r="O806" s="69">
        <f t="shared" si="40"/>
        <v>0</v>
      </c>
      <c r="P806" s="70">
        <v>9</v>
      </c>
      <c r="Q806" s="70">
        <v>16</v>
      </c>
      <c r="R806" s="70">
        <v>16</v>
      </c>
      <c r="S806" s="68" t="str">
        <f t="shared" si="41"/>
        <v/>
      </c>
      <c r="T806" s="68"/>
      <c r="U806" s="68"/>
      <c r="V806" s="68"/>
      <c r="W806" s="9"/>
      <c r="X806" s="10"/>
      <c r="Y806" s="71">
        <f t="shared" si="42"/>
        <v>16</v>
      </c>
      <c r="Z806" s="73">
        <f t="shared" si="43"/>
        <v>16</v>
      </c>
      <c r="AA806" s="11" t="str">
        <f t="shared" si="44"/>
        <v/>
      </c>
      <c r="AB806" s="73">
        <f t="shared" si="45"/>
        <v>7</v>
      </c>
      <c r="AC806" s="11" t="str">
        <f t="shared" si="46"/>
        <v/>
      </c>
      <c r="AD806" s="73">
        <f t="shared" si="47"/>
        <v>0</v>
      </c>
      <c r="AE806" s="11" t="str">
        <f t="shared" si="48"/>
        <v/>
      </c>
      <c r="AF806" s="73">
        <f t="shared" si="49"/>
        <v>7.0008059999999999</v>
      </c>
      <c r="AG806" s="11" t="str">
        <f t="shared" si="50"/>
        <v/>
      </c>
      <c r="AH806" s="73">
        <f t="shared" si="51"/>
        <v>8.0599999999999997E-4</v>
      </c>
    </row>
    <row r="807" spans="1:34" ht="14.25" customHeight="1">
      <c r="A807" s="11">
        <v>792</v>
      </c>
      <c r="B807" s="66"/>
      <c r="C807" s="67"/>
      <c r="D807" s="67"/>
      <c r="E807" s="67"/>
      <c r="F807" s="67"/>
      <c r="G807" s="67" t="s">
        <v>35</v>
      </c>
      <c r="H807" s="67">
        <v>45861</v>
      </c>
      <c r="I807" s="6" t="s">
        <v>1408</v>
      </c>
      <c r="J807" s="94">
        <v>4488701712</v>
      </c>
      <c r="K807" s="68">
        <v>45838</v>
      </c>
      <c r="L807" s="68">
        <v>46022</v>
      </c>
      <c r="M807" s="68">
        <v>46203</v>
      </c>
      <c r="N807" s="69">
        <f t="shared" si="39"/>
        <v>-11</v>
      </c>
      <c r="O807" s="69">
        <f t="shared" si="40"/>
        <v>4</v>
      </c>
      <c r="P807" s="70">
        <v>73</v>
      </c>
      <c r="Q807" s="70">
        <v>58</v>
      </c>
      <c r="R807" s="70">
        <v>62</v>
      </c>
      <c r="S807" s="68" t="str">
        <f t="shared" si="41"/>
        <v/>
      </c>
      <c r="T807" s="68"/>
      <c r="U807" s="95"/>
      <c r="V807" s="68"/>
      <c r="W807" s="6"/>
      <c r="X807" s="10"/>
      <c r="Y807" s="71">
        <f t="shared" si="42"/>
        <v>58</v>
      </c>
      <c r="Z807" s="73">
        <f t="shared" si="43"/>
        <v>62</v>
      </c>
      <c r="AA807" s="11" t="str">
        <f t="shared" si="44"/>
        <v/>
      </c>
      <c r="AB807" s="73">
        <f t="shared" si="45"/>
        <v>-11</v>
      </c>
      <c r="AC807" s="11" t="str">
        <f t="shared" si="46"/>
        <v/>
      </c>
      <c r="AD807" s="73">
        <f t="shared" si="47"/>
        <v>4</v>
      </c>
      <c r="AE807" s="11" t="str">
        <f t="shared" si="48"/>
        <v/>
      </c>
      <c r="AF807" s="73">
        <f t="shared" si="49"/>
        <v>-10.999193</v>
      </c>
      <c r="AG807" s="11" t="str">
        <f t="shared" si="50"/>
        <v/>
      </c>
      <c r="AH807" s="73">
        <f t="shared" si="51"/>
        <v>4.000807</v>
      </c>
    </row>
    <row r="808" spans="1:34" ht="14.25" customHeight="1">
      <c r="A808" s="11">
        <v>793</v>
      </c>
      <c r="B808" s="66"/>
      <c r="C808" s="67"/>
      <c r="D808" s="67"/>
      <c r="E808" s="67"/>
      <c r="F808" s="67"/>
      <c r="G808" s="67" t="s">
        <v>35</v>
      </c>
      <c r="H808" s="67">
        <v>44194</v>
      </c>
      <c r="I808" s="6" t="s">
        <v>1409</v>
      </c>
      <c r="J808" s="9">
        <v>4498101862</v>
      </c>
      <c r="K808" s="68">
        <v>44165</v>
      </c>
      <c r="L808" s="68">
        <v>46022</v>
      </c>
      <c r="M808" s="68">
        <v>46203</v>
      </c>
      <c r="N808" s="69">
        <f t="shared" si="39"/>
        <v>9</v>
      </c>
      <c r="O808" s="69">
        <f t="shared" si="40"/>
        <v>0</v>
      </c>
      <c r="P808" s="70">
        <v>1</v>
      </c>
      <c r="Q808" s="70">
        <v>10</v>
      </c>
      <c r="R808" s="70">
        <v>10</v>
      </c>
      <c r="S808" s="68" t="str">
        <f t="shared" si="41"/>
        <v/>
      </c>
      <c r="T808" s="68"/>
      <c r="U808" s="68"/>
      <c r="V808" s="68"/>
      <c r="W808" s="9"/>
      <c r="X808" s="10"/>
      <c r="Y808" s="71">
        <f t="shared" si="42"/>
        <v>10</v>
      </c>
      <c r="Z808" s="73">
        <f t="shared" si="43"/>
        <v>10</v>
      </c>
      <c r="AA808" s="11" t="str">
        <f t="shared" si="44"/>
        <v/>
      </c>
      <c r="AB808" s="73">
        <f t="shared" si="45"/>
        <v>9</v>
      </c>
      <c r="AC808" s="11" t="str">
        <f t="shared" si="46"/>
        <v/>
      </c>
      <c r="AD808" s="73">
        <f t="shared" si="47"/>
        <v>0</v>
      </c>
      <c r="AE808" s="11" t="str">
        <f t="shared" si="48"/>
        <v/>
      </c>
      <c r="AF808" s="73">
        <f t="shared" si="49"/>
        <v>9.0008079999999993</v>
      </c>
      <c r="AG808" s="11" t="str">
        <f t="shared" si="50"/>
        <v/>
      </c>
      <c r="AH808" s="73">
        <f t="shared" si="51"/>
        <v>8.0800000000000002E-4</v>
      </c>
    </row>
    <row r="809" spans="1:34" ht="14.25" customHeight="1">
      <c r="A809" s="11">
        <v>794</v>
      </c>
      <c r="B809" s="66"/>
      <c r="C809" s="67"/>
      <c r="D809" s="67"/>
      <c r="E809" s="67"/>
      <c r="F809" s="67"/>
      <c r="G809" s="67" t="s">
        <v>35</v>
      </c>
      <c r="H809" s="67">
        <v>45317</v>
      </c>
      <c r="I809" s="6" t="s">
        <v>1410</v>
      </c>
      <c r="J809" s="9">
        <v>4498702752</v>
      </c>
      <c r="K809" s="68">
        <v>45291</v>
      </c>
      <c r="L809" s="68">
        <v>46022</v>
      </c>
      <c r="M809" s="68">
        <v>46203</v>
      </c>
      <c r="N809" s="69">
        <f t="shared" si="39"/>
        <v>-3</v>
      </c>
      <c r="O809" s="69">
        <f t="shared" si="40"/>
        <v>-1</v>
      </c>
      <c r="P809" s="70">
        <v>17</v>
      </c>
      <c r="Q809" s="70">
        <v>15</v>
      </c>
      <c r="R809" s="70">
        <v>14</v>
      </c>
      <c r="S809" s="68" t="str">
        <f t="shared" si="41"/>
        <v/>
      </c>
      <c r="T809" s="68"/>
      <c r="U809" s="68"/>
      <c r="V809" s="68"/>
      <c r="W809" s="9"/>
      <c r="X809" s="10"/>
      <c r="Y809" s="71">
        <f t="shared" si="42"/>
        <v>15</v>
      </c>
      <c r="Z809" s="73">
        <f t="shared" si="43"/>
        <v>14</v>
      </c>
      <c r="AA809" s="11" t="str">
        <f t="shared" si="44"/>
        <v/>
      </c>
      <c r="AB809" s="73">
        <f t="shared" si="45"/>
        <v>-3</v>
      </c>
      <c r="AC809" s="11" t="str">
        <f t="shared" si="46"/>
        <v/>
      </c>
      <c r="AD809" s="73">
        <f t="shared" si="47"/>
        <v>-1</v>
      </c>
      <c r="AE809" s="11" t="str">
        <f t="shared" si="48"/>
        <v/>
      </c>
      <c r="AF809" s="73">
        <f t="shared" si="49"/>
        <v>-2.9991910000000002</v>
      </c>
      <c r="AG809" s="11" t="str">
        <f t="shared" si="50"/>
        <v/>
      </c>
      <c r="AH809" s="73">
        <f t="shared" si="51"/>
        <v>-0.99919100000000005</v>
      </c>
    </row>
    <row r="810" spans="1:34" ht="14.25" customHeight="1">
      <c r="A810" s="11">
        <v>795</v>
      </c>
      <c r="B810" s="66"/>
      <c r="C810" s="67"/>
      <c r="D810" s="67"/>
      <c r="E810" s="67"/>
      <c r="F810" s="67"/>
      <c r="G810" s="67" t="s">
        <v>24</v>
      </c>
      <c r="H810" s="67">
        <v>43392</v>
      </c>
      <c r="I810" s="6" t="s">
        <v>1411</v>
      </c>
      <c r="J810" s="9">
        <v>4538600872</v>
      </c>
      <c r="K810" s="68">
        <v>43373</v>
      </c>
      <c r="L810" s="68" t="s">
        <v>230</v>
      </c>
      <c r="M810" s="68">
        <v>45443</v>
      </c>
      <c r="N810" s="69">
        <f t="shared" si="39"/>
        <v>-8</v>
      </c>
      <c r="O810" s="69" t="str">
        <f t="shared" si="40"/>
        <v>N/A</v>
      </c>
      <c r="P810" s="70">
        <v>8</v>
      </c>
      <c r="Q810" s="70"/>
      <c r="R810" s="70">
        <v>0</v>
      </c>
      <c r="S810" s="68">
        <f t="shared" si="41"/>
        <v>45435</v>
      </c>
      <c r="T810" s="68">
        <v>45435</v>
      </c>
      <c r="U810" s="68"/>
      <c r="V810" s="68"/>
      <c r="W810" s="9"/>
      <c r="X810" s="10"/>
      <c r="Y810" s="65" t="str">
        <f t="shared" si="42"/>
        <v/>
      </c>
      <c r="Z810" s="11" t="str">
        <f t="shared" si="43"/>
        <v/>
      </c>
      <c r="AA810" s="11" t="str">
        <f t="shared" si="44"/>
        <v/>
      </c>
      <c r="AB810" s="73">
        <f t="shared" si="45"/>
        <v>-8</v>
      </c>
      <c r="AC810" s="11" t="str">
        <f t="shared" si="46"/>
        <v/>
      </c>
      <c r="AD810" s="11" t="str">
        <f t="shared" si="47"/>
        <v/>
      </c>
      <c r="AE810" s="11" t="str">
        <f t="shared" si="48"/>
        <v/>
      </c>
      <c r="AF810" s="73">
        <f t="shared" si="49"/>
        <v>-7.9991899999999996</v>
      </c>
      <c r="AG810" s="11" t="str">
        <f t="shared" si="50"/>
        <v/>
      </c>
      <c r="AH810" s="11" t="str">
        <f t="shared" si="51"/>
        <v/>
      </c>
    </row>
    <row r="811" spans="1:34" ht="14.25" customHeight="1">
      <c r="A811" s="11">
        <v>796</v>
      </c>
      <c r="B811" s="66" t="s">
        <v>35</v>
      </c>
      <c r="C811" s="67">
        <v>42549</v>
      </c>
      <c r="D811" s="67">
        <v>42489</v>
      </c>
      <c r="E811" s="67"/>
      <c r="F811" s="67"/>
      <c r="G811" s="67" t="s">
        <v>35</v>
      </c>
      <c r="H811" s="67">
        <v>42507</v>
      </c>
      <c r="I811" s="6" t="s">
        <v>1412</v>
      </c>
      <c r="J811" s="9">
        <v>4538700087</v>
      </c>
      <c r="K811" s="68">
        <v>42460</v>
      </c>
      <c r="L811" s="68">
        <v>46022</v>
      </c>
      <c r="M811" s="68">
        <v>46203</v>
      </c>
      <c r="N811" s="69">
        <f t="shared" si="39"/>
        <v>12</v>
      </c>
      <c r="O811" s="69">
        <f t="shared" si="40"/>
        <v>-2</v>
      </c>
      <c r="P811" s="70">
        <v>4</v>
      </c>
      <c r="Q811" s="70">
        <v>18</v>
      </c>
      <c r="R811" s="70">
        <v>16</v>
      </c>
      <c r="S811" s="68" t="str">
        <f t="shared" si="41"/>
        <v/>
      </c>
      <c r="T811" s="68"/>
      <c r="U811" s="68"/>
      <c r="V811" s="68"/>
      <c r="W811" s="9"/>
      <c r="X811" s="10"/>
      <c r="Y811" s="71">
        <f t="shared" si="42"/>
        <v>18</v>
      </c>
      <c r="Z811" s="73">
        <f t="shared" si="43"/>
        <v>16</v>
      </c>
      <c r="AA811" s="73">
        <f t="shared" si="44"/>
        <v>12</v>
      </c>
      <c r="AB811" s="73">
        <f t="shared" si="45"/>
        <v>12</v>
      </c>
      <c r="AC811" s="73">
        <f t="shared" si="46"/>
        <v>-2</v>
      </c>
      <c r="AD811" s="73">
        <f t="shared" si="47"/>
        <v>-2</v>
      </c>
      <c r="AE811" s="73">
        <f t="shared" si="48"/>
        <v>12.000811000000001</v>
      </c>
      <c r="AF811" s="73">
        <f t="shared" si="49"/>
        <v>12.000811000000001</v>
      </c>
      <c r="AG811" s="73">
        <f t="shared" si="50"/>
        <v>-1.9991890000000001</v>
      </c>
      <c r="AH811" s="73">
        <f t="shared" si="51"/>
        <v>-1.9991890000000001</v>
      </c>
    </row>
    <row r="812" spans="1:34" ht="14.25" customHeight="1">
      <c r="A812" s="11">
        <v>797</v>
      </c>
      <c r="B812" s="66"/>
      <c r="C812" s="67"/>
      <c r="D812" s="67"/>
      <c r="E812" s="67"/>
      <c r="F812" s="67"/>
      <c r="G812" s="67" t="s">
        <v>35</v>
      </c>
      <c r="H812" s="67">
        <v>45670</v>
      </c>
      <c r="I812" s="6" t="s">
        <v>1413</v>
      </c>
      <c r="J812" s="9">
        <v>4558601557</v>
      </c>
      <c r="K812" s="68">
        <v>45657</v>
      </c>
      <c r="L812" s="68">
        <v>46022</v>
      </c>
      <c r="M812" s="68">
        <v>46203</v>
      </c>
      <c r="N812" s="69">
        <f t="shared" si="39"/>
        <v>23</v>
      </c>
      <c r="O812" s="69">
        <f t="shared" si="40"/>
        <v>16</v>
      </c>
      <c r="P812" s="70">
        <v>44</v>
      </c>
      <c r="Q812" s="70">
        <v>51</v>
      </c>
      <c r="R812" s="70">
        <v>67</v>
      </c>
      <c r="S812" s="68" t="str">
        <f t="shared" si="41"/>
        <v/>
      </c>
      <c r="T812" s="68"/>
      <c r="U812" s="68"/>
      <c r="V812" s="68"/>
      <c r="W812" s="9"/>
      <c r="X812" s="10"/>
      <c r="Y812" s="71">
        <f t="shared" si="42"/>
        <v>51</v>
      </c>
      <c r="Z812" s="73">
        <f t="shared" si="43"/>
        <v>67</v>
      </c>
      <c r="AA812" s="11" t="str">
        <f t="shared" si="44"/>
        <v/>
      </c>
      <c r="AB812" s="73">
        <f t="shared" si="45"/>
        <v>23</v>
      </c>
      <c r="AC812" s="11" t="str">
        <f t="shared" si="46"/>
        <v/>
      </c>
      <c r="AD812" s="73">
        <f t="shared" si="47"/>
        <v>16</v>
      </c>
      <c r="AE812" s="11" t="str">
        <f t="shared" si="48"/>
        <v/>
      </c>
      <c r="AF812" s="73">
        <f t="shared" si="49"/>
        <v>23.000812</v>
      </c>
      <c r="AG812" s="11" t="str">
        <f t="shared" si="50"/>
        <v/>
      </c>
      <c r="AH812" s="73">
        <f t="shared" si="51"/>
        <v>16.000812</v>
      </c>
    </row>
    <row r="813" spans="1:34" ht="14.25" customHeight="1">
      <c r="A813" s="11">
        <v>798</v>
      </c>
      <c r="B813" s="66"/>
      <c r="C813" s="67"/>
      <c r="D813" s="67"/>
      <c r="E813" s="67"/>
      <c r="F813" s="67"/>
      <c r="G813" s="67" t="s">
        <v>35</v>
      </c>
      <c r="H813" s="67">
        <v>44371</v>
      </c>
      <c r="I813" s="6" t="s">
        <v>1414</v>
      </c>
      <c r="J813" s="9">
        <v>4568601583</v>
      </c>
      <c r="K813" s="68">
        <v>44347</v>
      </c>
      <c r="L813" s="68">
        <v>46022</v>
      </c>
      <c r="M813" s="68">
        <v>46203</v>
      </c>
      <c r="N813" s="69">
        <f t="shared" si="39"/>
        <v>5</v>
      </c>
      <c r="O813" s="69">
        <f t="shared" si="40"/>
        <v>1</v>
      </c>
      <c r="P813" s="70">
        <v>13</v>
      </c>
      <c r="Q813" s="70">
        <v>17</v>
      </c>
      <c r="R813" s="70">
        <v>18</v>
      </c>
      <c r="S813" s="68" t="str">
        <f t="shared" si="41"/>
        <v/>
      </c>
      <c r="T813" s="68"/>
      <c r="U813" s="68"/>
      <c r="V813" s="68"/>
      <c r="W813" s="9"/>
      <c r="X813" s="10"/>
      <c r="Y813" s="71">
        <f t="shared" si="42"/>
        <v>17</v>
      </c>
      <c r="Z813" s="73">
        <f t="shared" si="43"/>
        <v>18</v>
      </c>
      <c r="AA813" s="11" t="str">
        <f t="shared" si="44"/>
        <v/>
      </c>
      <c r="AB813" s="73">
        <f t="shared" si="45"/>
        <v>5</v>
      </c>
      <c r="AC813" s="11" t="str">
        <f t="shared" si="46"/>
        <v/>
      </c>
      <c r="AD813" s="73">
        <f t="shared" si="47"/>
        <v>1</v>
      </c>
      <c r="AE813" s="11" t="str">
        <f t="shared" si="48"/>
        <v/>
      </c>
      <c r="AF813" s="73">
        <f t="shared" si="49"/>
        <v>5.000813</v>
      </c>
      <c r="AG813" s="11" t="str">
        <f t="shared" si="50"/>
        <v/>
      </c>
      <c r="AH813" s="73">
        <f t="shared" si="51"/>
        <v>1.000813</v>
      </c>
    </row>
    <row r="814" spans="1:34" ht="14.25" customHeight="1">
      <c r="A814" s="11">
        <v>799</v>
      </c>
      <c r="B814" s="66"/>
      <c r="C814" s="67"/>
      <c r="D814" s="67"/>
      <c r="E814" s="67"/>
      <c r="F814" s="67"/>
      <c r="G814" s="67" t="s">
        <v>35</v>
      </c>
      <c r="H814" s="67">
        <v>42298</v>
      </c>
      <c r="I814" s="6" t="s">
        <v>1415</v>
      </c>
      <c r="J814" s="9">
        <v>4578100277</v>
      </c>
      <c r="K814" s="68">
        <v>42277</v>
      </c>
      <c r="L814" s="68">
        <v>46022</v>
      </c>
      <c r="M814" s="68">
        <v>46203</v>
      </c>
      <c r="N814" s="69">
        <f t="shared" si="39"/>
        <v>78</v>
      </c>
      <c r="O814" s="69">
        <f t="shared" si="40"/>
        <v>-10</v>
      </c>
      <c r="P814" s="70">
        <v>0</v>
      </c>
      <c r="Q814" s="70">
        <v>88</v>
      </c>
      <c r="R814" s="70">
        <v>78</v>
      </c>
      <c r="S814" s="68" t="str">
        <f t="shared" si="41"/>
        <v/>
      </c>
      <c r="T814" s="68"/>
      <c r="U814" s="68"/>
      <c r="V814" s="68"/>
      <c r="W814" s="9"/>
      <c r="X814" s="10"/>
      <c r="Y814" s="71">
        <f t="shared" si="42"/>
        <v>88</v>
      </c>
      <c r="Z814" s="73">
        <f t="shared" si="43"/>
        <v>78</v>
      </c>
      <c r="AA814" s="11" t="str">
        <f t="shared" si="44"/>
        <v/>
      </c>
      <c r="AB814" s="73">
        <f t="shared" si="45"/>
        <v>78</v>
      </c>
      <c r="AC814" s="11" t="str">
        <f t="shared" si="46"/>
        <v/>
      </c>
      <c r="AD814" s="73">
        <f t="shared" si="47"/>
        <v>-10</v>
      </c>
      <c r="AE814" s="11" t="str">
        <f t="shared" si="48"/>
        <v/>
      </c>
      <c r="AF814" s="73">
        <f t="shared" si="49"/>
        <v>78.000814000000005</v>
      </c>
      <c r="AG814" s="11" t="str">
        <f t="shared" si="50"/>
        <v/>
      </c>
      <c r="AH814" s="73">
        <f t="shared" si="51"/>
        <v>-9.9991859999999999</v>
      </c>
    </row>
    <row r="815" spans="1:34" ht="14.25" customHeight="1">
      <c r="A815" s="11">
        <v>800</v>
      </c>
      <c r="B815" s="66"/>
      <c r="C815" s="67"/>
      <c r="D815" s="67"/>
      <c r="E815" s="67"/>
      <c r="F815" s="67"/>
      <c r="G815" s="67" t="s">
        <v>35</v>
      </c>
      <c r="H815" s="67">
        <v>44883</v>
      </c>
      <c r="I815" s="6" t="s">
        <v>1416</v>
      </c>
      <c r="J815" s="9">
        <v>4578100511</v>
      </c>
      <c r="K815" s="68">
        <v>44865</v>
      </c>
      <c r="L815" s="68">
        <v>46022</v>
      </c>
      <c r="M815" s="68">
        <v>46203</v>
      </c>
      <c r="N815" s="69">
        <f t="shared" si="39"/>
        <v>-4</v>
      </c>
      <c r="O815" s="69">
        <f t="shared" si="40"/>
        <v>0</v>
      </c>
      <c r="P815" s="70">
        <v>4</v>
      </c>
      <c r="Q815" s="70">
        <v>0</v>
      </c>
      <c r="R815" s="70">
        <v>0</v>
      </c>
      <c r="S815" s="68" t="str">
        <f t="shared" si="41"/>
        <v/>
      </c>
      <c r="T815" s="68"/>
      <c r="U815" s="68"/>
      <c r="V815" s="68"/>
      <c r="W815" s="9"/>
      <c r="X815" s="10"/>
      <c r="Y815" s="71">
        <f t="shared" si="42"/>
        <v>0</v>
      </c>
      <c r="Z815" s="73">
        <f t="shared" si="43"/>
        <v>0</v>
      </c>
      <c r="AA815" s="11" t="str">
        <f t="shared" si="44"/>
        <v/>
      </c>
      <c r="AB815" s="73">
        <f t="shared" si="45"/>
        <v>-4</v>
      </c>
      <c r="AC815" s="11" t="str">
        <f t="shared" si="46"/>
        <v/>
      </c>
      <c r="AD815" s="73">
        <f t="shared" si="47"/>
        <v>0</v>
      </c>
      <c r="AE815" s="11" t="str">
        <f t="shared" si="48"/>
        <v/>
      </c>
      <c r="AF815" s="73">
        <f t="shared" si="49"/>
        <v>-3.9991850000000002</v>
      </c>
      <c r="AG815" s="11" t="str">
        <f t="shared" si="50"/>
        <v/>
      </c>
      <c r="AH815" s="73">
        <f t="shared" si="51"/>
        <v>8.1499999999999997E-4</v>
      </c>
    </row>
    <row r="816" spans="1:34" ht="14.25" customHeight="1">
      <c r="A816" s="11">
        <v>801</v>
      </c>
      <c r="B816" s="66" t="s">
        <v>35</v>
      </c>
      <c r="C816" s="67">
        <v>44200</v>
      </c>
      <c r="D816" s="67">
        <v>44183</v>
      </c>
      <c r="E816" s="67"/>
      <c r="F816" s="67"/>
      <c r="G816" s="67" t="s">
        <v>35</v>
      </c>
      <c r="H816" s="67">
        <v>44575</v>
      </c>
      <c r="I816" s="6" t="s">
        <v>1417</v>
      </c>
      <c r="J816" s="9">
        <v>4578101693</v>
      </c>
      <c r="K816" s="68">
        <v>44165</v>
      </c>
      <c r="L816" s="68">
        <v>46022</v>
      </c>
      <c r="M816" s="68">
        <v>46203</v>
      </c>
      <c r="N816" s="69">
        <f t="shared" si="39"/>
        <v>5</v>
      </c>
      <c r="O816" s="69">
        <f t="shared" si="40"/>
        <v>-1</v>
      </c>
      <c r="P816" s="70">
        <v>25</v>
      </c>
      <c r="Q816" s="70">
        <v>31</v>
      </c>
      <c r="R816" s="70">
        <v>30</v>
      </c>
      <c r="S816" s="68" t="str">
        <f t="shared" si="41"/>
        <v/>
      </c>
      <c r="T816" s="68"/>
      <c r="U816" s="68"/>
      <c r="V816" s="68"/>
      <c r="W816" s="9"/>
      <c r="X816" s="10"/>
      <c r="Y816" s="71">
        <f t="shared" si="42"/>
        <v>31</v>
      </c>
      <c r="Z816" s="73">
        <f t="shared" si="43"/>
        <v>30</v>
      </c>
      <c r="AA816" s="73">
        <f t="shared" si="44"/>
        <v>5</v>
      </c>
      <c r="AB816" s="73">
        <f t="shared" si="45"/>
        <v>5</v>
      </c>
      <c r="AC816" s="73">
        <f t="shared" si="46"/>
        <v>-1</v>
      </c>
      <c r="AD816" s="73">
        <f t="shared" si="47"/>
        <v>-1</v>
      </c>
      <c r="AE816" s="73">
        <f t="shared" si="48"/>
        <v>5.0008160000000004</v>
      </c>
      <c r="AF816" s="73">
        <f t="shared" si="49"/>
        <v>5.0008160000000004</v>
      </c>
      <c r="AG816" s="73">
        <f t="shared" si="50"/>
        <v>-0.99918399999999996</v>
      </c>
      <c r="AH816" s="73">
        <f t="shared" si="51"/>
        <v>-0.99918399999999996</v>
      </c>
    </row>
    <row r="817" spans="1:34" ht="14.25" customHeight="1">
      <c r="A817" s="11">
        <v>802</v>
      </c>
      <c r="B817" s="66"/>
      <c r="C817" s="67"/>
      <c r="D817" s="67"/>
      <c r="E817" s="67"/>
      <c r="F817" s="67"/>
      <c r="G817" s="67" t="s">
        <v>35</v>
      </c>
      <c r="H817" s="67">
        <v>45505</v>
      </c>
      <c r="I817" s="6" t="s">
        <v>1418</v>
      </c>
      <c r="J817" s="9">
        <v>4588102069</v>
      </c>
      <c r="K817" s="68">
        <v>45504</v>
      </c>
      <c r="L817" s="68">
        <v>46022</v>
      </c>
      <c r="M817" s="68">
        <v>46203</v>
      </c>
      <c r="N817" s="69">
        <f t="shared" si="39"/>
        <v>3</v>
      </c>
      <c r="O817" s="69">
        <f t="shared" si="40"/>
        <v>4</v>
      </c>
      <c r="P817" s="70">
        <v>8</v>
      </c>
      <c r="Q817" s="70">
        <v>7</v>
      </c>
      <c r="R817" s="70">
        <v>11</v>
      </c>
      <c r="S817" s="68" t="str">
        <f t="shared" si="41"/>
        <v/>
      </c>
      <c r="T817" s="68"/>
      <c r="U817" s="68"/>
      <c r="V817" s="68"/>
      <c r="W817" s="9"/>
      <c r="X817" s="10"/>
      <c r="Y817" s="71">
        <f t="shared" si="42"/>
        <v>7</v>
      </c>
      <c r="Z817" s="73">
        <f t="shared" si="43"/>
        <v>11</v>
      </c>
      <c r="AA817" s="11" t="str">
        <f t="shared" si="44"/>
        <v/>
      </c>
      <c r="AB817" s="73">
        <f t="shared" si="45"/>
        <v>3</v>
      </c>
      <c r="AC817" s="11" t="str">
        <f t="shared" si="46"/>
        <v/>
      </c>
      <c r="AD817" s="73">
        <f t="shared" si="47"/>
        <v>4</v>
      </c>
      <c r="AE817" s="11" t="str">
        <f t="shared" si="48"/>
        <v/>
      </c>
      <c r="AF817" s="73">
        <f t="shared" si="49"/>
        <v>3.0008170000000001</v>
      </c>
      <c r="AG817" s="11" t="str">
        <f t="shared" si="50"/>
        <v/>
      </c>
      <c r="AH817" s="73">
        <f t="shared" si="51"/>
        <v>4.0008169999999996</v>
      </c>
    </row>
    <row r="818" spans="1:34" ht="14.25" customHeight="1">
      <c r="A818" s="11">
        <v>803</v>
      </c>
      <c r="B818" s="66"/>
      <c r="C818" s="67"/>
      <c r="D818" s="67"/>
      <c r="E818" s="67"/>
      <c r="F818" s="67"/>
      <c r="G818" s="67" t="s">
        <v>35</v>
      </c>
      <c r="H818" s="67">
        <v>45497</v>
      </c>
      <c r="I818" s="6" t="s">
        <v>1419</v>
      </c>
      <c r="J818" s="9">
        <v>4588702120</v>
      </c>
      <c r="K818" s="68">
        <v>45473</v>
      </c>
      <c r="L818" s="68">
        <v>46022</v>
      </c>
      <c r="M818" s="68">
        <v>46203</v>
      </c>
      <c r="N818" s="69">
        <f t="shared" si="39"/>
        <v>7</v>
      </c>
      <c r="O818" s="69">
        <f t="shared" si="40"/>
        <v>0</v>
      </c>
      <c r="P818" s="70">
        <v>28</v>
      </c>
      <c r="Q818" s="70">
        <v>35</v>
      </c>
      <c r="R818" s="70">
        <v>35</v>
      </c>
      <c r="S818" s="68" t="str">
        <f t="shared" si="41"/>
        <v/>
      </c>
      <c r="T818" s="68"/>
      <c r="U818" s="68"/>
      <c r="V818" s="68"/>
      <c r="W818" s="9"/>
      <c r="X818" s="10"/>
      <c r="Y818" s="71">
        <f t="shared" si="42"/>
        <v>35</v>
      </c>
      <c r="Z818" s="73">
        <f t="shared" si="43"/>
        <v>35</v>
      </c>
      <c r="AA818" s="11" t="str">
        <f t="shared" si="44"/>
        <v/>
      </c>
      <c r="AB818" s="73">
        <f t="shared" si="45"/>
        <v>7</v>
      </c>
      <c r="AC818" s="11" t="str">
        <f t="shared" si="46"/>
        <v/>
      </c>
      <c r="AD818" s="73">
        <f t="shared" si="47"/>
        <v>0</v>
      </c>
      <c r="AE818" s="11" t="str">
        <f t="shared" si="48"/>
        <v/>
      </c>
      <c r="AF818" s="73">
        <f t="shared" si="49"/>
        <v>7.0008179999999998</v>
      </c>
      <c r="AG818" s="11" t="str">
        <f t="shared" si="50"/>
        <v/>
      </c>
      <c r="AH818" s="73">
        <f t="shared" si="51"/>
        <v>8.1800000000000004E-4</v>
      </c>
    </row>
    <row r="819" spans="1:34" ht="14.25" customHeight="1">
      <c r="A819" s="11">
        <v>804</v>
      </c>
      <c r="B819" s="66"/>
      <c r="C819" s="67"/>
      <c r="D819" s="67"/>
      <c r="E819" s="67"/>
      <c r="F819" s="67"/>
      <c r="G819" s="67" t="s">
        <v>35</v>
      </c>
      <c r="H819" s="67">
        <v>45513</v>
      </c>
      <c r="I819" s="6" t="s">
        <v>1420</v>
      </c>
      <c r="J819" s="9">
        <v>4588703380</v>
      </c>
      <c r="K819" s="68">
        <v>45504</v>
      </c>
      <c r="L819" s="68">
        <v>46022</v>
      </c>
      <c r="M819" s="68">
        <v>46203</v>
      </c>
      <c r="N819" s="69">
        <f t="shared" si="39"/>
        <v>15</v>
      </c>
      <c r="O819" s="69">
        <f t="shared" si="40"/>
        <v>9</v>
      </c>
      <c r="P819" s="70">
        <v>5</v>
      </c>
      <c r="Q819" s="70">
        <v>11</v>
      </c>
      <c r="R819" s="70">
        <v>20</v>
      </c>
      <c r="S819" s="68" t="str">
        <f t="shared" si="41"/>
        <v/>
      </c>
      <c r="T819" s="68"/>
      <c r="U819" s="68"/>
      <c r="V819" s="68"/>
      <c r="W819" s="9"/>
      <c r="X819" s="10"/>
      <c r="Y819" s="71">
        <f t="shared" si="42"/>
        <v>11</v>
      </c>
      <c r="Z819" s="73">
        <f t="shared" si="43"/>
        <v>20</v>
      </c>
      <c r="AA819" s="11" t="str">
        <f t="shared" si="44"/>
        <v/>
      </c>
      <c r="AB819" s="73">
        <f t="shared" si="45"/>
        <v>15</v>
      </c>
      <c r="AC819" s="11" t="str">
        <f t="shared" si="46"/>
        <v/>
      </c>
      <c r="AD819" s="73">
        <f t="shared" si="47"/>
        <v>9</v>
      </c>
      <c r="AE819" s="11" t="str">
        <f t="shared" si="48"/>
        <v/>
      </c>
      <c r="AF819" s="73">
        <f t="shared" si="49"/>
        <v>15.000819</v>
      </c>
      <c r="AG819" s="11" t="str">
        <f t="shared" si="50"/>
        <v/>
      </c>
      <c r="AH819" s="73">
        <f t="shared" si="51"/>
        <v>9.0008189999999999</v>
      </c>
    </row>
    <row r="820" spans="1:34" ht="14.25" customHeight="1">
      <c r="A820" s="11">
        <v>805</v>
      </c>
      <c r="B820" s="66"/>
      <c r="C820" s="67"/>
      <c r="D820" s="67"/>
      <c r="E820" s="67"/>
      <c r="F820" s="67"/>
      <c r="G820" s="67" t="s">
        <v>35</v>
      </c>
      <c r="H820" s="67">
        <v>45838</v>
      </c>
      <c r="I820" s="6" t="s">
        <v>1421</v>
      </c>
      <c r="J820" s="9">
        <v>4598101817</v>
      </c>
      <c r="K820" s="68">
        <v>45808</v>
      </c>
      <c r="L820" s="68">
        <v>46022</v>
      </c>
      <c r="M820" s="68">
        <v>46203</v>
      </c>
      <c r="N820" s="69">
        <f t="shared" si="39"/>
        <v>6</v>
      </c>
      <c r="O820" s="69">
        <f t="shared" si="40"/>
        <v>2</v>
      </c>
      <c r="P820" s="70">
        <v>21</v>
      </c>
      <c r="Q820" s="70">
        <v>25</v>
      </c>
      <c r="R820" s="70">
        <v>27</v>
      </c>
      <c r="S820" s="68" t="str">
        <f t="shared" si="41"/>
        <v/>
      </c>
      <c r="T820" s="68"/>
      <c r="U820" s="68"/>
      <c r="V820" s="68"/>
      <c r="W820" s="9"/>
      <c r="X820" s="10"/>
      <c r="Y820" s="71">
        <f t="shared" si="42"/>
        <v>25</v>
      </c>
      <c r="Z820" s="73">
        <f t="shared" si="43"/>
        <v>27</v>
      </c>
      <c r="AA820" s="11" t="str">
        <f t="shared" si="44"/>
        <v/>
      </c>
      <c r="AB820" s="73">
        <f t="shared" si="45"/>
        <v>6</v>
      </c>
      <c r="AC820" s="11" t="str">
        <f t="shared" si="46"/>
        <v/>
      </c>
      <c r="AD820" s="73">
        <f t="shared" si="47"/>
        <v>2</v>
      </c>
      <c r="AE820" s="11" t="str">
        <f t="shared" si="48"/>
        <v/>
      </c>
      <c r="AF820" s="73">
        <f t="shared" si="49"/>
        <v>6.00082</v>
      </c>
      <c r="AG820" s="11" t="str">
        <f t="shared" si="50"/>
        <v/>
      </c>
      <c r="AH820" s="73">
        <f t="shared" si="51"/>
        <v>2.00082</v>
      </c>
    </row>
    <row r="821" spans="1:34" ht="14.25" customHeight="1">
      <c r="A821" s="11">
        <v>806</v>
      </c>
      <c r="B821" s="66" t="s">
        <v>35</v>
      </c>
      <c r="C821" s="67">
        <v>42730</v>
      </c>
      <c r="D821" s="67"/>
      <c r="E821" s="67"/>
      <c r="F821" s="67"/>
      <c r="G821" s="67" t="s">
        <v>35</v>
      </c>
      <c r="H821" s="67">
        <v>45310</v>
      </c>
      <c r="I821" s="6" t="s">
        <v>1422</v>
      </c>
      <c r="J821" s="9">
        <v>4598800291</v>
      </c>
      <c r="K821" s="68">
        <v>42704</v>
      </c>
      <c r="L821" s="68">
        <v>46022</v>
      </c>
      <c r="M821" s="68">
        <v>46203</v>
      </c>
      <c r="N821" s="69">
        <f t="shared" si="39"/>
        <v>-6</v>
      </c>
      <c r="O821" s="69">
        <f t="shared" si="40"/>
        <v>-1</v>
      </c>
      <c r="P821" s="70">
        <v>7</v>
      </c>
      <c r="Q821" s="70">
        <v>2</v>
      </c>
      <c r="R821" s="70">
        <v>1</v>
      </c>
      <c r="S821" s="68" t="str">
        <f t="shared" si="41"/>
        <v/>
      </c>
      <c r="T821" s="68"/>
      <c r="U821" s="68"/>
      <c r="V821" s="68"/>
      <c r="W821" s="9"/>
      <c r="X821" s="10"/>
      <c r="Y821" s="71">
        <f t="shared" si="42"/>
        <v>2</v>
      </c>
      <c r="Z821" s="73">
        <f t="shared" si="43"/>
        <v>1</v>
      </c>
      <c r="AA821" s="73">
        <f t="shared" si="44"/>
        <v>-6</v>
      </c>
      <c r="AB821" s="73">
        <f t="shared" si="45"/>
        <v>-6</v>
      </c>
      <c r="AC821" s="73">
        <f t="shared" si="46"/>
        <v>-1</v>
      </c>
      <c r="AD821" s="73">
        <f t="shared" si="47"/>
        <v>-1</v>
      </c>
      <c r="AE821" s="73">
        <f t="shared" si="48"/>
        <v>-5.9991789999999998</v>
      </c>
      <c r="AF821" s="73">
        <f t="shared" si="49"/>
        <v>-5.9991789999999998</v>
      </c>
      <c r="AG821" s="73">
        <f t="shared" si="50"/>
        <v>-0.99917900000000004</v>
      </c>
      <c r="AH821" s="73">
        <f t="shared" si="51"/>
        <v>-0.99917900000000004</v>
      </c>
    </row>
    <row r="822" spans="1:34" ht="14.25" customHeight="1">
      <c r="A822" s="11">
        <v>807</v>
      </c>
      <c r="B822" s="66"/>
      <c r="C822" s="67"/>
      <c r="D822" s="67"/>
      <c r="E822" s="67"/>
      <c r="F822" s="67"/>
      <c r="G822" s="67" t="s">
        <v>35</v>
      </c>
      <c r="H822" s="67">
        <v>44484</v>
      </c>
      <c r="I822" s="6" t="s">
        <v>1423</v>
      </c>
      <c r="J822" s="9">
        <v>4608602000</v>
      </c>
      <c r="K822" s="68">
        <v>44469</v>
      </c>
      <c r="L822" s="68">
        <v>46022</v>
      </c>
      <c r="M822" s="68">
        <v>46203</v>
      </c>
      <c r="N822" s="69">
        <f t="shared" si="39"/>
        <v>5</v>
      </c>
      <c r="O822" s="69">
        <f t="shared" si="40"/>
        <v>1</v>
      </c>
      <c r="P822" s="70">
        <v>8</v>
      </c>
      <c r="Q822" s="70">
        <v>12</v>
      </c>
      <c r="R822" s="70">
        <v>13</v>
      </c>
      <c r="S822" s="68" t="str">
        <f t="shared" si="41"/>
        <v/>
      </c>
      <c r="T822" s="68"/>
      <c r="U822" s="68"/>
      <c r="V822" s="68"/>
      <c r="W822" s="9"/>
      <c r="X822" s="10"/>
      <c r="Y822" s="71">
        <f t="shared" si="42"/>
        <v>12</v>
      </c>
      <c r="Z822" s="73">
        <f t="shared" si="43"/>
        <v>13</v>
      </c>
      <c r="AA822" s="11" t="str">
        <f t="shared" si="44"/>
        <v/>
      </c>
      <c r="AB822" s="73">
        <f t="shared" si="45"/>
        <v>5</v>
      </c>
      <c r="AC822" s="11" t="str">
        <f t="shared" si="46"/>
        <v/>
      </c>
      <c r="AD822" s="73">
        <f t="shared" si="47"/>
        <v>1</v>
      </c>
      <c r="AE822" s="11" t="str">
        <f t="shared" si="48"/>
        <v/>
      </c>
      <c r="AF822" s="73">
        <f t="shared" si="49"/>
        <v>5.0008220000000003</v>
      </c>
      <c r="AG822" s="11" t="str">
        <f t="shared" si="50"/>
        <v/>
      </c>
      <c r="AH822" s="73">
        <f t="shared" si="51"/>
        <v>1.0008220000000001</v>
      </c>
    </row>
    <row r="823" spans="1:34" ht="14.25" customHeight="1">
      <c r="A823" s="11">
        <v>808</v>
      </c>
      <c r="B823" s="66"/>
      <c r="C823" s="67"/>
      <c r="D823" s="67"/>
      <c r="E823" s="67"/>
      <c r="F823" s="67"/>
      <c r="G823" s="67" t="s">
        <v>35</v>
      </c>
      <c r="H823" s="67">
        <v>45895</v>
      </c>
      <c r="I823" s="21" t="s">
        <v>1424</v>
      </c>
      <c r="J823" s="94">
        <v>4618700512</v>
      </c>
      <c r="K823" s="126">
        <v>45869</v>
      </c>
      <c r="L823" s="68">
        <v>46022</v>
      </c>
      <c r="M823" s="126">
        <v>46203</v>
      </c>
      <c r="N823" s="69">
        <f t="shared" si="39"/>
        <v>0</v>
      </c>
      <c r="O823" s="69">
        <f t="shared" si="40"/>
        <v>3</v>
      </c>
      <c r="P823" s="70">
        <v>36</v>
      </c>
      <c r="Q823" s="70">
        <v>33</v>
      </c>
      <c r="R823" s="70">
        <v>36</v>
      </c>
      <c r="S823" s="68" t="str">
        <f t="shared" si="41"/>
        <v/>
      </c>
      <c r="T823" s="68"/>
      <c r="U823" s="95"/>
      <c r="V823" s="68"/>
      <c r="W823" s="6"/>
      <c r="X823" s="10"/>
      <c r="Y823" s="71">
        <f t="shared" si="42"/>
        <v>33</v>
      </c>
      <c r="Z823" s="73">
        <f t="shared" si="43"/>
        <v>36</v>
      </c>
      <c r="AA823" s="11" t="str">
        <f t="shared" si="44"/>
        <v/>
      </c>
      <c r="AB823" s="73">
        <f t="shared" si="45"/>
        <v>0</v>
      </c>
      <c r="AC823" s="11" t="str">
        <f t="shared" si="46"/>
        <v/>
      </c>
      <c r="AD823" s="73">
        <f t="shared" si="47"/>
        <v>3</v>
      </c>
      <c r="AE823" s="11" t="str">
        <f t="shared" si="48"/>
        <v/>
      </c>
      <c r="AF823" s="73">
        <f t="shared" si="49"/>
        <v>8.2299999999999995E-4</v>
      </c>
      <c r="AG823" s="11" t="str">
        <f t="shared" si="50"/>
        <v/>
      </c>
      <c r="AH823" s="73">
        <f t="shared" si="51"/>
        <v>3.000823</v>
      </c>
    </row>
    <row r="824" spans="1:34" ht="14.25" customHeight="1">
      <c r="A824" s="11">
        <v>809</v>
      </c>
      <c r="B824" s="66" t="s">
        <v>1425</v>
      </c>
      <c r="C824" s="67">
        <v>42416</v>
      </c>
      <c r="D824" s="67">
        <v>42705</v>
      </c>
      <c r="E824" s="67"/>
      <c r="F824" s="67"/>
      <c r="G824" s="67" t="s">
        <v>35</v>
      </c>
      <c r="H824" s="67">
        <v>42753</v>
      </c>
      <c r="I824" s="6" t="s">
        <v>1426</v>
      </c>
      <c r="J824" s="9">
        <v>4618800348</v>
      </c>
      <c r="K824" s="68">
        <v>42400</v>
      </c>
      <c r="L824" s="68">
        <v>46022</v>
      </c>
      <c r="M824" s="68">
        <v>46203</v>
      </c>
      <c r="N824" s="69">
        <f t="shared" si="39"/>
        <v>66</v>
      </c>
      <c r="O824" s="69">
        <f t="shared" si="40"/>
        <v>-8</v>
      </c>
      <c r="P824" s="70">
        <v>0</v>
      </c>
      <c r="Q824" s="70">
        <v>74</v>
      </c>
      <c r="R824" s="70">
        <v>66</v>
      </c>
      <c r="S824" s="68" t="str">
        <f t="shared" si="41"/>
        <v/>
      </c>
      <c r="T824" s="68"/>
      <c r="U824" s="68">
        <v>46022</v>
      </c>
      <c r="V824" s="68"/>
      <c r="W824" s="9"/>
      <c r="X824" s="10"/>
      <c r="Y824" s="71">
        <f t="shared" si="42"/>
        <v>74</v>
      </c>
      <c r="Z824" s="73">
        <f t="shared" si="43"/>
        <v>66</v>
      </c>
      <c r="AA824" s="73">
        <f t="shared" si="44"/>
        <v>66</v>
      </c>
      <c r="AB824" s="73">
        <f t="shared" si="45"/>
        <v>66</v>
      </c>
      <c r="AC824" s="73">
        <f t="shared" si="46"/>
        <v>-8</v>
      </c>
      <c r="AD824" s="73">
        <f t="shared" si="47"/>
        <v>-8</v>
      </c>
      <c r="AE824" s="73">
        <f t="shared" si="48"/>
        <v>66.000823999999994</v>
      </c>
      <c r="AF824" s="73">
        <f t="shared" si="49"/>
        <v>66.000823999999994</v>
      </c>
      <c r="AG824" s="73">
        <f t="shared" si="50"/>
        <v>-7.9991760000000003</v>
      </c>
      <c r="AH824" s="73">
        <f t="shared" si="51"/>
        <v>-7.9991760000000003</v>
      </c>
    </row>
    <row r="825" spans="1:34" ht="14.25" customHeight="1">
      <c r="A825" s="11">
        <v>810</v>
      </c>
      <c r="B825" s="66"/>
      <c r="C825" s="67"/>
      <c r="D825" s="67"/>
      <c r="E825" s="67"/>
      <c r="F825" s="67"/>
      <c r="G825" s="67" t="s">
        <v>35</v>
      </c>
      <c r="H825" s="67">
        <v>45311</v>
      </c>
      <c r="I825" s="6" t="s">
        <v>1427</v>
      </c>
      <c r="J825" s="94">
        <v>4638103056</v>
      </c>
      <c r="K825" s="68">
        <v>45930</v>
      </c>
      <c r="L825" s="68">
        <v>46022</v>
      </c>
      <c r="M825" s="68">
        <v>46203</v>
      </c>
      <c r="N825" s="69">
        <f t="shared" si="39"/>
        <v>5</v>
      </c>
      <c r="O825" s="69">
        <f t="shared" si="40"/>
        <v>5</v>
      </c>
      <c r="P825" s="78">
        <v>4</v>
      </c>
      <c r="Q825" s="78">
        <v>4</v>
      </c>
      <c r="R825" s="78">
        <v>9</v>
      </c>
      <c r="S825" s="68" t="str">
        <f t="shared" si="41"/>
        <v/>
      </c>
      <c r="T825" s="68"/>
      <c r="U825" s="95"/>
      <c r="V825" s="68"/>
      <c r="W825" s="6"/>
      <c r="X825" s="93" t="s">
        <v>1149</v>
      </c>
      <c r="Y825" s="71">
        <f t="shared" si="42"/>
        <v>4</v>
      </c>
      <c r="Z825" s="73">
        <f t="shared" si="43"/>
        <v>9</v>
      </c>
      <c r="AA825" s="11" t="str">
        <f t="shared" si="44"/>
        <v/>
      </c>
      <c r="AB825" s="73">
        <f t="shared" si="45"/>
        <v>5</v>
      </c>
      <c r="AC825" s="11" t="str">
        <f t="shared" si="46"/>
        <v/>
      </c>
      <c r="AD825" s="73">
        <f t="shared" si="47"/>
        <v>5</v>
      </c>
      <c r="AE825" s="11" t="str">
        <f t="shared" si="48"/>
        <v/>
      </c>
      <c r="AF825" s="73">
        <f t="shared" si="49"/>
        <v>5.0008249999999999</v>
      </c>
      <c r="AG825" s="11" t="str">
        <f t="shared" si="50"/>
        <v/>
      </c>
      <c r="AH825" s="73">
        <f t="shared" si="51"/>
        <v>5.0008249999999999</v>
      </c>
    </row>
    <row r="826" spans="1:34" ht="14.25" customHeight="1">
      <c r="A826" s="11">
        <v>811</v>
      </c>
      <c r="B826" s="66"/>
      <c r="C826" s="67"/>
      <c r="D826" s="67"/>
      <c r="E826" s="67"/>
      <c r="F826" s="67"/>
      <c r="G826" s="67" t="s">
        <v>35</v>
      </c>
      <c r="H826" s="67">
        <v>42705</v>
      </c>
      <c r="I826" s="6" t="s">
        <v>1428</v>
      </c>
      <c r="J826" s="9">
        <v>4638700162</v>
      </c>
      <c r="K826" s="68">
        <v>42704</v>
      </c>
      <c r="L826" s="68">
        <v>46022</v>
      </c>
      <c r="M826" s="68">
        <v>46203</v>
      </c>
      <c r="N826" s="69">
        <f t="shared" si="39"/>
        <v>-4</v>
      </c>
      <c r="O826" s="69">
        <f t="shared" si="40"/>
        <v>0</v>
      </c>
      <c r="P826" s="70">
        <v>8</v>
      </c>
      <c r="Q826" s="70">
        <v>4</v>
      </c>
      <c r="R826" s="70">
        <v>4</v>
      </c>
      <c r="S826" s="68" t="str">
        <f t="shared" si="41"/>
        <v/>
      </c>
      <c r="T826" s="68"/>
      <c r="U826" s="68"/>
      <c r="V826" s="68"/>
      <c r="W826" s="9"/>
      <c r="X826" s="10"/>
      <c r="Y826" s="71">
        <f t="shared" si="42"/>
        <v>4</v>
      </c>
      <c r="Z826" s="73">
        <f t="shared" si="43"/>
        <v>4</v>
      </c>
      <c r="AA826" s="11" t="str">
        <f t="shared" si="44"/>
        <v/>
      </c>
      <c r="AB826" s="73">
        <f t="shared" si="45"/>
        <v>-4</v>
      </c>
      <c r="AC826" s="11" t="str">
        <f t="shared" si="46"/>
        <v/>
      </c>
      <c r="AD826" s="73">
        <f t="shared" si="47"/>
        <v>0</v>
      </c>
      <c r="AE826" s="11" t="str">
        <f t="shared" si="48"/>
        <v/>
      </c>
      <c r="AF826" s="73">
        <f t="shared" si="49"/>
        <v>-3.999174</v>
      </c>
      <c r="AG826" s="11" t="str">
        <f t="shared" si="50"/>
        <v/>
      </c>
      <c r="AH826" s="73">
        <f t="shared" si="51"/>
        <v>8.2600000000000002E-4</v>
      </c>
    </row>
    <row r="827" spans="1:34" ht="14.25" customHeight="1">
      <c r="A827" s="11">
        <v>812</v>
      </c>
      <c r="B827" s="66" t="s">
        <v>35</v>
      </c>
      <c r="C827" s="67">
        <v>45444</v>
      </c>
      <c r="D827" s="67"/>
      <c r="E827" s="67"/>
      <c r="F827" s="67"/>
      <c r="G827" s="67"/>
      <c r="H827" s="67"/>
      <c r="I827" s="6" t="s">
        <v>1429</v>
      </c>
      <c r="J827" s="9">
        <v>4638700935</v>
      </c>
      <c r="K827" s="68">
        <v>45443</v>
      </c>
      <c r="L827" s="68">
        <v>46022</v>
      </c>
      <c r="M827" s="68">
        <v>46203</v>
      </c>
      <c r="N827" s="69">
        <f t="shared" si="39"/>
        <v>3</v>
      </c>
      <c r="O827" s="69">
        <f t="shared" si="40"/>
        <v>2</v>
      </c>
      <c r="P827" s="70">
        <v>11</v>
      </c>
      <c r="Q827" s="70">
        <v>12</v>
      </c>
      <c r="R827" s="70">
        <v>14</v>
      </c>
      <c r="S827" s="68" t="str">
        <f t="shared" si="41"/>
        <v/>
      </c>
      <c r="T827" s="68"/>
      <c r="U827" s="68"/>
      <c r="V827" s="68"/>
      <c r="W827" s="9"/>
      <c r="X827" s="10"/>
      <c r="Y827" s="71">
        <f t="shared" si="42"/>
        <v>12</v>
      </c>
      <c r="Z827" s="73">
        <f t="shared" si="43"/>
        <v>14</v>
      </c>
      <c r="AA827" s="73">
        <f t="shared" si="44"/>
        <v>3</v>
      </c>
      <c r="AB827" s="11" t="str">
        <f t="shared" si="45"/>
        <v/>
      </c>
      <c r="AC827" s="73">
        <f t="shared" si="46"/>
        <v>2</v>
      </c>
      <c r="AD827" s="11" t="str">
        <f t="shared" si="47"/>
        <v/>
      </c>
      <c r="AE827" s="73">
        <f t="shared" si="48"/>
        <v>3.0008270000000001</v>
      </c>
      <c r="AF827" s="11" t="str">
        <f t="shared" si="49"/>
        <v/>
      </c>
      <c r="AG827" s="73">
        <f t="shared" si="50"/>
        <v>2.0008270000000001</v>
      </c>
      <c r="AH827" s="11" t="str">
        <f t="shared" si="51"/>
        <v/>
      </c>
    </row>
    <row r="828" spans="1:34" ht="14.25" customHeight="1">
      <c r="A828" s="11">
        <v>813</v>
      </c>
      <c r="B828" s="66"/>
      <c r="C828" s="67"/>
      <c r="D828" s="67"/>
      <c r="E828" s="67"/>
      <c r="F828" s="67"/>
      <c r="G828" s="67" t="s">
        <v>24</v>
      </c>
      <c r="H828" s="67">
        <v>44811</v>
      </c>
      <c r="I828" s="6" t="s">
        <v>1430</v>
      </c>
      <c r="J828" s="9">
        <v>4638802658</v>
      </c>
      <c r="K828" s="68">
        <v>44804</v>
      </c>
      <c r="L828" s="68" t="s">
        <v>230</v>
      </c>
      <c r="M828" s="68">
        <v>45777</v>
      </c>
      <c r="N828" s="69">
        <f t="shared" si="39"/>
        <v>0</v>
      </c>
      <c r="O828" s="69" t="str">
        <f t="shared" si="40"/>
        <v>N/A</v>
      </c>
      <c r="P828" s="70">
        <v>0</v>
      </c>
      <c r="Q828" s="70"/>
      <c r="R828" s="70">
        <v>0</v>
      </c>
      <c r="S828" s="68">
        <f t="shared" si="41"/>
        <v>45758</v>
      </c>
      <c r="T828" s="68">
        <v>45758</v>
      </c>
      <c r="U828" s="68"/>
      <c r="V828" s="68"/>
      <c r="W828" s="9"/>
      <c r="X828" s="10"/>
      <c r="Y828" s="65" t="str">
        <f t="shared" si="42"/>
        <v/>
      </c>
      <c r="Z828" s="11" t="str">
        <f t="shared" si="43"/>
        <v/>
      </c>
      <c r="AA828" s="11" t="str">
        <f t="shared" si="44"/>
        <v/>
      </c>
      <c r="AB828" s="73">
        <f t="shared" si="45"/>
        <v>0</v>
      </c>
      <c r="AC828" s="11" t="str">
        <f t="shared" si="46"/>
        <v/>
      </c>
      <c r="AD828" s="11" t="str">
        <f t="shared" si="47"/>
        <v/>
      </c>
      <c r="AE828" s="11" t="str">
        <f t="shared" si="48"/>
        <v/>
      </c>
      <c r="AF828" s="73">
        <f t="shared" si="49"/>
        <v>8.2799999999999996E-4</v>
      </c>
      <c r="AG828" s="11" t="str">
        <f t="shared" si="50"/>
        <v/>
      </c>
      <c r="AH828" s="11" t="str">
        <f t="shared" si="51"/>
        <v/>
      </c>
    </row>
    <row r="829" spans="1:34" ht="14.25" customHeight="1">
      <c r="A829" s="11">
        <v>814</v>
      </c>
      <c r="B829" s="66"/>
      <c r="C829" s="67"/>
      <c r="D829" s="67"/>
      <c r="E829" s="67"/>
      <c r="F829" s="67"/>
      <c r="G829" s="67" t="s">
        <v>35</v>
      </c>
      <c r="H829" s="67">
        <v>44931</v>
      </c>
      <c r="I829" s="6" t="s">
        <v>1431</v>
      </c>
      <c r="J829" s="9">
        <v>4648100805</v>
      </c>
      <c r="K829" s="68">
        <v>44926</v>
      </c>
      <c r="L829" s="68">
        <v>46022</v>
      </c>
      <c r="M829" s="68">
        <v>46203</v>
      </c>
      <c r="N829" s="69">
        <f t="shared" si="39"/>
        <v>7</v>
      </c>
      <c r="O829" s="69">
        <f t="shared" si="40"/>
        <v>5</v>
      </c>
      <c r="P829" s="70">
        <v>4</v>
      </c>
      <c r="Q829" s="70">
        <v>6</v>
      </c>
      <c r="R829" s="70">
        <v>11</v>
      </c>
      <c r="S829" s="68" t="str">
        <f t="shared" si="41"/>
        <v/>
      </c>
      <c r="T829" s="68"/>
      <c r="U829" s="68"/>
      <c r="V829" s="68"/>
      <c r="W829" s="9"/>
      <c r="X829" s="10"/>
      <c r="Y829" s="71">
        <f t="shared" si="42"/>
        <v>6</v>
      </c>
      <c r="Z829" s="73">
        <f t="shared" si="43"/>
        <v>11</v>
      </c>
      <c r="AA829" s="11" t="str">
        <f t="shared" si="44"/>
        <v/>
      </c>
      <c r="AB829" s="73">
        <f t="shared" si="45"/>
        <v>7</v>
      </c>
      <c r="AC829" s="11" t="str">
        <f t="shared" si="46"/>
        <v/>
      </c>
      <c r="AD829" s="73">
        <f t="shared" si="47"/>
        <v>5</v>
      </c>
      <c r="AE829" s="11" t="str">
        <f t="shared" si="48"/>
        <v/>
      </c>
      <c r="AF829" s="73">
        <f t="shared" si="49"/>
        <v>7.0008290000000004</v>
      </c>
      <c r="AG829" s="11" t="str">
        <f t="shared" si="50"/>
        <v/>
      </c>
      <c r="AH829" s="73">
        <f t="shared" si="51"/>
        <v>5.0008290000000004</v>
      </c>
    </row>
    <row r="830" spans="1:34" ht="14.25" customHeight="1">
      <c r="A830" s="11">
        <v>815</v>
      </c>
      <c r="B830" s="66"/>
      <c r="C830" s="67"/>
      <c r="D830" s="67"/>
      <c r="E830" s="67"/>
      <c r="F830" s="67"/>
      <c r="G830" s="67" t="s">
        <v>35</v>
      </c>
      <c r="H830" s="67">
        <v>45992</v>
      </c>
      <c r="I830" s="6" t="s">
        <v>1432</v>
      </c>
      <c r="J830" s="94">
        <v>4648701922</v>
      </c>
      <c r="K830" s="68">
        <v>45991</v>
      </c>
      <c r="L830" s="68">
        <v>46022</v>
      </c>
      <c r="M830" s="68">
        <v>46203</v>
      </c>
      <c r="N830" s="69">
        <f t="shared" si="39"/>
        <v>-4</v>
      </c>
      <c r="O830" s="69">
        <f t="shared" si="40"/>
        <v>-2</v>
      </c>
      <c r="P830" s="70">
        <v>34</v>
      </c>
      <c r="Q830" s="70">
        <v>32</v>
      </c>
      <c r="R830" s="70">
        <v>30</v>
      </c>
      <c r="S830" s="68" t="str">
        <f t="shared" si="41"/>
        <v/>
      </c>
      <c r="T830" s="68"/>
      <c r="U830" s="95"/>
      <c r="V830" s="68"/>
      <c r="W830" s="6"/>
      <c r="X830" s="10"/>
      <c r="Y830" s="71">
        <f t="shared" si="42"/>
        <v>32</v>
      </c>
      <c r="Z830" s="73">
        <f t="shared" si="43"/>
        <v>30</v>
      </c>
      <c r="AA830" s="11" t="str">
        <f t="shared" si="44"/>
        <v/>
      </c>
      <c r="AB830" s="73">
        <f t="shared" si="45"/>
        <v>-4</v>
      </c>
      <c r="AC830" s="11" t="str">
        <f t="shared" si="46"/>
        <v/>
      </c>
      <c r="AD830" s="73">
        <f t="shared" si="47"/>
        <v>-2</v>
      </c>
      <c r="AE830" s="11" t="str">
        <f t="shared" si="48"/>
        <v/>
      </c>
      <c r="AF830" s="73">
        <f t="shared" si="49"/>
        <v>-3.9991699999999999</v>
      </c>
      <c r="AG830" s="11" t="str">
        <f t="shared" si="50"/>
        <v/>
      </c>
      <c r="AH830" s="73">
        <f t="shared" si="51"/>
        <v>-1.9991699999999999</v>
      </c>
    </row>
    <row r="831" spans="1:34" ht="14.25" customHeight="1">
      <c r="A831" s="11">
        <v>816</v>
      </c>
      <c r="B831" s="66"/>
      <c r="C831" s="67"/>
      <c r="D831" s="67"/>
      <c r="E831" s="67"/>
      <c r="F831" s="67"/>
      <c r="G831" s="67" t="s">
        <v>35</v>
      </c>
      <c r="H831" s="67">
        <v>44953</v>
      </c>
      <c r="I831" s="6" t="s">
        <v>1433</v>
      </c>
      <c r="J831" s="9">
        <v>4668101246</v>
      </c>
      <c r="K831" s="68">
        <v>44926</v>
      </c>
      <c r="L831" s="68">
        <v>46022</v>
      </c>
      <c r="M831" s="68">
        <v>46203</v>
      </c>
      <c r="N831" s="69">
        <f t="shared" si="39"/>
        <v>-2</v>
      </c>
      <c r="O831" s="69">
        <f t="shared" si="40"/>
        <v>0</v>
      </c>
      <c r="P831" s="70">
        <v>4</v>
      </c>
      <c r="Q831" s="70">
        <v>2</v>
      </c>
      <c r="R831" s="70">
        <v>2</v>
      </c>
      <c r="S831" s="68" t="str">
        <f t="shared" si="41"/>
        <v/>
      </c>
      <c r="T831" s="68"/>
      <c r="U831" s="68"/>
      <c r="V831" s="68"/>
      <c r="W831" s="9"/>
      <c r="X831" s="10"/>
      <c r="Y831" s="71">
        <f t="shared" si="42"/>
        <v>2</v>
      </c>
      <c r="Z831" s="73">
        <f t="shared" si="43"/>
        <v>2</v>
      </c>
      <c r="AA831" s="11" t="str">
        <f t="shared" si="44"/>
        <v/>
      </c>
      <c r="AB831" s="73">
        <f t="shared" si="45"/>
        <v>-2</v>
      </c>
      <c r="AC831" s="11" t="str">
        <f t="shared" si="46"/>
        <v/>
      </c>
      <c r="AD831" s="73">
        <f t="shared" si="47"/>
        <v>0</v>
      </c>
      <c r="AE831" s="11" t="str">
        <f t="shared" si="48"/>
        <v/>
      </c>
      <c r="AF831" s="73">
        <f t="shared" si="49"/>
        <v>-1.999169</v>
      </c>
      <c r="AG831" s="11" t="str">
        <f t="shared" si="50"/>
        <v/>
      </c>
      <c r="AH831" s="73">
        <f t="shared" si="51"/>
        <v>8.3100000000000003E-4</v>
      </c>
    </row>
    <row r="832" spans="1:34" ht="14.25" customHeight="1">
      <c r="A832" s="11">
        <v>817</v>
      </c>
      <c r="B832" s="66"/>
      <c r="C832" s="67"/>
      <c r="D832" s="67"/>
      <c r="E832" s="67"/>
      <c r="F832" s="67"/>
      <c r="G832" s="67" t="s">
        <v>35</v>
      </c>
      <c r="H832" s="67">
        <v>44791</v>
      </c>
      <c r="I832" s="6" t="s">
        <v>1434</v>
      </c>
      <c r="J832" s="9">
        <v>4668702214</v>
      </c>
      <c r="K832" s="68">
        <v>44773</v>
      </c>
      <c r="L832" s="68">
        <v>46022</v>
      </c>
      <c r="M832" s="68">
        <v>46203</v>
      </c>
      <c r="N832" s="69">
        <f t="shared" si="39"/>
        <v>5</v>
      </c>
      <c r="O832" s="69">
        <f t="shared" si="40"/>
        <v>-1</v>
      </c>
      <c r="P832" s="70">
        <v>0</v>
      </c>
      <c r="Q832" s="70">
        <v>6</v>
      </c>
      <c r="R832" s="70">
        <v>5</v>
      </c>
      <c r="S832" s="68" t="str">
        <f t="shared" si="41"/>
        <v/>
      </c>
      <c r="T832" s="68"/>
      <c r="U832" s="68"/>
      <c r="V832" s="68"/>
      <c r="W832" s="9"/>
      <c r="X832" s="10"/>
      <c r="Y832" s="71">
        <f t="shared" si="42"/>
        <v>6</v>
      </c>
      <c r="Z832" s="73">
        <f t="shared" si="43"/>
        <v>5</v>
      </c>
      <c r="AA832" s="11" t="str">
        <f t="shared" si="44"/>
        <v/>
      </c>
      <c r="AB832" s="73">
        <f t="shared" si="45"/>
        <v>5</v>
      </c>
      <c r="AC832" s="11" t="str">
        <f t="shared" si="46"/>
        <v/>
      </c>
      <c r="AD832" s="73">
        <f t="shared" si="47"/>
        <v>-1</v>
      </c>
      <c r="AE832" s="11" t="str">
        <f t="shared" si="48"/>
        <v/>
      </c>
      <c r="AF832" s="73">
        <f t="shared" si="49"/>
        <v>5.0008319999999999</v>
      </c>
      <c r="AG832" s="11" t="str">
        <f t="shared" si="50"/>
        <v/>
      </c>
      <c r="AH832" s="73">
        <f t="shared" si="51"/>
        <v>-0.99916799999999995</v>
      </c>
    </row>
    <row r="833" spans="1:34" ht="14.25" customHeight="1">
      <c r="A833" s="11">
        <v>818</v>
      </c>
      <c r="B833" s="66"/>
      <c r="C833" s="67"/>
      <c r="D833" s="67"/>
      <c r="E833" s="67"/>
      <c r="F833" s="67"/>
      <c r="G833" s="67" t="s">
        <v>35</v>
      </c>
      <c r="H833" s="67">
        <v>44180</v>
      </c>
      <c r="I833" s="6" t="s">
        <v>1435</v>
      </c>
      <c r="J833" s="9">
        <v>4668801551</v>
      </c>
      <c r="K833" s="68">
        <v>44165</v>
      </c>
      <c r="L833" s="68">
        <v>46022</v>
      </c>
      <c r="M833" s="68">
        <v>46203</v>
      </c>
      <c r="N833" s="69">
        <f t="shared" si="39"/>
        <v>10</v>
      </c>
      <c r="O833" s="69">
        <f t="shared" si="40"/>
        <v>-11</v>
      </c>
      <c r="P833" s="70">
        <v>5</v>
      </c>
      <c r="Q833" s="70">
        <v>26</v>
      </c>
      <c r="R833" s="70">
        <v>15</v>
      </c>
      <c r="S833" s="68" t="str">
        <f t="shared" si="41"/>
        <v/>
      </c>
      <c r="T833" s="68"/>
      <c r="U833" s="68"/>
      <c r="V833" s="68"/>
      <c r="W833" s="9"/>
      <c r="X833" s="10"/>
      <c r="Y833" s="71">
        <f t="shared" si="42"/>
        <v>26</v>
      </c>
      <c r="Z833" s="73">
        <f t="shared" si="43"/>
        <v>15</v>
      </c>
      <c r="AA833" s="11" t="str">
        <f t="shared" si="44"/>
        <v/>
      </c>
      <c r="AB833" s="73">
        <f t="shared" si="45"/>
        <v>10</v>
      </c>
      <c r="AC833" s="11" t="str">
        <f t="shared" si="46"/>
        <v/>
      </c>
      <c r="AD833" s="73">
        <f t="shared" si="47"/>
        <v>-11</v>
      </c>
      <c r="AE833" s="11" t="str">
        <f t="shared" si="48"/>
        <v/>
      </c>
      <c r="AF833" s="73">
        <f t="shared" si="49"/>
        <v>10.000833</v>
      </c>
      <c r="AG833" s="11" t="str">
        <f t="shared" si="50"/>
        <v/>
      </c>
      <c r="AH833" s="73">
        <f t="shared" si="51"/>
        <v>-10.999167</v>
      </c>
    </row>
    <row r="834" spans="1:34" ht="14.25" customHeight="1">
      <c r="A834" s="11">
        <v>819</v>
      </c>
      <c r="B834" s="66" t="s">
        <v>35</v>
      </c>
      <c r="C834" s="67"/>
      <c r="D834" s="67">
        <v>45114</v>
      </c>
      <c r="E834" s="67"/>
      <c r="F834" s="67"/>
      <c r="G834" s="67" t="s">
        <v>35</v>
      </c>
      <c r="H834" s="67">
        <v>45114</v>
      </c>
      <c r="I834" s="6" t="s">
        <v>1436</v>
      </c>
      <c r="J834" s="9">
        <v>4678102743</v>
      </c>
      <c r="K834" s="68">
        <v>45107</v>
      </c>
      <c r="L834" s="68">
        <v>46022</v>
      </c>
      <c r="M834" s="68">
        <v>46203</v>
      </c>
      <c r="N834" s="69">
        <f t="shared" si="39"/>
        <v>10</v>
      </c>
      <c r="O834" s="69">
        <f t="shared" si="40"/>
        <v>1</v>
      </c>
      <c r="P834" s="70">
        <v>2</v>
      </c>
      <c r="Q834" s="70">
        <v>11</v>
      </c>
      <c r="R834" s="70">
        <v>12</v>
      </c>
      <c r="S834" s="68" t="str">
        <f t="shared" si="41"/>
        <v/>
      </c>
      <c r="T834" s="68"/>
      <c r="U834" s="68"/>
      <c r="V834" s="68"/>
      <c r="W834" s="9"/>
      <c r="X834" s="10"/>
      <c r="Y834" s="71">
        <f t="shared" si="42"/>
        <v>11</v>
      </c>
      <c r="Z834" s="73">
        <f t="shared" si="43"/>
        <v>12</v>
      </c>
      <c r="AA834" s="73">
        <f t="shared" si="44"/>
        <v>10</v>
      </c>
      <c r="AB834" s="73">
        <f t="shared" si="45"/>
        <v>10</v>
      </c>
      <c r="AC834" s="73">
        <f t="shared" si="46"/>
        <v>1</v>
      </c>
      <c r="AD834" s="73">
        <f t="shared" si="47"/>
        <v>1</v>
      </c>
      <c r="AE834" s="73">
        <f t="shared" si="48"/>
        <v>10.000833999999999</v>
      </c>
      <c r="AF834" s="73">
        <f t="shared" si="49"/>
        <v>10.000833999999999</v>
      </c>
      <c r="AG834" s="73">
        <f t="shared" si="50"/>
        <v>1.000834</v>
      </c>
      <c r="AH834" s="73">
        <f t="shared" si="51"/>
        <v>1.000834</v>
      </c>
    </row>
    <row r="835" spans="1:34" ht="14.25" customHeight="1">
      <c r="A835" s="11">
        <v>820</v>
      </c>
      <c r="B835" s="66" t="s">
        <v>35</v>
      </c>
      <c r="C835" s="67">
        <v>44986</v>
      </c>
      <c r="D835" s="67"/>
      <c r="E835" s="67"/>
      <c r="F835" s="67"/>
      <c r="G835" s="67"/>
      <c r="H835" s="67"/>
      <c r="I835" s="6" t="s">
        <v>1437</v>
      </c>
      <c r="J835" s="9">
        <v>4688102805</v>
      </c>
      <c r="K835" s="68">
        <v>44985</v>
      </c>
      <c r="L835" s="68">
        <v>46022</v>
      </c>
      <c r="M835" s="68">
        <v>46203</v>
      </c>
      <c r="N835" s="69">
        <f t="shared" si="39"/>
        <v>1</v>
      </c>
      <c r="O835" s="69">
        <f t="shared" si="40"/>
        <v>-2</v>
      </c>
      <c r="P835" s="70">
        <v>6</v>
      </c>
      <c r="Q835" s="70">
        <v>9</v>
      </c>
      <c r="R835" s="70">
        <v>7</v>
      </c>
      <c r="S835" s="68" t="str">
        <f t="shared" si="41"/>
        <v/>
      </c>
      <c r="T835" s="68"/>
      <c r="U835" s="68"/>
      <c r="V835" s="68"/>
      <c r="W835" s="9"/>
      <c r="X835" s="10"/>
      <c r="Y835" s="71">
        <f t="shared" si="42"/>
        <v>9</v>
      </c>
      <c r="Z835" s="73">
        <f t="shared" si="43"/>
        <v>7</v>
      </c>
      <c r="AA835" s="73">
        <f t="shared" si="44"/>
        <v>1</v>
      </c>
      <c r="AB835" s="11" t="str">
        <f t="shared" si="45"/>
        <v/>
      </c>
      <c r="AC835" s="73">
        <f t="shared" si="46"/>
        <v>-2</v>
      </c>
      <c r="AD835" s="11" t="str">
        <f t="shared" si="47"/>
        <v/>
      </c>
      <c r="AE835" s="73">
        <f t="shared" si="48"/>
        <v>1.0008349999999999</v>
      </c>
      <c r="AF835" s="11" t="str">
        <f t="shared" si="49"/>
        <v/>
      </c>
      <c r="AG835" s="73">
        <f t="shared" si="50"/>
        <v>-1.9991650000000001</v>
      </c>
      <c r="AH835" s="11" t="str">
        <f t="shared" si="51"/>
        <v/>
      </c>
    </row>
    <row r="836" spans="1:34" ht="14.25" customHeight="1">
      <c r="A836" s="11">
        <v>821</v>
      </c>
      <c r="B836" s="66"/>
      <c r="C836" s="67"/>
      <c r="D836" s="67"/>
      <c r="E836" s="67"/>
      <c r="F836" s="67"/>
      <c r="G836" s="67" t="s">
        <v>35</v>
      </c>
      <c r="H836" s="67">
        <v>45546</v>
      </c>
      <c r="I836" s="6" t="s">
        <v>1438</v>
      </c>
      <c r="J836" s="9">
        <v>4688600627</v>
      </c>
      <c r="K836" s="68">
        <v>45535</v>
      </c>
      <c r="L836" s="68">
        <v>46022</v>
      </c>
      <c r="M836" s="68">
        <v>46203</v>
      </c>
      <c r="N836" s="69">
        <f t="shared" si="39"/>
        <v>1</v>
      </c>
      <c r="O836" s="69">
        <f t="shared" si="40"/>
        <v>1</v>
      </c>
      <c r="P836" s="70">
        <v>21</v>
      </c>
      <c r="Q836" s="70">
        <v>21</v>
      </c>
      <c r="R836" s="70">
        <v>22</v>
      </c>
      <c r="S836" s="68" t="str">
        <f t="shared" si="41"/>
        <v/>
      </c>
      <c r="T836" s="68"/>
      <c r="U836" s="68"/>
      <c r="V836" s="68"/>
      <c r="W836" s="9"/>
      <c r="X836" s="10"/>
      <c r="Y836" s="71">
        <f t="shared" si="42"/>
        <v>21</v>
      </c>
      <c r="Z836" s="73">
        <f t="shared" si="43"/>
        <v>22</v>
      </c>
      <c r="AA836" s="11" t="str">
        <f t="shared" si="44"/>
        <v/>
      </c>
      <c r="AB836" s="73">
        <f t="shared" si="45"/>
        <v>1</v>
      </c>
      <c r="AC836" s="11" t="str">
        <f t="shared" si="46"/>
        <v/>
      </c>
      <c r="AD836" s="73">
        <f t="shared" si="47"/>
        <v>1</v>
      </c>
      <c r="AE836" s="11" t="str">
        <f t="shared" si="48"/>
        <v/>
      </c>
      <c r="AF836" s="73">
        <f t="shared" si="49"/>
        <v>1.0008360000000001</v>
      </c>
      <c r="AG836" s="11" t="str">
        <f t="shared" si="50"/>
        <v/>
      </c>
      <c r="AH836" s="73">
        <f t="shared" si="51"/>
        <v>1.0008360000000001</v>
      </c>
    </row>
    <row r="837" spans="1:34" ht="14.25" customHeight="1">
      <c r="A837" s="11">
        <v>822</v>
      </c>
      <c r="B837" s="66"/>
      <c r="C837" s="67"/>
      <c r="D837" s="67"/>
      <c r="E837" s="67"/>
      <c r="F837" s="67"/>
      <c r="G837" s="67" t="s">
        <v>35</v>
      </c>
      <c r="H837" s="67">
        <v>45838</v>
      </c>
      <c r="I837" s="6" t="s">
        <v>1439</v>
      </c>
      <c r="J837" s="9">
        <v>4698801884</v>
      </c>
      <c r="K837" s="68">
        <v>45808</v>
      </c>
      <c r="L837" s="68">
        <v>46022</v>
      </c>
      <c r="M837" s="68">
        <v>46203</v>
      </c>
      <c r="N837" s="69">
        <f t="shared" si="39"/>
        <v>-1</v>
      </c>
      <c r="O837" s="69">
        <f t="shared" si="40"/>
        <v>0</v>
      </c>
      <c r="P837" s="70">
        <v>21</v>
      </c>
      <c r="Q837" s="70">
        <v>20</v>
      </c>
      <c r="R837" s="70">
        <v>20</v>
      </c>
      <c r="S837" s="68" t="str">
        <f t="shared" si="41"/>
        <v/>
      </c>
      <c r="T837" s="68"/>
      <c r="U837" s="68"/>
      <c r="V837" s="68"/>
      <c r="W837" s="9"/>
      <c r="X837" s="10"/>
      <c r="Y837" s="71">
        <f t="shared" si="42"/>
        <v>20</v>
      </c>
      <c r="Z837" s="73">
        <f t="shared" si="43"/>
        <v>20</v>
      </c>
      <c r="AA837" s="11" t="str">
        <f t="shared" si="44"/>
        <v/>
      </c>
      <c r="AB837" s="73">
        <f t="shared" si="45"/>
        <v>-1</v>
      </c>
      <c r="AC837" s="11" t="str">
        <f t="shared" si="46"/>
        <v/>
      </c>
      <c r="AD837" s="73">
        <f t="shared" si="47"/>
        <v>0</v>
      </c>
      <c r="AE837" s="11" t="str">
        <f t="shared" si="48"/>
        <v/>
      </c>
      <c r="AF837" s="73">
        <f t="shared" si="49"/>
        <v>-0.99916300000000002</v>
      </c>
      <c r="AG837" s="11" t="str">
        <f t="shared" si="50"/>
        <v/>
      </c>
      <c r="AH837" s="73">
        <f t="shared" si="51"/>
        <v>8.3699999999999996E-4</v>
      </c>
    </row>
    <row r="838" spans="1:34" ht="14.25" customHeight="1">
      <c r="A838" s="11">
        <v>823</v>
      </c>
      <c r="B838" s="66"/>
      <c r="C838" s="67"/>
      <c r="D838" s="67"/>
      <c r="E838" s="67"/>
      <c r="F838" s="67"/>
      <c r="G838" s="67" t="s">
        <v>35</v>
      </c>
      <c r="H838" s="67">
        <v>45166</v>
      </c>
      <c r="I838" s="6" t="s">
        <v>1440</v>
      </c>
      <c r="J838" s="9">
        <v>4708102074</v>
      </c>
      <c r="K838" s="68">
        <v>45138</v>
      </c>
      <c r="L838" s="68">
        <v>46022</v>
      </c>
      <c r="M838" s="68">
        <v>46203</v>
      </c>
      <c r="N838" s="69">
        <f t="shared" si="39"/>
        <v>25</v>
      </c>
      <c r="O838" s="69">
        <f t="shared" si="40"/>
        <v>0</v>
      </c>
      <c r="P838" s="70">
        <v>6</v>
      </c>
      <c r="Q838" s="70">
        <v>31</v>
      </c>
      <c r="R838" s="70">
        <v>31</v>
      </c>
      <c r="S838" s="68" t="str">
        <f t="shared" si="41"/>
        <v/>
      </c>
      <c r="T838" s="68"/>
      <c r="U838" s="68"/>
      <c r="V838" s="68"/>
      <c r="W838" s="9"/>
      <c r="X838" s="10"/>
      <c r="Y838" s="71">
        <f t="shared" si="42"/>
        <v>31</v>
      </c>
      <c r="Z838" s="73">
        <f t="shared" si="43"/>
        <v>31</v>
      </c>
      <c r="AA838" s="11" t="str">
        <f t="shared" si="44"/>
        <v/>
      </c>
      <c r="AB838" s="73">
        <f t="shared" si="45"/>
        <v>25</v>
      </c>
      <c r="AC838" s="11" t="str">
        <f t="shared" si="46"/>
        <v/>
      </c>
      <c r="AD838" s="73">
        <f t="shared" si="47"/>
        <v>0</v>
      </c>
      <c r="AE838" s="11" t="str">
        <f t="shared" si="48"/>
        <v/>
      </c>
      <c r="AF838" s="73">
        <f t="shared" si="49"/>
        <v>25.000838000000002</v>
      </c>
      <c r="AG838" s="11" t="str">
        <f t="shared" si="50"/>
        <v/>
      </c>
      <c r="AH838" s="73">
        <f t="shared" si="51"/>
        <v>8.3799999999999999E-4</v>
      </c>
    </row>
    <row r="839" spans="1:34" ht="14.25" customHeight="1">
      <c r="A839" s="11">
        <v>824</v>
      </c>
      <c r="B839" s="66" t="s">
        <v>35</v>
      </c>
      <c r="C839" s="67">
        <v>45352</v>
      </c>
      <c r="D839" s="67"/>
      <c r="E839" s="67"/>
      <c r="F839" s="67"/>
      <c r="G839" s="67" t="s">
        <v>35</v>
      </c>
      <c r="H839" s="67">
        <v>45513</v>
      </c>
      <c r="I839" s="6" t="s">
        <v>1441</v>
      </c>
      <c r="J839" s="9">
        <v>4708103108</v>
      </c>
      <c r="K839" s="68">
        <v>45351</v>
      </c>
      <c r="L839" s="68">
        <v>46022</v>
      </c>
      <c r="M839" s="68">
        <v>46203</v>
      </c>
      <c r="N839" s="69">
        <f t="shared" si="39"/>
        <v>5</v>
      </c>
      <c r="O839" s="69">
        <f t="shared" si="40"/>
        <v>0</v>
      </c>
      <c r="P839" s="70">
        <v>0</v>
      </c>
      <c r="Q839" s="70">
        <v>5</v>
      </c>
      <c r="R839" s="70">
        <v>5</v>
      </c>
      <c r="S839" s="68" t="str">
        <f t="shared" si="41"/>
        <v/>
      </c>
      <c r="T839" s="68"/>
      <c r="U839" s="68"/>
      <c r="V839" s="68"/>
      <c r="W839" s="9"/>
      <c r="X839" s="10"/>
      <c r="Y839" s="71">
        <f t="shared" si="42"/>
        <v>5</v>
      </c>
      <c r="Z839" s="73">
        <f t="shared" si="43"/>
        <v>5</v>
      </c>
      <c r="AA839" s="73">
        <f t="shared" si="44"/>
        <v>5</v>
      </c>
      <c r="AB839" s="73">
        <f t="shared" si="45"/>
        <v>5</v>
      </c>
      <c r="AC839" s="73">
        <f t="shared" si="46"/>
        <v>0</v>
      </c>
      <c r="AD839" s="73">
        <f t="shared" si="47"/>
        <v>0</v>
      </c>
      <c r="AE839" s="73">
        <f t="shared" si="48"/>
        <v>5.000839</v>
      </c>
      <c r="AF839" s="73">
        <f t="shared" si="49"/>
        <v>5.000839</v>
      </c>
      <c r="AG839" s="73">
        <f t="shared" si="50"/>
        <v>8.3900000000000001E-4</v>
      </c>
      <c r="AH839" s="73">
        <f t="shared" si="51"/>
        <v>8.3900000000000001E-4</v>
      </c>
    </row>
    <row r="840" spans="1:34" ht="14.25" customHeight="1">
      <c r="A840" s="11">
        <v>825</v>
      </c>
      <c r="B840" s="66"/>
      <c r="C840" s="67"/>
      <c r="D840" s="67"/>
      <c r="E840" s="67"/>
      <c r="F840" s="67"/>
      <c r="G840" s="67" t="s">
        <v>35</v>
      </c>
      <c r="H840" s="67">
        <v>45776</v>
      </c>
      <c r="I840" s="6" t="s">
        <v>1442</v>
      </c>
      <c r="J840" s="9">
        <v>4708701475</v>
      </c>
      <c r="K840" s="68">
        <v>45747</v>
      </c>
      <c r="L840" s="68">
        <v>46022</v>
      </c>
      <c r="M840" s="68">
        <v>46203</v>
      </c>
      <c r="N840" s="69">
        <f t="shared" si="39"/>
        <v>10</v>
      </c>
      <c r="O840" s="69">
        <f t="shared" si="40"/>
        <v>4</v>
      </c>
      <c r="P840" s="70">
        <v>16</v>
      </c>
      <c r="Q840" s="70">
        <v>22</v>
      </c>
      <c r="R840" s="70">
        <v>26</v>
      </c>
      <c r="S840" s="68" t="str">
        <f t="shared" si="41"/>
        <v/>
      </c>
      <c r="T840" s="68"/>
      <c r="U840" s="68"/>
      <c r="V840" s="68"/>
      <c r="W840" s="9"/>
      <c r="X840" s="10"/>
      <c r="Y840" s="71">
        <f t="shared" si="42"/>
        <v>22</v>
      </c>
      <c r="Z840" s="73">
        <f t="shared" si="43"/>
        <v>26</v>
      </c>
      <c r="AA840" s="11" t="str">
        <f t="shared" si="44"/>
        <v/>
      </c>
      <c r="AB840" s="73">
        <f t="shared" si="45"/>
        <v>10</v>
      </c>
      <c r="AC840" s="11" t="str">
        <f t="shared" si="46"/>
        <v/>
      </c>
      <c r="AD840" s="73">
        <f t="shared" si="47"/>
        <v>4</v>
      </c>
      <c r="AE840" s="11" t="str">
        <f t="shared" si="48"/>
        <v/>
      </c>
      <c r="AF840" s="73">
        <f t="shared" si="49"/>
        <v>10.00084</v>
      </c>
      <c r="AG840" s="11" t="str">
        <f t="shared" si="50"/>
        <v/>
      </c>
      <c r="AH840" s="73">
        <f t="shared" si="51"/>
        <v>4.0008400000000002</v>
      </c>
    </row>
    <row r="841" spans="1:34" ht="14.25" customHeight="1">
      <c r="A841" s="11">
        <v>826</v>
      </c>
      <c r="B841" s="66"/>
      <c r="C841" s="67"/>
      <c r="D841" s="67"/>
      <c r="E841" s="67"/>
      <c r="F841" s="67"/>
      <c r="G841" s="67" t="s">
        <v>35</v>
      </c>
      <c r="H841" s="67">
        <v>45793</v>
      </c>
      <c r="I841" s="6" t="s">
        <v>1443</v>
      </c>
      <c r="J841" s="9">
        <v>4708803000</v>
      </c>
      <c r="K841" s="68">
        <v>45777</v>
      </c>
      <c r="L841" s="68">
        <v>46022</v>
      </c>
      <c r="M841" s="68">
        <v>46203</v>
      </c>
      <c r="N841" s="69">
        <f t="shared" si="39"/>
        <v>17</v>
      </c>
      <c r="O841" s="69">
        <f t="shared" si="40"/>
        <v>5</v>
      </c>
      <c r="P841" s="70">
        <v>2</v>
      </c>
      <c r="Q841" s="70">
        <v>14</v>
      </c>
      <c r="R841" s="70">
        <v>19</v>
      </c>
      <c r="S841" s="68" t="str">
        <f t="shared" si="41"/>
        <v/>
      </c>
      <c r="T841" s="68"/>
      <c r="U841" s="68"/>
      <c r="V841" s="68"/>
      <c r="W841" s="9"/>
      <c r="X841" s="10"/>
      <c r="Y841" s="71">
        <f t="shared" si="42"/>
        <v>14</v>
      </c>
      <c r="Z841" s="73">
        <f t="shared" si="43"/>
        <v>19</v>
      </c>
      <c r="AA841" s="11" t="str">
        <f t="shared" si="44"/>
        <v/>
      </c>
      <c r="AB841" s="73">
        <f t="shared" si="45"/>
        <v>17</v>
      </c>
      <c r="AC841" s="11" t="str">
        <f t="shared" si="46"/>
        <v/>
      </c>
      <c r="AD841" s="73">
        <f t="shared" si="47"/>
        <v>5</v>
      </c>
      <c r="AE841" s="11" t="str">
        <f t="shared" si="48"/>
        <v/>
      </c>
      <c r="AF841" s="73">
        <f t="shared" si="49"/>
        <v>17.000841000000001</v>
      </c>
      <c r="AG841" s="11" t="str">
        <f t="shared" si="50"/>
        <v/>
      </c>
      <c r="AH841" s="73">
        <f t="shared" si="51"/>
        <v>5.0008410000000003</v>
      </c>
    </row>
    <row r="842" spans="1:34" ht="14.25" customHeight="1">
      <c r="A842" s="11">
        <v>827</v>
      </c>
      <c r="B842" s="66"/>
      <c r="C842" s="67"/>
      <c r="D842" s="67"/>
      <c r="E842" s="67"/>
      <c r="F842" s="67"/>
      <c r="G842" s="67" t="s">
        <v>35</v>
      </c>
      <c r="H842" s="67">
        <v>45082</v>
      </c>
      <c r="I842" s="6" t="s">
        <v>1444</v>
      </c>
      <c r="J842" s="9">
        <v>4718101874</v>
      </c>
      <c r="K842" s="68">
        <v>45077</v>
      </c>
      <c r="L842" s="68">
        <v>46022</v>
      </c>
      <c r="M842" s="68">
        <v>46203</v>
      </c>
      <c r="N842" s="69">
        <f t="shared" si="39"/>
        <v>18</v>
      </c>
      <c r="O842" s="69">
        <f t="shared" si="40"/>
        <v>10</v>
      </c>
      <c r="P842" s="70">
        <v>23</v>
      </c>
      <c r="Q842" s="70">
        <v>31</v>
      </c>
      <c r="R842" s="70">
        <v>41</v>
      </c>
      <c r="S842" s="68" t="str">
        <f t="shared" si="41"/>
        <v/>
      </c>
      <c r="T842" s="68"/>
      <c r="U842" s="68"/>
      <c r="V842" s="68"/>
      <c r="W842" s="9"/>
      <c r="X842" s="10"/>
      <c r="Y842" s="71">
        <f t="shared" si="42"/>
        <v>31</v>
      </c>
      <c r="Z842" s="73">
        <f t="shared" si="43"/>
        <v>41</v>
      </c>
      <c r="AA842" s="11" t="str">
        <f t="shared" si="44"/>
        <v/>
      </c>
      <c r="AB842" s="73">
        <f t="shared" si="45"/>
        <v>18</v>
      </c>
      <c r="AC842" s="11" t="str">
        <f t="shared" si="46"/>
        <v/>
      </c>
      <c r="AD842" s="73">
        <f t="shared" si="47"/>
        <v>10</v>
      </c>
      <c r="AE842" s="11" t="str">
        <f t="shared" si="48"/>
        <v/>
      </c>
      <c r="AF842" s="73">
        <f t="shared" si="49"/>
        <v>18.000841999999999</v>
      </c>
      <c r="AG842" s="11" t="str">
        <f t="shared" si="50"/>
        <v/>
      </c>
      <c r="AH842" s="73">
        <f t="shared" si="51"/>
        <v>10.000842</v>
      </c>
    </row>
    <row r="843" spans="1:34" ht="14.25" customHeight="1">
      <c r="A843" s="11">
        <v>828</v>
      </c>
      <c r="B843" s="66"/>
      <c r="C843" s="67"/>
      <c r="D843" s="67"/>
      <c r="E843" s="67"/>
      <c r="F843" s="67"/>
      <c r="G843" s="67" t="s">
        <v>35</v>
      </c>
      <c r="H843" s="67">
        <v>45441</v>
      </c>
      <c r="I843" s="6" t="s">
        <v>1445</v>
      </c>
      <c r="J843" s="9">
        <v>4728603088</v>
      </c>
      <c r="K843" s="68">
        <v>45412</v>
      </c>
      <c r="L843" s="68">
        <v>46022</v>
      </c>
      <c r="M843" s="68">
        <v>46203</v>
      </c>
      <c r="N843" s="69">
        <f t="shared" si="39"/>
        <v>-1</v>
      </c>
      <c r="O843" s="69">
        <f t="shared" si="40"/>
        <v>0</v>
      </c>
      <c r="P843" s="70">
        <v>9</v>
      </c>
      <c r="Q843" s="70">
        <v>8</v>
      </c>
      <c r="R843" s="70">
        <v>8</v>
      </c>
      <c r="S843" s="68" t="str">
        <f t="shared" si="41"/>
        <v/>
      </c>
      <c r="T843" s="68"/>
      <c r="U843" s="68"/>
      <c r="V843" s="68"/>
      <c r="W843" s="9"/>
      <c r="X843" s="10"/>
      <c r="Y843" s="71">
        <f t="shared" si="42"/>
        <v>8</v>
      </c>
      <c r="Z843" s="73">
        <f t="shared" si="43"/>
        <v>8</v>
      </c>
      <c r="AA843" s="11" t="str">
        <f t="shared" si="44"/>
        <v/>
      </c>
      <c r="AB843" s="73">
        <f t="shared" si="45"/>
        <v>-1</v>
      </c>
      <c r="AC843" s="11" t="str">
        <f t="shared" si="46"/>
        <v/>
      </c>
      <c r="AD843" s="73">
        <f t="shared" si="47"/>
        <v>0</v>
      </c>
      <c r="AE843" s="11" t="str">
        <f t="shared" si="48"/>
        <v/>
      </c>
      <c r="AF843" s="73">
        <f t="shared" si="49"/>
        <v>-0.99915699999999996</v>
      </c>
      <c r="AG843" s="11" t="str">
        <f t="shared" si="50"/>
        <v/>
      </c>
      <c r="AH843" s="73">
        <f t="shared" si="51"/>
        <v>8.43E-4</v>
      </c>
    </row>
    <row r="844" spans="1:34" ht="14.25" customHeight="1">
      <c r="A844" s="11">
        <v>829</v>
      </c>
      <c r="B844" s="66"/>
      <c r="C844" s="67"/>
      <c r="D844" s="67"/>
      <c r="E844" s="67"/>
      <c r="F844" s="67"/>
      <c r="G844" s="67" t="s">
        <v>35</v>
      </c>
      <c r="H844" s="67">
        <v>45826</v>
      </c>
      <c r="I844" s="6" t="s">
        <v>1446</v>
      </c>
      <c r="J844" s="9">
        <v>4738102618</v>
      </c>
      <c r="K844" s="68">
        <v>45808</v>
      </c>
      <c r="L844" s="68">
        <v>46022</v>
      </c>
      <c r="M844" s="68">
        <v>46203</v>
      </c>
      <c r="N844" s="69">
        <f t="shared" si="39"/>
        <v>0</v>
      </c>
      <c r="O844" s="69">
        <f t="shared" si="40"/>
        <v>3</v>
      </c>
      <c r="P844" s="70">
        <v>14</v>
      </c>
      <c r="Q844" s="70">
        <v>11</v>
      </c>
      <c r="R844" s="70">
        <v>14</v>
      </c>
      <c r="S844" s="68" t="str">
        <f t="shared" si="41"/>
        <v/>
      </c>
      <c r="T844" s="68"/>
      <c r="U844" s="68"/>
      <c r="V844" s="68"/>
      <c r="W844" s="9"/>
      <c r="X844" s="10"/>
      <c r="Y844" s="71">
        <f t="shared" si="42"/>
        <v>11</v>
      </c>
      <c r="Z844" s="73">
        <f t="shared" si="43"/>
        <v>14</v>
      </c>
      <c r="AA844" s="11" t="str">
        <f t="shared" si="44"/>
        <v/>
      </c>
      <c r="AB844" s="73">
        <f t="shared" si="45"/>
        <v>0</v>
      </c>
      <c r="AC844" s="11" t="str">
        <f t="shared" si="46"/>
        <v/>
      </c>
      <c r="AD844" s="73">
        <f t="shared" si="47"/>
        <v>3</v>
      </c>
      <c r="AE844" s="11" t="str">
        <f t="shared" si="48"/>
        <v/>
      </c>
      <c r="AF844" s="73">
        <f t="shared" si="49"/>
        <v>8.4400000000000002E-4</v>
      </c>
      <c r="AG844" s="11" t="str">
        <f t="shared" si="50"/>
        <v/>
      </c>
      <c r="AH844" s="73">
        <f t="shared" si="51"/>
        <v>3.0008439999999998</v>
      </c>
    </row>
    <row r="845" spans="1:34" ht="14.25" customHeight="1">
      <c r="A845" s="11">
        <v>830</v>
      </c>
      <c r="B845" s="66"/>
      <c r="C845" s="67"/>
      <c r="D845" s="67"/>
      <c r="E845" s="67"/>
      <c r="F845" s="67"/>
      <c r="G845" s="67" t="s">
        <v>24</v>
      </c>
      <c r="H845" s="67">
        <v>42755</v>
      </c>
      <c r="I845" s="6" t="s">
        <v>1447</v>
      </c>
      <c r="J845" s="9">
        <v>4738600522</v>
      </c>
      <c r="K845" s="68">
        <v>42735</v>
      </c>
      <c r="L845" s="68" t="s">
        <v>230</v>
      </c>
      <c r="M845" s="68">
        <v>45838</v>
      </c>
      <c r="N845" s="69">
        <f t="shared" si="39"/>
        <v>0</v>
      </c>
      <c r="O845" s="69" t="str">
        <f t="shared" si="40"/>
        <v>N/A</v>
      </c>
      <c r="P845" s="70">
        <v>0</v>
      </c>
      <c r="Q845" s="70"/>
      <c r="R845" s="70">
        <v>0</v>
      </c>
      <c r="S845" s="68">
        <f t="shared" si="41"/>
        <v>45832</v>
      </c>
      <c r="T845" s="68">
        <v>45832</v>
      </c>
      <c r="U845" s="68"/>
      <c r="V845" s="68"/>
      <c r="W845" s="9"/>
      <c r="X845" s="10"/>
      <c r="Y845" s="65" t="str">
        <f t="shared" si="42"/>
        <v/>
      </c>
      <c r="Z845" s="11" t="str">
        <f t="shared" si="43"/>
        <v/>
      </c>
      <c r="AA845" s="11" t="str">
        <f t="shared" si="44"/>
        <v/>
      </c>
      <c r="AB845" s="73">
        <f t="shared" si="45"/>
        <v>0</v>
      </c>
      <c r="AC845" s="11" t="str">
        <f t="shared" si="46"/>
        <v/>
      </c>
      <c r="AD845" s="11" t="str">
        <f t="shared" si="47"/>
        <v/>
      </c>
      <c r="AE845" s="11" t="str">
        <f t="shared" si="48"/>
        <v/>
      </c>
      <c r="AF845" s="73">
        <f t="shared" si="49"/>
        <v>8.4500000000000005E-4</v>
      </c>
      <c r="AG845" s="11" t="str">
        <f t="shared" si="50"/>
        <v/>
      </c>
      <c r="AH845" s="11" t="str">
        <f t="shared" si="51"/>
        <v/>
      </c>
    </row>
    <row r="846" spans="1:34" ht="14.25" customHeight="1">
      <c r="A846" s="11">
        <v>831</v>
      </c>
      <c r="B846" s="66"/>
      <c r="C846" s="67"/>
      <c r="D846" s="67"/>
      <c r="E846" s="67"/>
      <c r="F846" s="67"/>
      <c r="G846" s="67" t="s">
        <v>35</v>
      </c>
      <c r="H846" s="67">
        <v>42788</v>
      </c>
      <c r="I846" s="6" t="s">
        <v>1448</v>
      </c>
      <c r="J846" s="9">
        <v>4738700494</v>
      </c>
      <c r="K846" s="68">
        <v>42766</v>
      </c>
      <c r="L846" s="68">
        <v>46022</v>
      </c>
      <c r="M846" s="68">
        <v>46203</v>
      </c>
      <c r="N846" s="69">
        <f t="shared" si="39"/>
        <v>23</v>
      </c>
      <c r="O846" s="69">
        <f t="shared" si="40"/>
        <v>0</v>
      </c>
      <c r="P846" s="70">
        <v>0</v>
      </c>
      <c r="Q846" s="70">
        <v>23</v>
      </c>
      <c r="R846" s="70">
        <v>23</v>
      </c>
      <c r="S846" s="68" t="str">
        <f t="shared" si="41"/>
        <v/>
      </c>
      <c r="T846" s="68"/>
      <c r="U846" s="68"/>
      <c r="V846" s="68"/>
      <c r="W846" s="9"/>
      <c r="X846" s="10"/>
      <c r="Y846" s="71">
        <f t="shared" si="42"/>
        <v>23</v>
      </c>
      <c r="Z846" s="73">
        <f t="shared" si="43"/>
        <v>23</v>
      </c>
      <c r="AA846" s="11" t="str">
        <f t="shared" si="44"/>
        <v/>
      </c>
      <c r="AB846" s="73">
        <f t="shared" si="45"/>
        <v>23</v>
      </c>
      <c r="AC846" s="11" t="str">
        <f t="shared" si="46"/>
        <v/>
      </c>
      <c r="AD846" s="73">
        <f t="shared" si="47"/>
        <v>0</v>
      </c>
      <c r="AE846" s="11" t="str">
        <f t="shared" si="48"/>
        <v/>
      </c>
      <c r="AF846" s="73">
        <f t="shared" si="49"/>
        <v>23.000845999999999</v>
      </c>
      <c r="AG846" s="11" t="str">
        <f t="shared" si="50"/>
        <v/>
      </c>
      <c r="AH846" s="73">
        <f t="shared" si="51"/>
        <v>8.4599999999999996E-4</v>
      </c>
    </row>
    <row r="847" spans="1:34" ht="14.25" customHeight="1">
      <c r="A847" s="11">
        <v>832</v>
      </c>
      <c r="B847" s="66" t="s">
        <v>35</v>
      </c>
      <c r="C847" s="67">
        <v>44805</v>
      </c>
      <c r="D847" s="67">
        <v>44806</v>
      </c>
      <c r="E847" s="67"/>
      <c r="F847" s="67"/>
      <c r="G847" s="67" t="s">
        <v>35</v>
      </c>
      <c r="H847" s="67">
        <v>44806</v>
      </c>
      <c r="I847" s="6" t="s">
        <v>1449</v>
      </c>
      <c r="J847" s="9">
        <v>4738702207</v>
      </c>
      <c r="K847" s="68">
        <v>44804</v>
      </c>
      <c r="L847" s="68">
        <v>46022</v>
      </c>
      <c r="M847" s="68">
        <v>46203</v>
      </c>
      <c r="N847" s="69">
        <f t="shared" si="39"/>
        <v>4</v>
      </c>
      <c r="O847" s="69">
        <f t="shared" si="40"/>
        <v>-1</v>
      </c>
      <c r="P847" s="70">
        <v>0</v>
      </c>
      <c r="Q847" s="70">
        <v>5</v>
      </c>
      <c r="R847" s="70">
        <v>4</v>
      </c>
      <c r="S847" s="68" t="str">
        <f t="shared" si="41"/>
        <v/>
      </c>
      <c r="T847" s="68"/>
      <c r="U847" s="68"/>
      <c r="V847" s="68"/>
      <c r="W847" s="9"/>
      <c r="X847" s="10"/>
      <c r="Y847" s="71">
        <f t="shared" si="42"/>
        <v>5</v>
      </c>
      <c r="Z847" s="73">
        <f t="shared" si="43"/>
        <v>4</v>
      </c>
      <c r="AA847" s="73">
        <f t="shared" si="44"/>
        <v>4</v>
      </c>
      <c r="AB847" s="73">
        <f t="shared" si="45"/>
        <v>4</v>
      </c>
      <c r="AC847" s="73">
        <f t="shared" si="46"/>
        <v>-1</v>
      </c>
      <c r="AD847" s="73">
        <f t="shared" si="47"/>
        <v>-1</v>
      </c>
      <c r="AE847" s="73">
        <f t="shared" si="48"/>
        <v>4.0008470000000003</v>
      </c>
      <c r="AF847" s="73">
        <f t="shared" si="49"/>
        <v>4.0008470000000003</v>
      </c>
      <c r="AG847" s="73">
        <f t="shared" si="50"/>
        <v>-0.99915299999999996</v>
      </c>
      <c r="AH847" s="73">
        <f t="shared" si="51"/>
        <v>-0.99915299999999996</v>
      </c>
    </row>
    <row r="848" spans="1:34" ht="14.25" customHeight="1">
      <c r="A848" s="11">
        <v>833</v>
      </c>
      <c r="B848" s="66" t="s">
        <v>35</v>
      </c>
      <c r="C848" s="67">
        <v>43710</v>
      </c>
      <c r="D848" s="67">
        <v>43623</v>
      </c>
      <c r="E848" s="67"/>
      <c r="F848" s="67"/>
      <c r="G848" s="67"/>
      <c r="H848" s="67"/>
      <c r="I848" s="6" t="s">
        <v>1450</v>
      </c>
      <c r="J848" s="9">
        <v>4748101155</v>
      </c>
      <c r="K848" s="68">
        <v>43616</v>
      </c>
      <c r="L848" s="68">
        <v>46022</v>
      </c>
      <c r="M848" s="68">
        <v>46203</v>
      </c>
      <c r="N848" s="69">
        <f t="shared" si="39"/>
        <v>9</v>
      </c>
      <c r="O848" s="69">
        <f t="shared" si="40"/>
        <v>2</v>
      </c>
      <c r="P848" s="70">
        <v>7</v>
      </c>
      <c r="Q848" s="70">
        <v>14</v>
      </c>
      <c r="R848" s="70">
        <v>16</v>
      </c>
      <c r="S848" s="68" t="str">
        <f t="shared" si="41"/>
        <v/>
      </c>
      <c r="T848" s="68"/>
      <c r="U848" s="68"/>
      <c r="V848" s="68"/>
      <c r="W848" s="9"/>
      <c r="X848" s="10"/>
      <c r="Y848" s="71">
        <f t="shared" si="42"/>
        <v>14</v>
      </c>
      <c r="Z848" s="73">
        <f t="shared" si="43"/>
        <v>16</v>
      </c>
      <c r="AA848" s="73">
        <f t="shared" si="44"/>
        <v>9</v>
      </c>
      <c r="AB848" s="11" t="str">
        <f t="shared" si="45"/>
        <v/>
      </c>
      <c r="AC848" s="73">
        <f t="shared" si="46"/>
        <v>2</v>
      </c>
      <c r="AD848" s="11" t="str">
        <f t="shared" si="47"/>
        <v/>
      </c>
      <c r="AE848" s="73">
        <f t="shared" si="48"/>
        <v>9.0008479999999995</v>
      </c>
      <c r="AF848" s="11" t="str">
        <f t="shared" si="49"/>
        <v/>
      </c>
      <c r="AG848" s="73">
        <f t="shared" si="50"/>
        <v>2.000848</v>
      </c>
      <c r="AH848" s="11" t="str">
        <f t="shared" si="51"/>
        <v/>
      </c>
    </row>
    <row r="849" spans="1:34" ht="14.25" customHeight="1">
      <c r="A849" s="11">
        <v>834</v>
      </c>
      <c r="B849" s="66" t="s">
        <v>24</v>
      </c>
      <c r="C849" s="67">
        <v>42705</v>
      </c>
      <c r="D849" s="67"/>
      <c r="E849" s="67"/>
      <c r="F849" s="67"/>
      <c r="G849" s="67"/>
      <c r="H849" s="67"/>
      <c r="I849" s="6" t="s">
        <v>1451</v>
      </c>
      <c r="J849" s="9">
        <v>4748700594</v>
      </c>
      <c r="K849" s="68">
        <v>42704</v>
      </c>
      <c r="L849" s="68" t="s">
        <v>230</v>
      </c>
      <c r="M849" s="68">
        <v>44926</v>
      </c>
      <c r="N849" s="69">
        <f t="shared" si="39"/>
        <v>0</v>
      </c>
      <c r="O849" s="69" t="str">
        <f t="shared" si="40"/>
        <v>N/A</v>
      </c>
      <c r="P849" s="70">
        <v>0</v>
      </c>
      <c r="Q849" s="70"/>
      <c r="R849" s="70">
        <v>0</v>
      </c>
      <c r="S849" s="68">
        <f t="shared" si="41"/>
        <v>44925</v>
      </c>
      <c r="T849" s="68">
        <v>44925</v>
      </c>
      <c r="U849" s="68"/>
      <c r="V849" s="68"/>
      <c r="W849" s="9"/>
      <c r="X849" s="10"/>
      <c r="Y849" s="65" t="str">
        <f t="shared" si="42"/>
        <v/>
      </c>
      <c r="Z849" s="11" t="str">
        <f t="shared" si="43"/>
        <v/>
      </c>
      <c r="AA849" s="73">
        <f t="shared" si="44"/>
        <v>0</v>
      </c>
      <c r="AB849" s="11" t="str">
        <f t="shared" si="45"/>
        <v/>
      </c>
      <c r="AC849" s="11" t="str">
        <f t="shared" si="46"/>
        <v/>
      </c>
      <c r="AD849" s="11" t="str">
        <f t="shared" si="47"/>
        <v/>
      </c>
      <c r="AE849" s="73">
        <f t="shared" si="48"/>
        <v>8.4900000000000004E-4</v>
      </c>
      <c r="AF849" s="11" t="str">
        <f t="shared" si="49"/>
        <v/>
      </c>
      <c r="AG849" s="11" t="str">
        <f t="shared" si="50"/>
        <v/>
      </c>
      <c r="AH849" s="11" t="str">
        <f t="shared" si="51"/>
        <v/>
      </c>
    </row>
    <row r="850" spans="1:34" ht="14.25" customHeight="1">
      <c r="A850" s="11">
        <v>835</v>
      </c>
      <c r="B850" s="66"/>
      <c r="C850" s="67"/>
      <c r="D850" s="67"/>
      <c r="E850" s="67"/>
      <c r="F850" s="67"/>
      <c r="G850" s="67" t="s">
        <v>35</v>
      </c>
      <c r="H850" s="67">
        <v>45882</v>
      </c>
      <c r="I850" s="6" t="s">
        <v>1452</v>
      </c>
      <c r="J850" s="94">
        <v>4758101158</v>
      </c>
      <c r="K850" s="68">
        <v>45869</v>
      </c>
      <c r="L850" s="68">
        <v>46022</v>
      </c>
      <c r="M850" s="68">
        <v>46203</v>
      </c>
      <c r="N850" s="69">
        <f t="shared" si="39"/>
        <v>5</v>
      </c>
      <c r="O850" s="69">
        <f t="shared" si="40"/>
        <v>3</v>
      </c>
      <c r="P850" s="70">
        <v>33</v>
      </c>
      <c r="Q850" s="70">
        <v>35</v>
      </c>
      <c r="R850" s="70">
        <v>38</v>
      </c>
      <c r="S850" s="68" t="str">
        <f t="shared" si="41"/>
        <v/>
      </c>
      <c r="T850" s="68"/>
      <c r="U850" s="95"/>
      <c r="V850" s="68"/>
      <c r="W850" s="6"/>
      <c r="X850" s="10"/>
      <c r="Y850" s="71">
        <f t="shared" si="42"/>
        <v>35</v>
      </c>
      <c r="Z850" s="73">
        <f t="shared" si="43"/>
        <v>38</v>
      </c>
      <c r="AA850" s="11" t="str">
        <f t="shared" si="44"/>
        <v/>
      </c>
      <c r="AB850" s="73">
        <f t="shared" si="45"/>
        <v>5</v>
      </c>
      <c r="AC850" s="11" t="str">
        <f t="shared" si="46"/>
        <v/>
      </c>
      <c r="AD850" s="73">
        <f t="shared" si="47"/>
        <v>3</v>
      </c>
      <c r="AE850" s="11" t="str">
        <f t="shared" si="48"/>
        <v/>
      </c>
      <c r="AF850" s="73">
        <f t="shared" si="49"/>
        <v>5.0008499999999998</v>
      </c>
      <c r="AG850" s="11" t="str">
        <f t="shared" si="50"/>
        <v/>
      </c>
      <c r="AH850" s="73">
        <f t="shared" si="51"/>
        <v>3.0008499999999998</v>
      </c>
    </row>
    <row r="851" spans="1:34" ht="14.25" customHeight="1">
      <c r="A851" s="11">
        <v>836</v>
      </c>
      <c r="B851" s="66"/>
      <c r="C851" s="67"/>
      <c r="D851" s="67"/>
      <c r="E851" s="67"/>
      <c r="F851" s="67"/>
      <c r="G851" s="67" t="s">
        <v>35</v>
      </c>
      <c r="H851" s="67">
        <v>44937</v>
      </c>
      <c r="I851" s="6" t="s">
        <v>1453</v>
      </c>
      <c r="J851" s="9">
        <v>4768100981</v>
      </c>
      <c r="K851" s="68">
        <v>44926</v>
      </c>
      <c r="L851" s="68">
        <v>46022</v>
      </c>
      <c r="M851" s="68">
        <v>46203</v>
      </c>
      <c r="N851" s="69">
        <f t="shared" si="39"/>
        <v>-2</v>
      </c>
      <c r="O851" s="69">
        <f t="shared" si="40"/>
        <v>1</v>
      </c>
      <c r="P851" s="70">
        <v>16</v>
      </c>
      <c r="Q851" s="70">
        <v>13</v>
      </c>
      <c r="R851" s="70">
        <v>14</v>
      </c>
      <c r="S851" s="68" t="str">
        <f t="shared" si="41"/>
        <v/>
      </c>
      <c r="T851" s="68"/>
      <c r="U851" s="68"/>
      <c r="V851" s="68"/>
      <c r="W851" s="9"/>
      <c r="X851" s="10"/>
      <c r="Y851" s="71">
        <f t="shared" si="42"/>
        <v>13</v>
      </c>
      <c r="Z851" s="73">
        <f t="shared" si="43"/>
        <v>14</v>
      </c>
      <c r="AA851" s="11" t="str">
        <f t="shared" si="44"/>
        <v/>
      </c>
      <c r="AB851" s="73">
        <f t="shared" si="45"/>
        <v>-2</v>
      </c>
      <c r="AC851" s="11" t="str">
        <f t="shared" si="46"/>
        <v/>
      </c>
      <c r="AD851" s="73">
        <f t="shared" si="47"/>
        <v>1</v>
      </c>
      <c r="AE851" s="11" t="str">
        <f t="shared" si="48"/>
        <v/>
      </c>
      <c r="AF851" s="73">
        <f t="shared" si="49"/>
        <v>-1.9991490000000001</v>
      </c>
      <c r="AG851" s="11" t="str">
        <f t="shared" si="50"/>
        <v/>
      </c>
      <c r="AH851" s="73">
        <f t="shared" si="51"/>
        <v>1.0008509999999999</v>
      </c>
    </row>
    <row r="852" spans="1:34" ht="14.25" customHeight="1">
      <c r="A852" s="11">
        <v>837</v>
      </c>
      <c r="B852" s="66"/>
      <c r="C852" s="67"/>
      <c r="D852" s="67"/>
      <c r="E852" s="67"/>
      <c r="F852" s="67"/>
      <c r="G852" s="67" t="s">
        <v>35</v>
      </c>
      <c r="H852" s="67">
        <v>45450</v>
      </c>
      <c r="I852" s="6" t="s">
        <v>1454</v>
      </c>
      <c r="J852" s="9">
        <v>4768603057</v>
      </c>
      <c r="K852" s="68">
        <v>45443</v>
      </c>
      <c r="L852" s="68">
        <v>46022</v>
      </c>
      <c r="M852" s="68">
        <v>46203</v>
      </c>
      <c r="N852" s="69">
        <f t="shared" si="39"/>
        <v>4</v>
      </c>
      <c r="O852" s="69">
        <f t="shared" si="40"/>
        <v>1</v>
      </c>
      <c r="P852" s="70">
        <v>2</v>
      </c>
      <c r="Q852" s="70">
        <v>5</v>
      </c>
      <c r="R852" s="70">
        <v>6</v>
      </c>
      <c r="S852" s="68" t="str">
        <f t="shared" si="41"/>
        <v/>
      </c>
      <c r="T852" s="68"/>
      <c r="U852" s="68"/>
      <c r="V852" s="68"/>
      <c r="W852" s="9"/>
      <c r="X852" s="10"/>
      <c r="Y852" s="71">
        <f t="shared" si="42"/>
        <v>5</v>
      </c>
      <c r="Z852" s="73">
        <f t="shared" si="43"/>
        <v>6</v>
      </c>
      <c r="AA852" s="11" t="str">
        <f t="shared" si="44"/>
        <v/>
      </c>
      <c r="AB852" s="73">
        <f t="shared" si="45"/>
        <v>4</v>
      </c>
      <c r="AC852" s="11" t="str">
        <f t="shared" si="46"/>
        <v/>
      </c>
      <c r="AD852" s="73">
        <f t="shared" si="47"/>
        <v>1</v>
      </c>
      <c r="AE852" s="11" t="str">
        <f t="shared" si="48"/>
        <v/>
      </c>
      <c r="AF852" s="73">
        <f t="shared" si="49"/>
        <v>4.0008520000000001</v>
      </c>
      <c r="AG852" s="11" t="str">
        <f t="shared" si="50"/>
        <v/>
      </c>
      <c r="AH852" s="73">
        <f t="shared" si="51"/>
        <v>1.0008520000000001</v>
      </c>
    </row>
    <row r="853" spans="1:34" ht="14.25" customHeight="1">
      <c r="A853" s="11">
        <v>838</v>
      </c>
      <c r="B853" s="66"/>
      <c r="C853" s="67"/>
      <c r="D853" s="67"/>
      <c r="E853" s="67"/>
      <c r="F853" s="67"/>
      <c r="G853" s="67" t="s">
        <v>35</v>
      </c>
      <c r="H853" s="67">
        <v>45580</v>
      </c>
      <c r="I853" s="6" t="s">
        <v>1455</v>
      </c>
      <c r="J853" s="9">
        <v>4778602385</v>
      </c>
      <c r="K853" s="68">
        <v>45565</v>
      </c>
      <c r="L853" s="68">
        <v>46022</v>
      </c>
      <c r="M853" s="68">
        <v>46203</v>
      </c>
      <c r="N853" s="69">
        <f t="shared" si="39"/>
        <v>4</v>
      </c>
      <c r="O853" s="69">
        <f t="shared" si="40"/>
        <v>1</v>
      </c>
      <c r="P853" s="70">
        <v>4</v>
      </c>
      <c r="Q853" s="70">
        <v>7</v>
      </c>
      <c r="R853" s="70">
        <v>8</v>
      </c>
      <c r="S853" s="68" t="str">
        <f t="shared" si="41"/>
        <v/>
      </c>
      <c r="T853" s="68"/>
      <c r="U853" s="68"/>
      <c r="V853" s="68"/>
      <c r="W853" s="9"/>
      <c r="X853" s="10"/>
      <c r="Y853" s="71">
        <f t="shared" si="42"/>
        <v>7</v>
      </c>
      <c r="Z853" s="73">
        <f t="shared" si="43"/>
        <v>8</v>
      </c>
      <c r="AA853" s="11" t="str">
        <f t="shared" si="44"/>
        <v/>
      </c>
      <c r="AB853" s="73">
        <f t="shared" si="45"/>
        <v>4</v>
      </c>
      <c r="AC853" s="11" t="str">
        <f t="shared" si="46"/>
        <v/>
      </c>
      <c r="AD853" s="73">
        <f t="shared" si="47"/>
        <v>1</v>
      </c>
      <c r="AE853" s="11" t="str">
        <f t="shared" si="48"/>
        <v/>
      </c>
      <c r="AF853" s="73">
        <f t="shared" si="49"/>
        <v>4.0008530000000002</v>
      </c>
      <c r="AG853" s="11" t="str">
        <f t="shared" si="50"/>
        <v/>
      </c>
      <c r="AH853" s="73">
        <f t="shared" si="51"/>
        <v>1.000853</v>
      </c>
    </row>
    <row r="854" spans="1:34" ht="14.25" customHeight="1">
      <c r="A854" s="11">
        <v>839</v>
      </c>
      <c r="B854" s="66"/>
      <c r="C854" s="67"/>
      <c r="D854" s="67"/>
      <c r="E854" s="67"/>
      <c r="F854" s="67"/>
      <c r="G854" s="67" t="s">
        <v>24</v>
      </c>
      <c r="H854" s="67">
        <v>42366</v>
      </c>
      <c r="I854" s="6" t="s">
        <v>1456</v>
      </c>
      <c r="J854" s="9">
        <v>4778800080</v>
      </c>
      <c r="K854" s="68">
        <v>42338</v>
      </c>
      <c r="L854" s="68" t="s">
        <v>230</v>
      </c>
      <c r="M854" s="68">
        <v>43738</v>
      </c>
      <c r="N854" s="69">
        <f t="shared" si="39"/>
        <v>-1</v>
      </c>
      <c r="O854" s="69" t="str">
        <f t="shared" si="40"/>
        <v>N/A</v>
      </c>
      <c r="P854" s="70">
        <v>1</v>
      </c>
      <c r="Q854" s="70"/>
      <c r="R854" s="70">
        <v>0</v>
      </c>
      <c r="S854" s="68">
        <f t="shared" si="41"/>
        <v>43738</v>
      </c>
      <c r="T854" s="68">
        <v>43738</v>
      </c>
      <c r="U854" s="68"/>
      <c r="V854" s="68"/>
      <c r="W854" s="9"/>
      <c r="X854" s="10"/>
      <c r="Y854" s="65" t="str">
        <f t="shared" si="42"/>
        <v/>
      </c>
      <c r="Z854" s="11" t="str">
        <f t="shared" si="43"/>
        <v/>
      </c>
      <c r="AA854" s="11" t="str">
        <f t="shared" si="44"/>
        <v/>
      </c>
      <c r="AB854" s="73">
        <f t="shared" si="45"/>
        <v>-1</v>
      </c>
      <c r="AC854" s="11" t="str">
        <f t="shared" si="46"/>
        <v/>
      </c>
      <c r="AD854" s="11" t="str">
        <f t="shared" si="47"/>
        <v/>
      </c>
      <c r="AE854" s="11" t="str">
        <f t="shared" si="48"/>
        <v/>
      </c>
      <c r="AF854" s="73">
        <f t="shared" si="49"/>
        <v>-0.99914599999999998</v>
      </c>
      <c r="AG854" s="11" t="str">
        <f t="shared" si="50"/>
        <v/>
      </c>
      <c r="AH854" s="11" t="str">
        <f t="shared" si="51"/>
        <v/>
      </c>
    </row>
    <row r="855" spans="1:34" ht="14.25" customHeight="1">
      <c r="A855" s="11">
        <v>840</v>
      </c>
      <c r="B855" s="66"/>
      <c r="C855" s="67"/>
      <c r="D855" s="67"/>
      <c r="E855" s="67"/>
      <c r="F855" s="67"/>
      <c r="G855" s="67" t="s">
        <v>35</v>
      </c>
      <c r="H855" s="67">
        <v>44575</v>
      </c>
      <c r="I855" s="6" t="s">
        <v>1457</v>
      </c>
      <c r="J855" s="9">
        <v>4778800533</v>
      </c>
      <c r="K855" s="68">
        <v>44561</v>
      </c>
      <c r="L855" s="68">
        <v>46022</v>
      </c>
      <c r="M855" s="68">
        <v>46203</v>
      </c>
      <c r="N855" s="69">
        <f t="shared" si="39"/>
        <v>-14</v>
      </c>
      <c r="O855" s="69">
        <f t="shared" si="40"/>
        <v>-1</v>
      </c>
      <c r="P855" s="70">
        <v>26</v>
      </c>
      <c r="Q855" s="70">
        <v>13</v>
      </c>
      <c r="R855" s="70">
        <v>12</v>
      </c>
      <c r="S855" s="68" t="str">
        <f t="shared" si="41"/>
        <v/>
      </c>
      <c r="T855" s="68"/>
      <c r="U855" s="68"/>
      <c r="V855" s="68"/>
      <c r="W855" s="9"/>
      <c r="X855" s="10"/>
      <c r="Y855" s="71">
        <f t="shared" si="42"/>
        <v>13</v>
      </c>
      <c r="Z855" s="73">
        <f t="shared" si="43"/>
        <v>12</v>
      </c>
      <c r="AA855" s="11" t="str">
        <f t="shared" si="44"/>
        <v/>
      </c>
      <c r="AB855" s="73">
        <f t="shared" si="45"/>
        <v>-14</v>
      </c>
      <c r="AC855" s="11" t="str">
        <f t="shared" si="46"/>
        <v/>
      </c>
      <c r="AD855" s="73">
        <f t="shared" si="47"/>
        <v>-1</v>
      </c>
      <c r="AE855" s="11" t="str">
        <f t="shared" si="48"/>
        <v/>
      </c>
      <c r="AF855" s="73">
        <f t="shared" si="49"/>
        <v>-13.999145</v>
      </c>
      <c r="AG855" s="11" t="str">
        <f t="shared" si="50"/>
        <v/>
      </c>
      <c r="AH855" s="73">
        <f t="shared" si="51"/>
        <v>-0.99914499999999995</v>
      </c>
    </row>
    <row r="856" spans="1:34" ht="14.25" customHeight="1">
      <c r="A856" s="11">
        <v>841</v>
      </c>
      <c r="B856" s="66"/>
      <c r="C856" s="67"/>
      <c r="D856" s="67"/>
      <c r="E856" s="67"/>
      <c r="F856" s="67"/>
      <c r="G856" s="67" t="s">
        <v>35</v>
      </c>
      <c r="H856" s="67">
        <v>41843</v>
      </c>
      <c r="I856" s="6" t="s">
        <v>1458</v>
      </c>
      <c r="J856" s="9">
        <v>4798100199</v>
      </c>
      <c r="K856" s="68">
        <v>41820</v>
      </c>
      <c r="L856" s="68">
        <v>46022</v>
      </c>
      <c r="M856" s="68">
        <v>46203</v>
      </c>
      <c r="N856" s="69">
        <f t="shared" si="39"/>
        <v>4</v>
      </c>
      <c r="O856" s="69">
        <f t="shared" si="40"/>
        <v>0</v>
      </c>
      <c r="P856" s="70">
        <v>0</v>
      </c>
      <c r="Q856" s="70">
        <v>4</v>
      </c>
      <c r="R856" s="70">
        <v>4</v>
      </c>
      <c r="S856" s="68" t="str">
        <f t="shared" si="41"/>
        <v/>
      </c>
      <c r="T856" s="68"/>
      <c r="U856" s="68"/>
      <c r="V856" s="68"/>
      <c r="W856" s="9"/>
      <c r="X856" s="10"/>
      <c r="Y856" s="71">
        <f t="shared" si="42"/>
        <v>4</v>
      </c>
      <c r="Z856" s="73">
        <f t="shared" si="43"/>
        <v>4</v>
      </c>
      <c r="AA856" s="11" t="str">
        <f t="shared" si="44"/>
        <v/>
      </c>
      <c r="AB856" s="73">
        <f t="shared" si="45"/>
        <v>4</v>
      </c>
      <c r="AC856" s="11" t="str">
        <f t="shared" si="46"/>
        <v/>
      </c>
      <c r="AD856" s="73">
        <f t="shared" si="47"/>
        <v>0</v>
      </c>
      <c r="AE856" s="11" t="str">
        <f t="shared" si="48"/>
        <v/>
      </c>
      <c r="AF856" s="73">
        <f t="shared" si="49"/>
        <v>4.0008559999999997</v>
      </c>
      <c r="AG856" s="11" t="str">
        <f t="shared" si="50"/>
        <v/>
      </c>
      <c r="AH856" s="73">
        <f t="shared" si="51"/>
        <v>8.5599999999999999E-4</v>
      </c>
    </row>
    <row r="857" spans="1:34" ht="14.25" customHeight="1">
      <c r="A857" s="11">
        <v>842</v>
      </c>
      <c r="B857" s="66" t="s">
        <v>1179</v>
      </c>
      <c r="C857" s="67"/>
      <c r="D857" s="67">
        <v>42551</v>
      </c>
      <c r="E857" s="67"/>
      <c r="F857" s="67"/>
      <c r="G857" s="67"/>
      <c r="H857" s="67"/>
      <c r="I857" s="6" t="s">
        <v>1459</v>
      </c>
      <c r="J857" s="9">
        <v>4798600189</v>
      </c>
      <c r="K857" s="68">
        <v>42521</v>
      </c>
      <c r="L857" s="68" t="s">
        <v>230</v>
      </c>
      <c r="M857" s="68">
        <v>45291</v>
      </c>
      <c r="N857" s="69">
        <f t="shared" si="39"/>
        <v>-22</v>
      </c>
      <c r="O857" s="69" t="str">
        <f t="shared" si="40"/>
        <v>N/A</v>
      </c>
      <c r="P857" s="70">
        <v>22</v>
      </c>
      <c r="Q857" s="70"/>
      <c r="R857" s="70">
        <v>0</v>
      </c>
      <c r="S857" s="68">
        <f t="shared" si="41"/>
        <v>45291</v>
      </c>
      <c r="T857" s="68"/>
      <c r="U857" s="68">
        <v>45291</v>
      </c>
      <c r="V857" s="92">
        <v>45560</v>
      </c>
      <c r="W857" s="9"/>
      <c r="X857" s="10"/>
      <c r="Y857" s="65" t="str">
        <f t="shared" si="42"/>
        <v/>
      </c>
      <c r="Z857" s="11" t="str">
        <f t="shared" si="43"/>
        <v/>
      </c>
      <c r="AA857" s="73">
        <f t="shared" si="44"/>
        <v>-22</v>
      </c>
      <c r="AB857" s="11" t="str">
        <f t="shared" si="45"/>
        <v/>
      </c>
      <c r="AC857" s="11" t="str">
        <f t="shared" si="46"/>
        <v/>
      </c>
      <c r="AD857" s="11" t="str">
        <f t="shared" si="47"/>
        <v/>
      </c>
      <c r="AE857" s="73">
        <f t="shared" si="48"/>
        <v>-21.999143</v>
      </c>
      <c r="AF857" s="11" t="str">
        <f t="shared" si="49"/>
        <v/>
      </c>
      <c r="AG857" s="11" t="str">
        <f t="shared" si="50"/>
        <v/>
      </c>
      <c r="AH857" s="11" t="str">
        <f t="shared" si="51"/>
        <v/>
      </c>
    </row>
    <row r="858" spans="1:34" ht="14.25" customHeight="1">
      <c r="A858" s="11">
        <v>843</v>
      </c>
      <c r="B858" s="66"/>
      <c r="C858" s="67"/>
      <c r="D858" s="67"/>
      <c r="E858" s="67"/>
      <c r="F858" s="67"/>
      <c r="G858" s="67" t="s">
        <v>283</v>
      </c>
      <c r="H858" s="67">
        <v>43448</v>
      </c>
      <c r="I858" s="6" t="s">
        <v>1460</v>
      </c>
      <c r="J858" s="9">
        <v>4798600516</v>
      </c>
      <c r="K858" s="68">
        <v>43434</v>
      </c>
      <c r="L858" s="68" t="s">
        <v>230</v>
      </c>
      <c r="M858" s="68">
        <v>45747</v>
      </c>
      <c r="N858" s="69">
        <f t="shared" si="39"/>
        <v>-18</v>
      </c>
      <c r="O858" s="69" t="str">
        <f t="shared" si="40"/>
        <v>N/A</v>
      </c>
      <c r="P858" s="70">
        <v>42</v>
      </c>
      <c r="Q858" s="70"/>
      <c r="R858" s="70">
        <v>24</v>
      </c>
      <c r="S858" s="68">
        <f t="shared" si="41"/>
        <v>45721</v>
      </c>
      <c r="T858" s="68"/>
      <c r="U858" s="68"/>
      <c r="V858" s="68"/>
      <c r="W858" s="68">
        <v>45721</v>
      </c>
      <c r="X858" s="10"/>
      <c r="Y858" s="65" t="str">
        <f t="shared" si="42"/>
        <v/>
      </c>
      <c r="Z858" s="11" t="str">
        <f t="shared" si="43"/>
        <v/>
      </c>
      <c r="AA858" s="11" t="str">
        <f t="shared" si="44"/>
        <v/>
      </c>
      <c r="AB858" s="73">
        <f t="shared" si="45"/>
        <v>-18</v>
      </c>
      <c r="AC858" s="11" t="str">
        <f t="shared" si="46"/>
        <v/>
      </c>
      <c r="AD858" s="11" t="str">
        <f t="shared" si="47"/>
        <v/>
      </c>
      <c r="AE858" s="11" t="str">
        <f t="shared" si="48"/>
        <v/>
      </c>
      <c r="AF858" s="73">
        <f t="shared" si="49"/>
        <v>-17.999141999999999</v>
      </c>
      <c r="AG858" s="11" t="str">
        <f t="shared" si="50"/>
        <v/>
      </c>
      <c r="AH858" s="11" t="str">
        <f t="shared" si="51"/>
        <v/>
      </c>
    </row>
    <row r="859" spans="1:34" ht="14.25" customHeight="1">
      <c r="A859" s="11">
        <v>844</v>
      </c>
      <c r="B859" s="66"/>
      <c r="C859" s="67"/>
      <c r="D859" s="67"/>
      <c r="E859" s="67"/>
      <c r="F859" s="67"/>
      <c r="G859" s="67" t="s">
        <v>35</v>
      </c>
      <c r="H859" s="67">
        <v>45901</v>
      </c>
      <c r="I859" s="6" t="s">
        <v>1461</v>
      </c>
      <c r="J859" s="94">
        <v>4798603624</v>
      </c>
      <c r="K859" s="68">
        <v>45900</v>
      </c>
      <c r="L859" s="68">
        <v>46022</v>
      </c>
      <c r="M859" s="68">
        <v>46203</v>
      </c>
      <c r="N859" s="69">
        <f t="shared" si="39"/>
        <v>8</v>
      </c>
      <c r="O859" s="69">
        <f t="shared" si="40"/>
        <v>0</v>
      </c>
      <c r="P859" s="123">
        <v>0</v>
      </c>
      <c r="Q859" s="70">
        <v>8</v>
      </c>
      <c r="R859" s="70">
        <v>8</v>
      </c>
      <c r="S859" s="68" t="str">
        <f t="shared" si="41"/>
        <v/>
      </c>
      <c r="T859" s="68"/>
      <c r="U859" s="95"/>
      <c r="V859" s="68"/>
      <c r="W859" s="6"/>
      <c r="X859" s="10"/>
      <c r="Y859" s="71">
        <f t="shared" si="42"/>
        <v>8</v>
      </c>
      <c r="Z859" s="73">
        <f t="shared" si="43"/>
        <v>8</v>
      </c>
      <c r="AA859" s="11" t="str">
        <f t="shared" si="44"/>
        <v/>
      </c>
      <c r="AB859" s="73">
        <f t="shared" si="45"/>
        <v>8</v>
      </c>
      <c r="AC859" s="11" t="str">
        <f t="shared" si="46"/>
        <v/>
      </c>
      <c r="AD859" s="73">
        <f t="shared" si="47"/>
        <v>0</v>
      </c>
      <c r="AE859" s="11" t="str">
        <f t="shared" si="48"/>
        <v/>
      </c>
      <c r="AF859" s="73">
        <f t="shared" si="49"/>
        <v>8.0008590000000002</v>
      </c>
      <c r="AG859" s="11" t="str">
        <f t="shared" si="50"/>
        <v/>
      </c>
      <c r="AH859" s="73">
        <f t="shared" si="51"/>
        <v>8.5899999999999995E-4</v>
      </c>
    </row>
    <row r="860" spans="1:34" ht="14.25" customHeight="1">
      <c r="A860" s="11">
        <v>845</v>
      </c>
      <c r="B860" s="66"/>
      <c r="C860" s="67"/>
      <c r="D860" s="67"/>
      <c r="E860" s="67"/>
      <c r="F860" s="67"/>
      <c r="G860" s="67" t="s">
        <v>35</v>
      </c>
      <c r="H860" s="67">
        <v>45288</v>
      </c>
      <c r="I860" s="6" t="s">
        <v>1462</v>
      </c>
      <c r="J860" s="9">
        <v>4798700833</v>
      </c>
      <c r="K860" s="68">
        <v>45260</v>
      </c>
      <c r="L860" s="68">
        <v>46022</v>
      </c>
      <c r="M860" s="68">
        <v>46203</v>
      </c>
      <c r="N860" s="69">
        <f t="shared" si="39"/>
        <v>-82</v>
      </c>
      <c r="O860" s="69">
        <f t="shared" si="40"/>
        <v>-73</v>
      </c>
      <c r="P860" s="70">
        <v>194</v>
      </c>
      <c r="Q860" s="70">
        <v>185</v>
      </c>
      <c r="R860" s="70">
        <v>112</v>
      </c>
      <c r="S860" s="68" t="str">
        <f t="shared" si="41"/>
        <v/>
      </c>
      <c r="T860" s="68"/>
      <c r="U860" s="68"/>
      <c r="V860" s="68"/>
      <c r="W860" s="9"/>
      <c r="X860" s="10"/>
      <c r="Y860" s="71">
        <f t="shared" si="42"/>
        <v>185</v>
      </c>
      <c r="Z860" s="73">
        <f t="shared" si="43"/>
        <v>112</v>
      </c>
      <c r="AA860" s="11" t="str">
        <f t="shared" si="44"/>
        <v/>
      </c>
      <c r="AB860" s="73">
        <f t="shared" si="45"/>
        <v>-82</v>
      </c>
      <c r="AC860" s="11" t="str">
        <f t="shared" si="46"/>
        <v/>
      </c>
      <c r="AD860" s="73">
        <f t="shared" si="47"/>
        <v>-73</v>
      </c>
      <c r="AE860" s="11" t="str">
        <f t="shared" si="48"/>
        <v/>
      </c>
      <c r="AF860" s="73">
        <f t="shared" si="49"/>
        <v>-81.999139999999997</v>
      </c>
      <c r="AG860" s="11" t="str">
        <f t="shared" si="50"/>
        <v/>
      </c>
      <c r="AH860" s="73">
        <f t="shared" si="51"/>
        <v>-72.999139999999997</v>
      </c>
    </row>
    <row r="861" spans="1:34" ht="14.25" customHeight="1">
      <c r="A861" s="11">
        <v>846</v>
      </c>
      <c r="B861" s="66"/>
      <c r="C861" s="67"/>
      <c r="D861" s="67"/>
      <c r="E861" s="67"/>
      <c r="F861" s="67"/>
      <c r="G861" s="67" t="s">
        <v>35</v>
      </c>
      <c r="H861" s="67">
        <v>45499</v>
      </c>
      <c r="I861" s="6" t="s">
        <v>1463</v>
      </c>
      <c r="J861" s="9">
        <v>4798802177</v>
      </c>
      <c r="K861" s="68">
        <v>45473</v>
      </c>
      <c r="L861" s="68">
        <v>46022</v>
      </c>
      <c r="M861" s="68">
        <v>46203</v>
      </c>
      <c r="N861" s="69">
        <f t="shared" si="39"/>
        <v>4</v>
      </c>
      <c r="O861" s="69">
        <f t="shared" si="40"/>
        <v>0</v>
      </c>
      <c r="P861" s="70">
        <v>4</v>
      </c>
      <c r="Q861" s="70">
        <v>8</v>
      </c>
      <c r="R861" s="70">
        <v>8</v>
      </c>
      <c r="S861" s="68" t="str">
        <f t="shared" si="41"/>
        <v/>
      </c>
      <c r="T861" s="68"/>
      <c r="U861" s="68"/>
      <c r="V861" s="68"/>
      <c r="W861" s="9"/>
      <c r="X861" s="10"/>
      <c r="Y861" s="71">
        <f t="shared" si="42"/>
        <v>8</v>
      </c>
      <c r="Z861" s="73">
        <f t="shared" si="43"/>
        <v>8</v>
      </c>
      <c r="AA861" s="11" t="str">
        <f t="shared" si="44"/>
        <v/>
      </c>
      <c r="AB861" s="73">
        <f t="shared" si="45"/>
        <v>4</v>
      </c>
      <c r="AC861" s="11" t="str">
        <f t="shared" si="46"/>
        <v/>
      </c>
      <c r="AD861" s="73">
        <f t="shared" si="47"/>
        <v>0</v>
      </c>
      <c r="AE861" s="11" t="str">
        <f t="shared" si="48"/>
        <v/>
      </c>
      <c r="AF861" s="73">
        <f t="shared" si="49"/>
        <v>4.0008609999999996</v>
      </c>
      <c r="AG861" s="11" t="str">
        <f t="shared" si="50"/>
        <v/>
      </c>
      <c r="AH861" s="73">
        <f t="shared" si="51"/>
        <v>8.61E-4</v>
      </c>
    </row>
    <row r="862" spans="1:34" ht="14.25" customHeight="1">
      <c r="A862" s="11">
        <v>847</v>
      </c>
      <c r="B862" s="66"/>
      <c r="C862" s="67"/>
      <c r="D862" s="67"/>
      <c r="E862" s="67"/>
      <c r="F862" s="67"/>
      <c r="G862" s="67" t="s">
        <v>35</v>
      </c>
      <c r="H862" s="67">
        <v>45513</v>
      </c>
      <c r="I862" s="6" t="s">
        <v>1464</v>
      </c>
      <c r="J862" s="9">
        <v>4801701090</v>
      </c>
      <c r="K862" s="68">
        <v>45504</v>
      </c>
      <c r="L862" s="68">
        <v>46022</v>
      </c>
      <c r="M862" s="68">
        <v>46203</v>
      </c>
      <c r="N862" s="69">
        <f t="shared" si="39"/>
        <v>0</v>
      </c>
      <c r="O862" s="69">
        <f t="shared" si="40"/>
        <v>-1</v>
      </c>
      <c r="P862" s="70">
        <v>0</v>
      </c>
      <c r="Q862" s="70">
        <v>1</v>
      </c>
      <c r="R862" s="70">
        <v>0</v>
      </c>
      <c r="S862" s="68" t="str">
        <f t="shared" si="41"/>
        <v/>
      </c>
      <c r="T862" s="68"/>
      <c r="U862" s="68"/>
      <c r="V862" s="68"/>
      <c r="W862" s="9"/>
      <c r="X862" s="10"/>
      <c r="Y862" s="71">
        <f t="shared" si="42"/>
        <v>1</v>
      </c>
      <c r="Z862" s="73">
        <f t="shared" si="43"/>
        <v>0</v>
      </c>
      <c r="AA862" s="11" t="str">
        <f t="shared" si="44"/>
        <v/>
      </c>
      <c r="AB862" s="73">
        <f t="shared" si="45"/>
        <v>0</v>
      </c>
      <c r="AC862" s="11" t="str">
        <f t="shared" si="46"/>
        <v/>
      </c>
      <c r="AD862" s="73">
        <f t="shared" si="47"/>
        <v>-1</v>
      </c>
      <c r="AE862" s="11" t="str">
        <f t="shared" si="48"/>
        <v/>
      </c>
      <c r="AF862" s="73">
        <f t="shared" si="49"/>
        <v>8.6200000000000003E-4</v>
      </c>
      <c r="AG862" s="11" t="str">
        <f t="shared" si="50"/>
        <v/>
      </c>
      <c r="AH862" s="73">
        <f t="shared" si="51"/>
        <v>-0.99913799999999997</v>
      </c>
    </row>
    <row r="863" spans="1:34" ht="14.25" customHeight="1">
      <c r="A863" s="11">
        <v>848</v>
      </c>
      <c r="B863" s="66"/>
      <c r="C863" s="67"/>
      <c r="D863" s="67"/>
      <c r="E863" s="67"/>
      <c r="F863" s="67"/>
      <c r="G863" s="67" t="s">
        <v>24</v>
      </c>
      <c r="H863" s="67">
        <v>42572</v>
      </c>
      <c r="I863" s="6" t="s">
        <v>1465</v>
      </c>
      <c r="J863" s="9">
        <v>4808600122</v>
      </c>
      <c r="K863" s="68">
        <v>42551</v>
      </c>
      <c r="L863" s="68" t="s">
        <v>230</v>
      </c>
      <c r="M863" s="68">
        <v>45107</v>
      </c>
      <c r="N863" s="69">
        <f t="shared" si="39"/>
        <v>-16</v>
      </c>
      <c r="O863" s="69" t="str">
        <f t="shared" si="40"/>
        <v>N/A</v>
      </c>
      <c r="P863" s="70">
        <v>16</v>
      </c>
      <c r="Q863" s="70"/>
      <c r="R863" s="70">
        <v>0</v>
      </c>
      <c r="S863" s="68">
        <f t="shared" si="41"/>
        <v>45098</v>
      </c>
      <c r="T863" s="68">
        <v>45098</v>
      </c>
      <c r="U863" s="68"/>
      <c r="V863" s="68"/>
      <c r="W863" s="9"/>
      <c r="X863" s="10"/>
      <c r="Y863" s="65" t="str">
        <f t="shared" si="42"/>
        <v/>
      </c>
      <c r="Z863" s="11" t="str">
        <f t="shared" si="43"/>
        <v/>
      </c>
      <c r="AA863" s="11" t="str">
        <f t="shared" si="44"/>
        <v/>
      </c>
      <c r="AB863" s="73">
        <f t="shared" si="45"/>
        <v>-16</v>
      </c>
      <c r="AC863" s="11" t="str">
        <f t="shared" si="46"/>
        <v/>
      </c>
      <c r="AD863" s="11" t="str">
        <f t="shared" si="47"/>
        <v/>
      </c>
      <c r="AE863" s="11" t="str">
        <f t="shared" si="48"/>
        <v/>
      </c>
      <c r="AF863" s="73">
        <f t="shared" si="49"/>
        <v>-15.999136999999999</v>
      </c>
      <c r="AG863" s="11" t="str">
        <f t="shared" si="50"/>
        <v/>
      </c>
      <c r="AH863" s="11" t="str">
        <f t="shared" si="51"/>
        <v/>
      </c>
    </row>
    <row r="864" spans="1:34" ht="14.25" customHeight="1">
      <c r="A864" s="11">
        <v>849</v>
      </c>
      <c r="B864" s="66" t="s">
        <v>35</v>
      </c>
      <c r="C864" s="67">
        <v>42887</v>
      </c>
      <c r="D864" s="67"/>
      <c r="E864" s="67"/>
      <c r="F864" s="67"/>
      <c r="G864" s="67"/>
      <c r="H864" s="67"/>
      <c r="I864" s="6" t="s">
        <v>1466</v>
      </c>
      <c r="J864" s="9">
        <v>4818700248</v>
      </c>
      <c r="K864" s="68">
        <v>42886</v>
      </c>
      <c r="L864" s="68">
        <v>46022</v>
      </c>
      <c r="M864" s="68">
        <v>46203</v>
      </c>
      <c r="N864" s="69">
        <f t="shared" si="39"/>
        <v>16</v>
      </c>
      <c r="O864" s="69">
        <f t="shared" si="40"/>
        <v>-4</v>
      </c>
      <c r="P864" s="70">
        <v>4</v>
      </c>
      <c r="Q864" s="70">
        <v>24</v>
      </c>
      <c r="R864" s="70">
        <v>20</v>
      </c>
      <c r="S864" s="68" t="str">
        <f t="shared" si="41"/>
        <v/>
      </c>
      <c r="T864" s="68"/>
      <c r="U864" s="68"/>
      <c r="V864" s="68"/>
      <c r="W864" s="9"/>
      <c r="X864" s="10"/>
      <c r="Y864" s="71">
        <f t="shared" si="42"/>
        <v>24</v>
      </c>
      <c r="Z864" s="73">
        <f t="shared" si="43"/>
        <v>20</v>
      </c>
      <c r="AA864" s="73">
        <f t="shared" si="44"/>
        <v>16</v>
      </c>
      <c r="AB864" s="11" t="str">
        <f t="shared" si="45"/>
        <v/>
      </c>
      <c r="AC864" s="73">
        <f t="shared" si="46"/>
        <v>-4</v>
      </c>
      <c r="AD864" s="11" t="str">
        <f t="shared" si="47"/>
        <v/>
      </c>
      <c r="AE864" s="73">
        <f t="shared" si="48"/>
        <v>16.000864</v>
      </c>
      <c r="AF864" s="11" t="str">
        <f t="shared" si="49"/>
        <v/>
      </c>
      <c r="AG864" s="73">
        <f t="shared" si="50"/>
        <v>-3.999136</v>
      </c>
      <c r="AH864" s="11" t="str">
        <f t="shared" si="51"/>
        <v/>
      </c>
    </row>
    <row r="865" spans="1:34" ht="14.25" customHeight="1">
      <c r="A865" s="11">
        <v>850</v>
      </c>
      <c r="B865" s="66"/>
      <c r="C865" s="67"/>
      <c r="D865" s="67"/>
      <c r="E865" s="67"/>
      <c r="F865" s="67"/>
      <c r="G865" s="67" t="s">
        <v>35</v>
      </c>
      <c r="H865" s="67">
        <v>44845</v>
      </c>
      <c r="I865" s="6" t="s">
        <v>1467</v>
      </c>
      <c r="J865" s="9">
        <v>4818702829</v>
      </c>
      <c r="K865" s="68">
        <v>44834</v>
      </c>
      <c r="L865" s="68">
        <v>46022</v>
      </c>
      <c r="M865" s="68">
        <v>46203</v>
      </c>
      <c r="N865" s="69">
        <f t="shared" si="39"/>
        <v>1</v>
      </c>
      <c r="O865" s="69">
        <f t="shared" si="40"/>
        <v>-1</v>
      </c>
      <c r="P865" s="70">
        <v>0</v>
      </c>
      <c r="Q865" s="70">
        <v>2</v>
      </c>
      <c r="R865" s="70">
        <v>1</v>
      </c>
      <c r="S865" s="68" t="str">
        <f t="shared" si="41"/>
        <v/>
      </c>
      <c r="T865" s="68"/>
      <c r="U865" s="68"/>
      <c r="V865" s="68"/>
      <c r="W865" s="9"/>
      <c r="X865" s="10"/>
      <c r="Y865" s="71">
        <f t="shared" si="42"/>
        <v>2</v>
      </c>
      <c r="Z865" s="73">
        <f t="shared" si="43"/>
        <v>1</v>
      </c>
      <c r="AA865" s="11" t="str">
        <f t="shared" si="44"/>
        <v/>
      </c>
      <c r="AB865" s="73">
        <f t="shared" si="45"/>
        <v>1</v>
      </c>
      <c r="AC865" s="11" t="str">
        <f t="shared" si="46"/>
        <v/>
      </c>
      <c r="AD865" s="73">
        <f t="shared" si="47"/>
        <v>-1</v>
      </c>
      <c r="AE865" s="11" t="str">
        <f t="shared" si="48"/>
        <v/>
      </c>
      <c r="AF865" s="73">
        <f t="shared" si="49"/>
        <v>1.0008649999999999</v>
      </c>
      <c r="AG865" s="11" t="str">
        <f t="shared" si="50"/>
        <v/>
      </c>
      <c r="AH865" s="73">
        <f t="shared" si="51"/>
        <v>-0.999135</v>
      </c>
    </row>
    <row r="866" spans="1:34" ht="14.25" customHeight="1">
      <c r="A866" s="11">
        <v>851</v>
      </c>
      <c r="B866" s="66" t="s">
        <v>35</v>
      </c>
      <c r="C866" s="67">
        <v>45536</v>
      </c>
      <c r="D866" s="67"/>
      <c r="E866" s="67"/>
      <c r="F866" s="67"/>
      <c r="G866" s="67" t="s">
        <v>35</v>
      </c>
      <c r="H866" s="67">
        <v>44751</v>
      </c>
      <c r="I866" s="6" t="s">
        <v>1468</v>
      </c>
      <c r="J866" s="9">
        <v>4828702045</v>
      </c>
      <c r="K866" s="68">
        <v>44742</v>
      </c>
      <c r="L866" s="68">
        <v>46022</v>
      </c>
      <c r="M866" s="68">
        <v>46203</v>
      </c>
      <c r="N866" s="69">
        <f t="shared" si="39"/>
        <v>8</v>
      </c>
      <c r="O866" s="69">
        <f t="shared" si="40"/>
        <v>2</v>
      </c>
      <c r="P866" s="70">
        <v>4</v>
      </c>
      <c r="Q866" s="70">
        <v>10</v>
      </c>
      <c r="R866" s="70">
        <v>12</v>
      </c>
      <c r="S866" s="68" t="str">
        <f t="shared" si="41"/>
        <v/>
      </c>
      <c r="T866" s="68"/>
      <c r="U866" s="68"/>
      <c r="V866" s="68"/>
      <c r="W866" s="9"/>
      <c r="X866" s="10"/>
      <c r="Y866" s="71">
        <f t="shared" si="42"/>
        <v>10</v>
      </c>
      <c r="Z866" s="73">
        <f t="shared" si="43"/>
        <v>12</v>
      </c>
      <c r="AA866" s="73">
        <f t="shared" si="44"/>
        <v>8</v>
      </c>
      <c r="AB866" s="73">
        <f t="shared" si="45"/>
        <v>8</v>
      </c>
      <c r="AC866" s="73">
        <f t="shared" si="46"/>
        <v>2</v>
      </c>
      <c r="AD866" s="73">
        <f t="shared" si="47"/>
        <v>2</v>
      </c>
      <c r="AE866" s="73">
        <f t="shared" si="48"/>
        <v>8.0008660000000003</v>
      </c>
      <c r="AF866" s="73">
        <f t="shared" si="49"/>
        <v>8.0008660000000003</v>
      </c>
      <c r="AG866" s="73">
        <f t="shared" si="50"/>
        <v>2.0008659999999998</v>
      </c>
      <c r="AH866" s="73">
        <f t="shared" si="51"/>
        <v>2.0008659999999998</v>
      </c>
    </row>
    <row r="867" spans="1:34" ht="14.25" customHeight="1">
      <c r="A867" s="11">
        <v>852</v>
      </c>
      <c r="B867" s="66"/>
      <c r="C867" s="67"/>
      <c r="D867" s="67"/>
      <c r="E867" s="67"/>
      <c r="F867" s="67"/>
      <c r="G867" s="67" t="s">
        <v>35</v>
      </c>
      <c r="H867" s="67">
        <v>45862</v>
      </c>
      <c r="I867" s="6" t="s">
        <v>1469</v>
      </c>
      <c r="J867" s="94">
        <v>4848102321</v>
      </c>
      <c r="K867" s="68">
        <v>45838</v>
      </c>
      <c r="L867" s="68">
        <v>46022</v>
      </c>
      <c r="M867" s="68">
        <v>46203</v>
      </c>
      <c r="N867" s="69">
        <f t="shared" si="39"/>
        <v>4</v>
      </c>
      <c r="O867" s="69">
        <f t="shared" si="40"/>
        <v>1</v>
      </c>
      <c r="P867" s="70">
        <v>42</v>
      </c>
      <c r="Q867" s="70">
        <v>45</v>
      </c>
      <c r="R867" s="70">
        <v>46</v>
      </c>
      <c r="S867" s="68" t="str">
        <f t="shared" si="41"/>
        <v/>
      </c>
      <c r="T867" s="68"/>
      <c r="U867" s="95"/>
      <c r="V867" s="68"/>
      <c r="W867" s="6"/>
      <c r="X867" s="10"/>
      <c r="Y867" s="71">
        <f t="shared" si="42"/>
        <v>45</v>
      </c>
      <c r="Z867" s="73">
        <f t="shared" si="43"/>
        <v>46</v>
      </c>
      <c r="AA867" s="11" t="str">
        <f t="shared" si="44"/>
        <v/>
      </c>
      <c r="AB867" s="73">
        <f t="shared" si="45"/>
        <v>4</v>
      </c>
      <c r="AC867" s="11" t="str">
        <f t="shared" si="46"/>
        <v/>
      </c>
      <c r="AD867" s="73">
        <f t="shared" si="47"/>
        <v>1</v>
      </c>
      <c r="AE867" s="11" t="str">
        <f t="shared" si="48"/>
        <v/>
      </c>
      <c r="AF867" s="73">
        <f t="shared" si="49"/>
        <v>4.0008670000000004</v>
      </c>
      <c r="AG867" s="11" t="str">
        <f t="shared" si="50"/>
        <v/>
      </c>
      <c r="AH867" s="73">
        <f t="shared" si="51"/>
        <v>1.000867</v>
      </c>
    </row>
    <row r="868" spans="1:34" ht="14.25" customHeight="1">
      <c r="A868" s="11">
        <v>853</v>
      </c>
      <c r="B868" s="66"/>
      <c r="C868" s="67"/>
      <c r="D868" s="67"/>
      <c r="E868" s="67"/>
      <c r="F868" s="67"/>
      <c r="G868" s="67" t="s">
        <v>35</v>
      </c>
      <c r="H868" s="67">
        <v>45765</v>
      </c>
      <c r="I868" s="6" t="s">
        <v>1470</v>
      </c>
      <c r="J868" s="9">
        <v>4848801812</v>
      </c>
      <c r="K868" s="68">
        <v>45747</v>
      </c>
      <c r="L868" s="68">
        <v>46022</v>
      </c>
      <c r="M868" s="68">
        <v>46203</v>
      </c>
      <c r="N868" s="69">
        <f t="shared" si="39"/>
        <v>11</v>
      </c>
      <c r="O868" s="69">
        <f t="shared" si="40"/>
        <v>14</v>
      </c>
      <c r="P868" s="70">
        <v>61</v>
      </c>
      <c r="Q868" s="70">
        <v>58</v>
      </c>
      <c r="R868" s="70">
        <v>72</v>
      </c>
      <c r="S868" s="68" t="str">
        <f t="shared" si="41"/>
        <v/>
      </c>
      <c r="T868" s="68"/>
      <c r="U868" s="68"/>
      <c r="V868" s="68"/>
      <c r="W868" s="9"/>
      <c r="X868" s="10"/>
      <c r="Y868" s="71">
        <f t="shared" si="42"/>
        <v>58</v>
      </c>
      <c r="Z868" s="73">
        <f t="shared" si="43"/>
        <v>72</v>
      </c>
      <c r="AA868" s="11" t="str">
        <f t="shared" si="44"/>
        <v/>
      </c>
      <c r="AB868" s="73">
        <f t="shared" si="45"/>
        <v>11</v>
      </c>
      <c r="AC868" s="11" t="str">
        <f t="shared" si="46"/>
        <v/>
      </c>
      <c r="AD868" s="73">
        <f t="shared" si="47"/>
        <v>14</v>
      </c>
      <c r="AE868" s="11" t="str">
        <f t="shared" si="48"/>
        <v/>
      </c>
      <c r="AF868" s="73">
        <f t="shared" si="49"/>
        <v>11.000868000000001</v>
      </c>
      <c r="AG868" s="11" t="str">
        <f t="shared" si="50"/>
        <v/>
      </c>
      <c r="AH868" s="73">
        <f t="shared" si="51"/>
        <v>14.000868000000001</v>
      </c>
    </row>
    <row r="869" spans="1:34" ht="14.25" customHeight="1">
      <c r="A869" s="11">
        <v>854</v>
      </c>
      <c r="B869" s="66"/>
      <c r="C869" s="67"/>
      <c r="D869" s="67"/>
      <c r="E869" s="67"/>
      <c r="F869" s="67"/>
      <c r="G869" s="67" t="s">
        <v>35</v>
      </c>
      <c r="H869" s="67">
        <v>45590</v>
      </c>
      <c r="I869" s="6" t="s">
        <v>1471</v>
      </c>
      <c r="J869" s="9">
        <v>4858703363</v>
      </c>
      <c r="K869" s="68">
        <v>45565</v>
      </c>
      <c r="L869" s="68">
        <v>46022</v>
      </c>
      <c r="M869" s="68">
        <v>46203</v>
      </c>
      <c r="N869" s="69">
        <f t="shared" si="39"/>
        <v>11</v>
      </c>
      <c r="O869" s="69">
        <f t="shared" si="40"/>
        <v>5</v>
      </c>
      <c r="P869" s="70">
        <v>0</v>
      </c>
      <c r="Q869" s="70">
        <v>6</v>
      </c>
      <c r="R869" s="70">
        <v>11</v>
      </c>
      <c r="S869" s="68" t="str">
        <f t="shared" si="41"/>
        <v/>
      </c>
      <c r="T869" s="68"/>
      <c r="U869" s="68"/>
      <c r="V869" s="68"/>
      <c r="W869" s="9"/>
      <c r="X869" s="10"/>
      <c r="Y869" s="71">
        <f t="shared" si="42"/>
        <v>6</v>
      </c>
      <c r="Z869" s="73">
        <f t="shared" si="43"/>
        <v>11</v>
      </c>
      <c r="AA869" s="11" t="str">
        <f t="shared" si="44"/>
        <v/>
      </c>
      <c r="AB869" s="73">
        <f t="shared" si="45"/>
        <v>11</v>
      </c>
      <c r="AC869" s="11" t="str">
        <f t="shared" si="46"/>
        <v/>
      </c>
      <c r="AD869" s="73">
        <f t="shared" si="47"/>
        <v>5</v>
      </c>
      <c r="AE869" s="11" t="str">
        <f t="shared" si="48"/>
        <v/>
      </c>
      <c r="AF869" s="73">
        <f t="shared" si="49"/>
        <v>11.000869</v>
      </c>
      <c r="AG869" s="11" t="str">
        <f t="shared" si="50"/>
        <v/>
      </c>
      <c r="AH869" s="73">
        <f t="shared" si="51"/>
        <v>5.0008689999999998</v>
      </c>
    </row>
    <row r="870" spans="1:34" ht="14.25" customHeight="1">
      <c r="A870" s="11">
        <v>855</v>
      </c>
      <c r="B870" s="66" t="s">
        <v>35</v>
      </c>
      <c r="C870" s="67">
        <v>45078</v>
      </c>
      <c r="D870" s="67"/>
      <c r="E870" s="67"/>
      <c r="F870" s="67"/>
      <c r="G870" s="67"/>
      <c r="H870" s="67"/>
      <c r="I870" s="6" t="s">
        <v>1472</v>
      </c>
      <c r="J870" s="9">
        <v>4868101236</v>
      </c>
      <c r="K870" s="68">
        <v>45077</v>
      </c>
      <c r="L870" s="68">
        <v>46022</v>
      </c>
      <c r="M870" s="68">
        <v>46203</v>
      </c>
      <c r="N870" s="69">
        <f t="shared" si="39"/>
        <v>3</v>
      </c>
      <c r="O870" s="69">
        <f t="shared" si="40"/>
        <v>1</v>
      </c>
      <c r="P870" s="70">
        <v>5</v>
      </c>
      <c r="Q870" s="70">
        <v>7</v>
      </c>
      <c r="R870" s="70">
        <v>8</v>
      </c>
      <c r="S870" s="68" t="str">
        <f t="shared" si="41"/>
        <v/>
      </c>
      <c r="T870" s="68"/>
      <c r="U870" s="68"/>
      <c r="V870" s="68"/>
      <c r="W870" s="9"/>
      <c r="X870" s="10"/>
      <c r="Y870" s="71">
        <f t="shared" si="42"/>
        <v>7</v>
      </c>
      <c r="Z870" s="73">
        <f t="shared" si="43"/>
        <v>8</v>
      </c>
      <c r="AA870" s="73">
        <f t="shared" si="44"/>
        <v>3</v>
      </c>
      <c r="AB870" s="11" t="str">
        <f t="shared" si="45"/>
        <v/>
      </c>
      <c r="AC870" s="73">
        <f t="shared" si="46"/>
        <v>1</v>
      </c>
      <c r="AD870" s="11" t="str">
        <f t="shared" si="47"/>
        <v/>
      </c>
      <c r="AE870" s="73">
        <f t="shared" si="48"/>
        <v>3.0008699999999999</v>
      </c>
      <c r="AF870" s="11" t="str">
        <f t="shared" si="49"/>
        <v/>
      </c>
      <c r="AG870" s="73">
        <f t="shared" si="50"/>
        <v>1.0008699999999999</v>
      </c>
      <c r="AH870" s="11" t="str">
        <f t="shared" si="51"/>
        <v/>
      </c>
    </row>
    <row r="871" spans="1:34" ht="14.25" customHeight="1">
      <c r="A871" s="11">
        <v>856</v>
      </c>
      <c r="B871" s="121" t="s">
        <v>24</v>
      </c>
      <c r="C871" s="67">
        <v>43780</v>
      </c>
      <c r="D871" s="67"/>
      <c r="E871" s="67"/>
      <c r="F871" s="67"/>
      <c r="G871" s="67"/>
      <c r="H871" s="67"/>
      <c r="I871" s="21" t="s">
        <v>1473</v>
      </c>
      <c r="J871" s="37">
        <v>4868701733</v>
      </c>
      <c r="K871" s="126">
        <v>43769</v>
      </c>
      <c r="L871" s="68" t="s">
        <v>230</v>
      </c>
      <c r="M871" s="126">
        <v>45535</v>
      </c>
      <c r="N871" s="69">
        <f t="shared" si="39"/>
        <v>0</v>
      </c>
      <c r="O871" s="69" t="str">
        <f t="shared" si="40"/>
        <v>N/A</v>
      </c>
      <c r="P871" s="78">
        <v>0</v>
      </c>
      <c r="Q871" s="78"/>
      <c r="R871" s="78">
        <v>0</v>
      </c>
      <c r="S871" s="68">
        <f t="shared" si="41"/>
        <v>45518</v>
      </c>
      <c r="T871" s="68">
        <v>45518</v>
      </c>
      <c r="U871" s="95"/>
      <c r="V871" s="68"/>
      <c r="W871" s="6"/>
      <c r="X871" s="93" t="s">
        <v>1474</v>
      </c>
      <c r="Y871" s="65" t="str">
        <f t="shared" si="42"/>
        <v/>
      </c>
      <c r="Z871" s="11" t="str">
        <f t="shared" si="43"/>
        <v/>
      </c>
      <c r="AA871" s="73">
        <f t="shared" si="44"/>
        <v>0</v>
      </c>
      <c r="AB871" s="11" t="str">
        <f t="shared" si="45"/>
        <v/>
      </c>
      <c r="AC871" s="11" t="str">
        <f t="shared" si="46"/>
        <v/>
      </c>
      <c r="AD871" s="11" t="str">
        <f t="shared" si="47"/>
        <v/>
      </c>
      <c r="AE871" s="73">
        <f t="shared" si="48"/>
        <v>8.7100000000000003E-4</v>
      </c>
      <c r="AF871" s="11" t="str">
        <f t="shared" si="49"/>
        <v/>
      </c>
      <c r="AG871" s="11" t="str">
        <f t="shared" si="50"/>
        <v/>
      </c>
      <c r="AH871" s="11" t="str">
        <f t="shared" si="51"/>
        <v/>
      </c>
    </row>
    <row r="872" spans="1:34" ht="14.25" customHeight="1">
      <c r="A872" s="11">
        <v>857</v>
      </c>
      <c r="B872" s="66"/>
      <c r="C872" s="67"/>
      <c r="D872" s="67"/>
      <c r="E872" s="67"/>
      <c r="F872" s="67"/>
      <c r="G872" s="67" t="s">
        <v>35</v>
      </c>
      <c r="H872" s="67">
        <v>42515</v>
      </c>
      <c r="I872" s="6" t="s">
        <v>1475</v>
      </c>
      <c r="J872" s="9">
        <v>4878600098</v>
      </c>
      <c r="K872" s="68">
        <v>42490</v>
      </c>
      <c r="L872" s="68">
        <v>46022</v>
      </c>
      <c r="M872" s="68">
        <v>46203</v>
      </c>
      <c r="N872" s="69">
        <f t="shared" si="39"/>
        <v>-16</v>
      </c>
      <c r="O872" s="69">
        <f t="shared" si="40"/>
        <v>-1</v>
      </c>
      <c r="P872" s="70">
        <v>16</v>
      </c>
      <c r="Q872" s="70">
        <v>1</v>
      </c>
      <c r="R872" s="70">
        <v>0</v>
      </c>
      <c r="S872" s="68" t="str">
        <f t="shared" si="41"/>
        <v/>
      </c>
      <c r="T872" s="68"/>
      <c r="U872" s="68"/>
      <c r="V872" s="68"/>
      <c r="W872" s="9"/>
      <c r="X872" s="10"/>
      <c r="Y872" s="71">
        <f t="shared" si="42"/>
        <v>1</v>
      </c>
      <c r="Z872" s="73">
        <f t="shared" si="43"/>
        <v>0</v>
      </c>
      <c r="AA872" s="11" t="str">
        <f t="shared" si="44"/>
        <v/>
      </c>
      <c r="AB872" s="73">
        <f t="shared" si="45"/>
        <v>-16</v>
      </c>
      <c r="AC872" s="11" t="str">
        <f t="shared" si="46"/>
        <v/>
      </c>
      <c r="AD872" s="73">
        <f t="shared" si="47"/>
        <v>-1</v>
      </c>
      <c r="AE872" s="11" t="str">
        <f t="shared" si="48"/>
        <v/>
      </c>
      <c r="AF872" s="73">
        <f t="shared" si="49"/>
        <v>-15.999128000000001</v>
      </c>
      <c r="AG872" s="11" t="str">
        <f t="shared" si="50"/>
        <v/>
      </c>
      <c r="AH872" s="73">
        <f t="shared" si="51"/>
        <v>-0.99912800000000002</v>
      </c>
    </row>
    <row r="873" spans="1:34" ht="14.25" customHeight="1">
      <c r="A873" s="11">
        <v>858</v>
      </c>
      <c r="B873" s="66"/>
      <c r="C873" s="67"/>
      <c r="D873" s="67"/>
      <c r="E873" s="67"/>
      <c r="F873" s="67"/>
      <c r="G873" s="67" t="s">
        <v>35</v>
      </c>
      <c r="H873" s="67">
        <v>43718</v>
      </c>
      <c r="I873" s="6" t="s">
        <v>1476</v>
      </c>
      <c r="J873" s="9">
        <v>4878600195</v>
      </c>
      <c r="K873" s="68">
        <v>43708</v>
      </c>
      <c r="L873" s="68">
        <v>46022</v>
      </c>
      <c r="M873" s="68">
        <v>46203</v>
      </c>
      <c r="N873" s="69">
        <f t="shared" si="39"/>
        <v>38</v>
      </c>
      <c r="O873" s="69">
        <f t="shared" si="40"/>
        <v>8</v>
      </c>
      <c r="P873" s="70">
        <v>18</v>
      </c>
      <c r="Q873" s="70">
        <v>48</v>
      </c>
      <c r="R873" s="70">
        <v>56</v>
      </c>
      <c r="S873" s="68" t="str">
        <f t="shared" si="41"/>
        <v/>
      </c>
      <c r="T873" s="68"/>
      <c r="U873" s="68"/>
      <c r="V873" s="68"/>
      <c r="W873" s="9"/>
      <c r="X873" s="10"/>
      <c r="Y873" s="71">
        <f t="shared" si="42"/>
        <v>48</v>
      </c>
      <c r="Z873" s="73">
        <f t="shared" si="43"/>
        <v>56</v>
      </c>
      <c r="AA873" s="11" t="str">
        <f t="shared" si="44"/>
        <v/>
      </c>
      <c r="AB873" s="73">
        <f t="shared" si="45"/>
        <v>38</v>
      </c>
      <c r="AC873" s="11" t="str">
        <f t="shared" si="46"/>
        <v/>
      </c>
      <c r="AD873" s="73">
        <f t="shared" si="47"/>
        <v>8</v>
      </c>
      <c r="AE873" s="11" t="str">
        <f t="shared" si="48"/>
        <v/>
      </c>
      <c r="AF873" s="73">
        <f t="shared" si="49"/>
        <v>38.000872999999999</v>
      </c>
      <c r="AG873" s="11" t="str">
        <f t="shared" si="50"/>
        <v/>
      </c>
      <c r="AH873" s="73">
        <f t="shared" si="51"/>
        <v>8.0008730000000003</v>
      </c>
    </row>
    <row r="874" spans="1:34" ht="14.25" customHeight="1">
      <c r="A874" s="11">
        <v>859</v>
      </c>
      <c r="B874" s="66"/>
      <c r="C874" s="67"/>
      <c r="D874" s="67"/>
      <c r="E874" s="67"/>
      <c r="F874" s="67"/>
      <c r="G874" s="67" t="s">
        <v>35</v>
      </c>
      <c r="H874" s="67">
        <v>44463</v>
      </c>
      <c r="I874" s="6" t="s">
        <v>1477</v>
      </c>
      <c r="J874" s="9">
        <v>4888601538</v>
      </c>
      <c r="K874" s="68">
        <v>44439</v>
      </c>
      <c r="L874" s="68">
        <v>46022</v>
      </c>
      <c r="M874" s="68">
        <v>46203</v>
      </c>
      <c r="N874" s="69">
        <f t="shared" si="39"/>
        <v>18</v>
      </c>
      <c r="O874" s="69">
        <f t="shared" si="40"/>
        <v>1</v>
      </c>
      <c r="P874" s="70">
        <v>12</v>
      </c>
      <c r="Q874" s="70">
        <v>29</v>
      </c>
      <c r="R874" s="70">
        <v>30</v>
      </c>
      <c r="S874" s="68" t="str">
        <f t="shared" si="41"/>
        <v/>
      </c>
      <c r="T874" s="68"/>
      <c r="U874" s="68"/>
      <c r="V874" s="68"/>
      <c r="W874" s="9"/>
      <c r="X874" s="10"/>
      <c r="Y874" s="71">
        <f t="shared" si="42"/>
        <v>29</v>
      </c>
      <c r="Z874" s="73">
        <f t="shared" si="43"/>
        <v>30</v>
      </c>
      <c r="AA874" s="11" t="str">
        <f t="shared" si="44"/>
        <v/>
      </c>
      <c r="AB874" s="73">
        <f t="shared" si="45"/>
        <v>18</v>
      </c>
      <c r="AC874" s="11" t="str">
        <f t="shared" si="46"/>
        <v/>
      </c>
      <c r="AD874" s="73">
        <f t="shared" si="47"/>
        <v>1</v>
      </c>
      <c r="AE874" s="11" t="str">
        <f t="shared" si="48"/>
        <v/>
      </c>
      <c r="AF874" s="73">
        <f t="shared" si="49"/>
        <v>18.000874</v>
      </c>
      <c r="AG874" s="11" t="str">
        <f t="shared" si="50"/>
        <v/>
      </c>
      <c r="AH874" s="73">
        <f t="shared" si="51"/>
        <v>1.000874</v>
      </c>
    </row>
    <row r="875" spans="1:34" ht="14.25" customHeight="1">
      <c r="A875" s="11">
        <v>860</v>
      </c>
      <c r="B875" s="66"/>
      <c r="C875" s="67"/>
      <c r="D875" s="67"/>
      <c r="E875" s="67"/>
      <c r="F875" s="67"/>
      <c r="G875" s="67" t="s">
        <v>35</v>
      </c>
      <c r="H875" s="67">
        <v>45090</v>
      </c>
      <c r="I875" s="6" t="s">
        <v>1478</v>
      </c>
      <c r="J875" s="9">
        <v>4888802579</v>
      </c>
      <c r="K875" s="68">
        <v>45077</v>
      </c>
      <c r="L875" s="68">
        <v>46022</v>
      </c>
      <c r="M875" s="68">
        <v>46203</v>
      </c>
      <c r="N875" s="69">
        <f t="shared" si="39"/>
        <v>1</v>
      </c>
      <c r="O875" s="69">
        <f t="shared" si="40"/>
        <v>-4</v>
      </c>
      <c r="P875" s="70">
        <v>2</v>
      </c>
      <c r="Q875" s="70">
        <v>7</v>
      </c>
      <c r="R875" s="70">
        <v>3</v>
      </c>
      <c r="S875" s="68" t="str">
        <f t="shared" si="41"/>
        <v/>
      </c>
      <c r="T875" s="68"/>
      <c r="U875" s="68"/>
      <c r="V875" s="68"/>
      <c r="W875" s="9"/>
      <c r="X875" s="10"/>
      <c r="Y875" s="71">
        <f t="shared" si="42"/>
        <v>7</v>
      </c>
      <c r="Z875" s="73">
        <f t="shared" si="43"/>
        <v>3</v>
      </c>
      <c r="AA875" s="11" t="str">
        <f t="shared" si="44"/>
        <v/>
      </c>
      <c r="AB875" s="73">
        <f t="shared" si="45"/>
        <v>1</v>
      </c>
      <c r="AC875" s="11" t="str">
        <f t="shared" si="46"/>
        <v/>
      </c>
      <c r="AD875" s="73">
        <f t="shared" si="47"/>
        <v>-4</v>
      </c>
      <c r="AE875" s="11" t="str">
        <f t="shared" si="48"/>
        <v/>
      </c>
      <c r="AF875" s="73">
        <f t="shared" si="49"/>
        <v>1.000875</v>
      </c>
      <c r="AG875" s="11" t="str">
        <f t="shared" si="50"/>
        <v/>
      </c>
      <c r="AH875" s="73">
        <f t="shared" si="51"/>
        <v>-3.9991249999999998</v>
      </c>
    </row>
    <row r="876" spans="1:34" ht="14.25" customHeight="1">
      <c r="A876" s="11">
        <v>861</v>
      </c>
      <c r="B876" s="66"/>
      <c r="C876" s="67"/>
      <c r="D876" s="67"/>
      <c r="E876" s="67"/>
      <c r="F876" s="67"/>
      <c r="G876" s="67" t="s">
        <v>35</v>
      </c>
      <c r="H876" s="67">
        <v>42976</v>
      </c>
      <c r="I876" s="6" t="s">
        <v>1479</v>
      </c>
      <c r="J876" s="9">
        <v>4898600740</v>
      </c>
      <c r="K876" s="68">
        <v>42947</v>
      </c>
      <c r="L876" s="68">
        <v>46022</v>
      </c>
      <c r="M876" s="68">
        <v>46203</v>
      </c>
      <c r="N876" s="69">
        <f t="shared" si="39"/>
        <v>0</v>
      </c>
      <c r="O876" s="69">
        <f t="shared" si="40"/>
        <v>0</v>
      </c>
      <c r="P876" s="70">
        <v>0</v>
      </c>
      <c r="Q876" s="70">
        <v>0</v>
      </c>
      <c r="R876" s="70">
        <v>0</v>
      </c>
      <c r="S876" s="68" t="str">
        <f t="shared" si="41"/>
        <v/>
      </c>
      <c r="T876" s="68"/>
      <c r="U876" s="68"/>
      <c r="V876" s="68"/>
      <c r="W876" s="9"/>
      <c r="X876" s="10"/>
      <c r="Y876" s="71">
        <f t="shared" si="42"/>
        <v>0</v>
      </c>
      <c r="Z876" s="73">
        <f t="shared" si="43"/>
        <v>0</v>
      </c>
      <c r="AA876" s="11" t="str">
        <f t="shared" si="44"/>
        <v/>
      </c>
      <c r="AB876" s="73">
        <f t="shared" si="45"/>
        <v>0</v>
      </c>
      <c r="AC876" s="11" t="str">
        <f t="shared" si="46"/>
        <v/>
      </c>
      <c r="AD876" s="73">
        <f t="shared" si="47"/>
        <v>0</v>
      </c>
      <c r="AE876" s="11" t="str">
        <f t="shared" si="48"/>
        <v/>
      </c>
      <c r="AF876" s="73">
        <f t="shared" si="49"/>
        <v>8.7600000000000004E-4</v>
      </c>
      <c r="AG876" s="11" t="str">
        <f t="shared" si="50"/>
        <v/>
      </c>
      <c r="AH876" s="73">
        <f t="shared" si="51"/>
        <v>8.7600000000000004E-4</v>
      </c>
    </row>
    <row r="877" spans="1:34" ht="14.25" customHeight="1">
      <c r="A877" s="11">
        <v>862</v>
      </c>
      <c r="B877" s="66"/>
      <c r="C877" s="67"/>
      <c r="D877" s="67"/>
      <c r="E877" s="67"/>
      <c r="F877" s="67"/>
      <c r="G877" s="67" t="s">
        <v>35</v>
      </c>
      <c r="H877" s="67">
        <v>45187</v>
      </c>
      <c r="I877" s="6" t="s">
        <v>1480</v>
      </c>
      <c r="J877" s="9">
        <v>4918602950</v>
      </c>
      <c r="K877" s="68">
        <v>45169</v>
      </c>
      <c r="L877" s="68">
        <v>46022</v>
      </c>
      <c r="M877" s="68">
        <v>46203</v>
      </c>
      <c r="N877" s="69">
        <f t="shared" si="39"/>
        <v>54</v>
      </c>
      <c r="O877" s="69">
        <f t="shared" si="40"/>
        <v>3</v>
      </c>
      <c r="P877" s="70">
        <v>4</v>
      </c>
      <c r="Q877" s="70">
        <v>55</v>
      </c>
      <c r="R877" s="70">
        <v>58</v>
      </c>
      <c r="S877" s="68" t="str">
        <f t="shared" si="41"/>
        <v/>
      </c>
      <c r="T877" s="68"/>
      <c r="U877" s="68"/>
      <c r="V877" s="68"/>
      <c r="W877" s="9"/>
      <c r="X877" s="10"/>
      <c r="Y877" s="71">
        <f t="shared" si="42"/>
        <v>55</v>
      </c>
      <c r="Z877" s="73">
        <f t="shared" si="43"/>
        <v>58</v>
      </c>
      <c r="AA877" s="11" t="str">
        <f t="shared" si="44"/>
        <v/>
      </c>
      <c r="AB877" s="73">
        <f t="shared" si="45"/>
        <v>54</v>
      </c>
      <c r="AC877" s="11" t="str">
        <f t="shared" si="46"/>
        <v/>
      </c>
      <c r="AD877" s="73">
        <f t="shared" si="47"/>
        <v>3</v>
      </c>
      <c r="AE877" s="11" t="str">
        <f t="shared" si="48"/>
        <v/>
      </c>
      <c r="AF877" s="73">
        <f t="shared" si="49"/>
        <v>54.000877000000003</v>
      </c>
      <c r="AG877" s="11" t="str">
        <f t="shared" si="50"/>
        <v/>
      </c>
      <c r="AH877" s="73">
        <f t="shared" si="51"/>
        <v>3.000877</v>
      </c>
    </row>
    <row r="878" spans="1:34" ht="14.25" customHeight="1">
      <c r="A878" s="11">
        <v>863</v>
      </c>
      <c r="B878" s="66"/>
      <c r="C878" s="67"/>
      <c r="D878" s="67"/>
      <c r="E878" s="67"/>
      <c r="F878" s="67"/>
      <c r="G878" s="67" t="s">
        <v>35</v>
      </c>
      <c r="H878" s="67">
        <v>45471</v>
      </c>
      <c r="I878" s="6" t="s">
        <v>1481</v>
      </c>
      <c r="J878" s="9">
        <v>4918702864</v>
      </c>
      <c r="K878" s="68">
        <v>45443</v>
      </c>
      <c r="L878" s="68">
        <v>46022</v>
      </c>
      <c r="M878" s="68">
        <v>46203</v>
      </c>
      <c r="N878" s="69">
        <f t="shared" si="39"/>
        <v>2</v>
      </c>
      <c r="O878" s="69">
        <f t="shared" si="40"/>
        <v>-1</v>
      </c>
      <c r="P878" s="70">
        <v>4</v>
      </c>
      <c r="Q878" s="70">
        <v>7</v>
      </c>
      <c r="R878" s="70">
        <v>6</v>
      </c>
      <c r="S878" s="68" t="str">
        <f t="shared" si="41"/>
        <v/>
      </c>
      <c r="T878" s="68"/>
      <c r="U878" s="68"/>
      <c r="V878" s="68"/>
      <c r="W878" s="9"/>
      <c r="X878" s="10"/>
      <c r="Y878" s="71">
        <f t="shared" si="42"/>
        <v>7</v>
      </c>
      <c r="Z878" s="73">
        <f t="shared" si="43"/>
        <v>6</v>
      </c>
      <c r="AA878" s="11" t="str">
        <f t="shared" si="44"/>
        <v/>
      </c>
      <c r="AB878" s="73">
        <f t="shared" si="45"/>
        <v>2</v>
      </c>
      <c r="AC878" s="11" t="str">
        <f t="shared" si="46"/>
        <v/>
      </c>
      <c r="AD878" s="73">
        <f t="shared" si="47"/>
        <v>-1</v>
      </c>
      <c r="AE878" s="11" t="str">
        <f t="shared" si="48"/>
        <v/>
      </c>
      <c r="AF878" s="73">
        <f t="shared" si="49"/>
        <v>2.0008780000000002</v>
      </c>
      <c r="AG878" s="11" t="str">
        <f t="shared" si="50"/>
        <v/>
      </c>
      <c r="AH878" s="73">
        <f t="shared" si="51"/>
        <v>-0.99912199999999995</v>
      </c>
    </row>
    <row r="879" spans="1:34" ht="14.25" customHeight="1">
      <c r="A879" s="11">
        <v>864</v>
      </c>
      <c r="B879" s="66" t="s">
        <v>35</v>
      </c>
      <c r="C879" s="67">
        <v>44805</v>
      </c>
      <c r="D879" s="67">
        <v>44399</v>
      </c>
      <c r="E879" s="67"/>
      <c r="F879" s="67"/>
      <c r="G879" s="67" t="s">
        <v>35</v>
      </c>
      <c r="H879" s="67">
        <v>44435</v>
      </c>
      <c r="I879" s="6" t="s">
        <v>1482</v>
      </c>
      <c r="J879" s="9">
        <v>4928701193</v>
      </c>
      <c r="K879" s="68">
        <v>44377</v>
      </c>
      <c r="L879" s="68">
        <v>46022</v>
      </c>
      <c r="M879" s="68">
        <v>46203</v>
      </c>
      <c r="N879" s="69">
        <f t="shared" si="39"/>
        <v>5</v>
      </c>
      <c r="O879" s="69">
        <f t="shared" si="40"/>
        <v>-16</v>
      </c>
      <c r="P879" s="70">
        <v>4</v>
      </c>
      <c r="Q879" s="70">
        <v>25</v>
      </c>
      <c r="R879" s="70">
        <v>9</v>
      </c>
      <c r="S879" s="68" t="str">
        <f t="shared" si="41"/>
        <v/>
      </c>
      <c r="T879" s="68"/>
      <c r="U879" s="68"/>
      <c r="V879" s="68"/>
      <c r="W879" s="9"/>
      <c r="X879" s="10"/>
      <c r="Y879" s="71">
        <f t="shared" si="42"/>
        <v>25</v>
      </c>
      <c r="Z879" s="73">
        <f t="shared" si="43"/>
        <v>9</v>
      </c>
      <c r="AA879" s="73">
        <f t="shared" si="44"/>
        <v>5</v>
      </c>
      <c r="AB879" s="73">
        <f t="shared" si="45"/>
        <v>5</v>
      </c>
      <c r="AC879" s="73">
        <f t="shared" si="46"/>
        <v>-16</v>
      </c>
      <c r="AD879" s="73">
        <f t="shared" si="47"/>
        <v>-16</v>
      </c>
      <c r="AE879" s="73">
        <f t="shared" si="48"/>
        <v>5.0008790000000003</v>
      </c>
      <c r="AF879" s="73">
        <f t="shared" si="49"/>
        <v>5.0008790000000003</v>
      </c>
      <c r="AG879" s="73">
        <f t="shared" si="50"/>
        <v>-15.999121000000001</v>
      </c>
      <c r="AH879" s="73">
        <f t="shared" si="51"/>
        <v>-15.999121000000001</v>
      </c>
    </row>
    <row r="880" spans="1:34" ht="14.25" customHeight="1">
      <c r="A880" s="11">
        <v>865</v>
      </c>
      <c r="B880" s="66"/>
      <c r="C880" s="67"/>
      <c r="D880" s="67"/>
      <c r="E880" s="67"/>
      <c r="F880" s="67"/>
      <c r="G880" s="67" t="s">
        <v>35</v>
      </c>
      <c r="H880" s="67">
        <v>45996</v>
      </c>
      <c r="I880" s="6" t="s">
        <v>1483</v>
      </c>
      <c r="J880" s="94">
        <v>4928702187</v>
      </c>
      <c r="K880" s="68">
        <v>45991</v>
      </c>
      <c r="L880" s="68">
        <v>46022</v>
      </c>
      <c r="M880" s="68">
        <v>46203</v>
      </c>
      <c r="N880" s="69">
        <f t="shared" si="39"/>
        <v>0</v>
      </c>
      <c r="O880" s="69">
        <f t="shared" si="40"/>
        <v>0</v>
      </c>
      <c r="P880" s="70">
        <v>8</v>
      </c>
      <c r="Q880" s="70">
        <v>8</v>
      </c>
      <c r="R880" s="70">
        <v>8</v>
      </c>
      <c r="S880" s="68" t="str">
        <f t="shared" si="41"/>
        <v/>
      </c>
      <c r="T880" s="68"/>
      <c r="U880" s="95"/>
      <c r="V880" s="68"/>
      <c r="W880" s="6"/>
      <c r="X880" s="10"/>
      <c r="Y880" s="71">
        <f t="shared" si="42"/>
        <v>8</v>
      </c>
      <c r="Z880" s="73">
        <f t="shared" si="43"/>
        <v>8</v>
      </c>
      <c r="AA880" s="11" t="str">
        <f t="shared" si="44"/>
        <v/>
      </c>
      <c r="AB880" s="73">
        <f t="shared" si="45"/>
        <v>0</v>
      </c>
      <c r="AC880" s="11" t="str">
        <f t="shared" si="46"/>
        <v/>
      </c>
      <c r="AD880" s="73">
        <f t="shared" si="47"/>
        <v>0</v>
      </c>
      <c r="AE880" s="11" t="str">
        <f t="shared" si="48"/>
        <v/>
      </c>
      <c r="AF880" s="73">
        <f t="shared" si="49"/>
        <v>8.8000000000000003E-4</v>
      </c>
      <c r="AG880" s="11" t="str">
        <f t="shared" si="50"/>
        <v/>
      </c>
      <c r="AH880" s="73">
        <f t="shared" si="51"/>
        <v>8.8000000000000003E-4</v>
      </c>
    </row>
    <row r="881" spans="1:34" ht="14.25" customHeight="1">
      <c r="A881" s="11">
        <v>866</v>
      </c>
      <c r="B881" s="66"/>
      <c r="C881" s="67"/>
      <c r="D881" s="67"/>
      <c r="E881" s="67"/>
      <c r="F881" s="67"/>
      <c r="G881" s="67" t="s">
        <v>35</v>
      </c>
      <c r="H881" s="67">
        <v>45652</v>
      </c>
      <c r="I881" s="6" t="s">
        <v>1484</v>
      </c>
      <c r="J881" s="9">
        <v>4928800508</v>
      </c>
      <c r="K881" s="68">
        <v>45626</v>
      </c>
      <c r="L881" s="68">
        <v>46022</v>
      </c>
      <c r="M881" s="68">
        <v>46203</v>
      </c>
      <c r="N881" s="69">
        <f t="shared" si="39"/>
        <v>6</v>
      </c>
      <c r="O881" s="69">
        <f t="shared" si="40"/>
        <v>-2</v>
      </c>
      <c r="P881" s="70">
        <v>32</v>
      </c>
      <c r="Q881" s="70">
        <v>40</v>
      </c>
      <c r="R881" s="70">
        <v>38</v>
      </c>
      <c r="S881" s="68" t="str">
        <f t="shared" si="41"/>
        <v/>
      </c>
      <c r="T881" s="68"/>
      <c r="U881" s="68"/>
      <c r="V881" s="68"/>
      <c r="W881" s="9"/>
      <c r="X881" s="10"/>
      <c r="Y881" s="71">
        <f t="shared" si="42"/>
        <v>40</v>
      </c>
      <c r="Z881" s="73">
        <f t="shared" si="43"/>
        <v>38</v>
      </c>
      <c r="AA881" s="11" t="str">
        <f t="shared" si="44"/>
        <v/>
      </c>
      <c r="AB881" s="73">
        <f t="shared" si="45"/>
        <v>6</v>
      </c>
      <c r="AC881" s="11" t="str">
        <f t="shared" si="46"/>
        <v/>
      </c>
      <c r="AD881" s="73">
        <f t="shared" si="47"/>
        <v>-2</v>
      </c>
      <c r="AE881" s="11" t="str">
        <f t="shared" si="48"/>
        <v/>
      </c>
      <c r="AF881" s="73">
        <f t="shared" si="49"/>
        <v>6.0008809999999997</v>
      </c>
      <c r="AG881" s="11" t="str">
        <f t="shared" si="50"/>
        <v/>
      </c>
      <c r="AH881" s="73">
        <f t="shared" si="51"/>
        <v>-1.9991190000000001</v>
      </c>
    </row>
    <row r="882" spans="1:34" ht="14.25" customHeight="1">
      <c r="A882" s="11">
        <v>867</v>
      </c>
      <c r="B882" s="66" t="s">
        <v>35</v>
      </c>
      <c r="C882" s="67">
        <v>44896</v>
      </c>
      <c r="D882" s="67"/>
      <c r="E882" s="67"/>
      <c r="F882" s="67"/>
      <c r="G882" s="67" t="s">
        <v>283</v>
      </c>
      <c r="H882" s="67">
        <v>44285</v>
      </c>
      <c r="I882" s="6" t="s">
        <v>1485</v>
      </c>
      <c r="J882" s="9">
        <v>4938801679</v>
      </c>
      <c r="K882" s="68">
        <v>44255</v>
      </c>
      <c r="L882" s="68">
        <v>46022</v>
      </c>
      <c r="M882" s="68">
        <v>46203</v>
      </c>
      <c r="N882" s="69">
        <f t="shared" si="39"/>
        <v>62</v>
      </c>
      <c r="O882" s="69">
        <f t="shared" si="40"/>
        <v>-3</v>
      </c>
      <c r="P882" s="70">
        <v>1</v>
      </c>
      <c r="Q882" s="70">
        <v>66</v>
      </c>
      <c r="R882" s="70">
        <v>63</v>
      </c>
      <c r="S882" s="68" t="str">
        <f t="shared" si="41"/>
        <v/>
      </c>
      <c r="T882" s="68"/>
      <c r="U882" s="68"/>
      <c r="V882" s="68"/>
      <c r="W882" s="68">
        <v>45721</v>
      </c>
      <c r="X882" s="10"/>
      <c r="Y882" s="71">
        <f t="shared" si="42"/>
        <v>66</v>
      </c>
      <c r="Z882" s="73">
        <f t="shared" si="43"/>
        <v>63</v>
      </c>
      <c r="AA882" s="73">
        <f t="shared" si="44"/>
        <v>62</v>
      </c>
      <c r="AB882" s="73">
        <f t="shared" si="45"/>
        <v>62</v>
      </c>
      <c r="AC882" s="73">
        <f t="shared" si="46"/>
        <v>-3</v>
      </c>
      <c r="AD882" s="73">
        <f t="shared" si="47"/>
        <v>-3</v>
      </c>
      <c r="AE882" s="73">
        <f t="shared" si="48"/>
        <v>62.000881999999997</v>
      </c>
      <c r="AF882" s="73">
        <f t="shared" si="49"/>
        <v>62.000881999999997</v>
      </c>
      <c r="AG882" s="73">
        <f t="shared" si="50"/>
        <v>-2.9991180000000002</v>
      </c>
      <c r="AH882" s="73">
        <f t="shared" si="51"/>
        <v>-2.9991180000000002</v>
      </c>
    </row>
    <row r="883" spans="1:34" ht="14.25" customHeight="1">
      <c r="A883" s="11">
        <v>868</v>
      </c>
      <c r="B883" s="66"/>
      <c r="C883" s="67"/>
      <c r="D883" s="67"/>
      <c r="E883" s="67"/>
      <c r="F883" s="67"/>
      <c r="G883" s="67" t="s">
        <v>35</v>
      </c>
      <c r="H883" s="67">
        <v>44447</v>
      </c>
      <c r="I883" s="6" t="s">
        <v>1486</v>
      </c>
      <c r="J883" s="9">
        <v>4948100558</v>
      </c>
      <c r="K883" s="68">
        <v>44439</v>
      </c>
      <c r="L883" s="68">
        <v>46022</v>
      </c>
      <c r="M883" s="68">
        <v>46203</v>
      </c>
      <c r="N883" s="69">
        <f t="shared" si="39"/>
        <v>8</v>
      </c>
      <c r="O883" s="69">
        <f t="shared" si="40"/>
        <v>-4</v>
      </c>
      <c r="P883" s="70">
        <v>9</v>
      </c>
      <c r="Q883" s="70">
        <v>21</v>
      </c>
      <c r="R883" s="70">
        <v>17</v>
      </c>
      <c r="S883" s="68" t="str">
        <f t="shared" si="41"/>
        <v/>
      </c>
      <c r="T883" s="68"/>
      <c r="U883" s="68"/>
      <c r="V883" s="68"/>
      <c r="W883" s="9"/>
      <c r="X883" s="10"/>
      <c r="Y883" s="71">
        <f t="shared" si="42"/>
        <v>21</v>
      </c>
      <c r="Z883" s="73">
        <f t="shared" si="43"/>
        <v>17</v>
      </c>
      <c r="AA883" s="11" t="str">
        <f t="shared" si="44"/>
        <v/>
      </c>
      <c r="AB883" s="73">
        <f t="shared" si="45"/>
        <v>8</v>
      </c>
      <c r="AC883" s="11" t="str">
        <f t="shared" si="46"/>
        <v/>
      </c>
      <c r="AD883" s="73">
        <f t="shared" si="47"/>
        <v>-4</v>
      </c>
      <c r="AE883" s="11" t="str">
        <f t="shared" si="48"/>
        <v/>
      </c>
      <c r="AF883" s="73">
        <f t="shared" si="49"/>
        <v>8.000883</v>
      </c>
      <c r="AG883" s="11" t="str">
        <f t="shared" si="50"/>
        <v/>
      </c>
      <c r="AH883" s="73">
        <f t="shared" si="51"/>
        <v>-3.999117</v>
      </c>
    </row>
    <row r="884" spans="1:34" ht="14.25" customHeight="1">
      <c r="A884" s="11">
        <v>869</v>
      </c>
      <c r="B884" s="66"/>
      <c r="C884" s="67"/>
      <c r="D884" s="67"/>
      <c r="E884" s="67"/>
      <c r="F884" s="67"/>
      <c r="G884" s="67" t="s">
        <v>35</v>
      </c>
      <c r="H884" s="67">
        <v>43942</v>
      </c>
      <c r="I884" s="6" t="s">
        <v>1487</v>
      </c>
      <c r="J884" s="9">
        <v>4948101071</v>
      </c>
      <c r="K884" s="68">
        <v>43921</v>
      </c>
      <c r="L884" s="68">
        <v>46022</v>
      </c>
      <c r="M884" s="68">
        <v>46203</v>
      </c>
      <c r="N884" s="69">
        <f t="shared" si="39"/>
        <v>17</v>
      </c>
      <c r="O884" s="69">
        <f t="shared" si="40"/>
        <v>2</v>
      </c>
      <c r="P884" s="70">
        <v>4</v>
      </c>
      <c r="Q884" s="70">
        <v>19</v>
      </c>
      <c r="R884" s="70">
        <v>21</v>
      </c>
      <c r="S884" s="68" t="str">
        <f t="shared" si="41"/>
        <v/>
      </c>
      <c r="T884" s="68"/>
      <c r="U884" s="68"/>
      <c r="V884" s="68"/>
      <c r="W884" s="9"/>
      <c r="X884" s="10"/>
      <c r="Y884" s="71">
        <f t="shared" si="42"/>
        <v>19</v>
      </c>
      <c r="Z884" s="73">
        <f t="shared" si="43"/>
        <v>21</v>
      </c>
      <c r="AA884" s="11" t="str">
        <f t="shared" si="44"/>
        <v/>
      </c>
      <c r="AB884" s="73">
        <f t="shared" si="45"/>
        <v>17</v>
      </c>
      <c r="AC884" s="11" t="str">
        <f t="shared" si="46"/>
        <v/>
      </c>
      <c r="AD884" s="73">
        <f t="shared" si="47"/>
        <v>2</v>
      </c>
      <c r="AE884" s="11" t="str">
        <f t="shared" si="48"/>
        <v/>
      </c>
      <c r="AF884" s="73">
        <f t="shared" si="49"/>
        <v>17.000883999999999</v>
      </c>
      <c r="AG884" s="11" t="str">
        <f t="shared" si="50"/>
        <v/>
      </c>
      <c r="AH884" s="73">
        <f t="shared" si="51"/>
        <v>2.0008840000000001</v>
      </c>
    </row>
    <row r="885" spans="1:34" ht="14.25" customHeight="1">
      <c r="A885" s="11">
        <v>870</v>
      </c>
      <c r="B885" s="66" t="s">
        <v>35</v>
      </c>
      <c r="C885" s="67">
        <v>42705</v>
      </c>
      <c r="D885" s="67"/>
      <c r="E885" s="67"/>
      <c r="F885" s="67"/>
      <c r="G885" s="67"/>
      <c r="H885" s="67"/>
      <c r="I885" s="6" t="s">
        <v>1488</v>
      </c>
      <c r="J885" s="9">
        <v>4948602610</v>
      </c>
      <c r="K885" s="68">
        <v>42704</v>
      </c>
      <c r="L885" s="68">
        <v>46022</v>
      </c>
      <c r="M885" s="68">
        <v>46203</v>
      </c>
      <c r="N885" s="69">
        <f t="shared" si="39"/>
        <v>1</v>
      </c>
      <c r="O885" s="69">
        <f t="shared" si="40"/>
        <v>0</v>
      </c>
      <c r="P885" s="70">
        <v>0</v>
      </c>
      <c r="Q885" s="70">
        <v>1</v>
      </c>
      <c r="R885" s="70">
        <v>1</v>
      </c>
      <c r="S885" s="68" t="str">
        <f t="shared" si="41"/>
        <v/>
      </c>
      <c r="T885" s="68"/>
      <c r="U885" s="68"/>
      <c r="V885" s="68"/>
      <c r="W885" s="9"/>
      <c r="X885" s="10"/>
      <c r="Y885" s="71">
        <f t="shared" si="42"/>
        <v>1</v>
      </c>
      <c r="Z885" s="73">
        <f t="shared" si="43"/>
        <v>1</v>
      </c>
      <c r="AA885" s="73">
        <f t="shared" si="44"/>
        <v>1</v>
      </c>
      <c r="AB885" s="11" t="str">
        <f t="shared" si="45"/>
        <v/>
      </c>
      <c r="AC885" s="73">
        <f t="shared" si="46"/>
        <v>0</v>
      </c>
      <c r="AD885" s="11" t="str">
        <f t="shared" si="47"/>
        <v/>
      </c>
      <c r="AE885" s="73">
        <f t="shared" si="48"/>
        <v>1.000885</v>
      </c>
      <c r="AF885" s="11" t="str">
        <f t="shared" si="49"/>
        <v/>
      </c>
      <c r="AG885" s="73">
        <f t="shared" si="50"/>
        <v>8.8500000000000004E-4</v>
      </c>
      <c r="AH885" s="11" t="str">
        <f t="shared" si="51"/>
        <v/>
      </c>
    </row>
    <row r="886" spans="1:34" ht="14.25" customHeight="1">
      <c r="A886" s="11">
        <v>871</v>
      </c>
      <c r="B886" s="66"/>
      <c r="C886" s="67"/>
      <c r="D886" s="67"/>
      <c r="E886" s="67"/>
      <c r="F886" s="67"/>
      <c r="G886" s="67" t="s">
        <v>35</v>
      </c>
      <c r="H886" s="67">
        <v>44918</v>
      </c>
      <c r="I886" s="6" t="s">
        <v>1489</v>
      </c>
      <c r="J886" s="9">
        <v>4948701845</v>
      </c>
      <c r="K886" s="68">
        <v>44895</v>
      </c>
      <c r="L886" s="68">
        <v>46022</v>
      </c>
      <c r="M886" s="68">
        <v>46203</v>
      </c>
      <c r="N886" s="69">
        <f t="shared" si="39"/>
        <v>-1</v>
      </c>
      <c r="O886" s="69">
        <f t="shared" si="40"/>
        <v>-1</v>
      </c>
      <c r="P886" s="70">
        <v>2</v>
      </c>
      <c r="Q886" s="70">
        <v>2</v>
      </c>
      <c r="R886" s="70">
        <v>1</v>
      </c>
      <c r="S886" s="68" t="str">
        <f t="shared" si="41"/>
        <v/>
      </c>
      <c r="T886" s="68"/>
      <c r="U886" s="68"/>
      <c r="V886" s="68"/>
      <c r="W886" s="9"/>
      <c r="X886" s="10"/>
      <c r="Y886" s="71">
        <f t="shared" si="42"/>
        <v>2</v>
      </c>
      <c r="Z886" s="73">
        <f t="shared" si="43"/>
        <v>1</v>
      </c>
      <c r="AA886" s="11" t="str">
        <f t="shared" si="44"/>
        <v/>
      </c>
      <c r="AB886" s="73">
        <f t="shared" si="45"/>
        <v>-1</v>
      </c>
      <c r="AC886" s="11" t="str">
        <f t="shared" si="46"/>
        <v/>
      </c>
      <c r="AD886" s="73">
        <f t="shared" si="47"/>
        <v>-1</v>
      </c>
      <c r="AE886" s="11" t="str">
        <f t="shared" si="48"/>
        <v/>
      </c>
      <c r="AF886" s="73">
        <f t="shared" si="49"/>
        <v>-0.99911399999999995</v>
      </c>
      <c r="AG886" s="11" t="str">
        <f t="shared" si="50"/>
        <v/>
      </c>
      <c r="AH886" s="73">
        <f t="shared" si="51"/>
        <v>-0.99911399999999995</v>
      </c>
    </row>
    <row r="887" spans="1:34" ht="14.25" customHeight="1">
      <c r="A887" s="11">
        <v>872</v>
      </c>
      <c r="B887" s="66"/>
      <c r="C887" s="67"/>
      <c r="D887" s="67"/>
      <c r="E887" s="67"/>
      <c r="F887" s="67"/>
      <c r="G887" s="67" t="s">
        <v>35</v>
      </c>
      <c r="H887" s="67">
        <v>44012</v>
      </c>
      <c r="I887" s="6" t="s">
        <v>1490</v>
      </c>
      <c r="J887" s="94">
        <v>4948801653</v>
      </c>
      <c r="K887" s="68">
        <v>43982</v>
      </c>
      <c r="L887" s="68">
        <v>46022</v>
      </c>
      <c r="M887" s="68">
        <v>46203</v>
      </c>
      <c r="N887" s="69">
        <f t="shared" si="39"/>
        <v>27</v>
      </c>
      <c r="O887" s="69">
        <f t="shared" si="40"/>
        <v>3</v>
      </c>
      <c r="P887" s="78">
        <v>4</v>
      </c>
      <c r="Q887" s="78">
        <v>28</v>
      </c>
      <c r="R887" s="78">
        <v>31</v>
      </c>
      <c r="S887" s="68" t="str">
        <f t="shared" si="41"/>
        <v/>
      </c>
      <c r="T887" s="68"/>
      <c r="U887" s="95"/>
      <c r="V887" s="68"/>
      <c r="W887" s="6"/>
      <c r="X887" s="122" t="s">
        <v>807</v>
      </c>
      <c r="Y887" s="71">
        <f t="shared" si="42"/>
        <v>28</v>
      </c>
      <c r="Z887" s="73">
        <f t="shared" si="43"/>
        <v>31</v>
      </c>
      <c r="AA887" s="11" t="str">
        <f t="shared" si="44"/>
        <v/>
      </c>
      <c r="AB887" s="73">
        <f t="shared" si="45"/>
        <v>27</v>
      </c>
      <c r="AC887" s="11" t="str">
        <f t="shared" si="46"/>
        <v/>
      </c>
      <c r="AD887" s="73">
        <f t="shared" si="47"/>
        <v>3</v>
      </c>
      <c r="AE887" s="11" t="str">
        <f t="shared" si="48"/>
        <v/>
      </c>
      <c r="AF887" s="73">
        <f t="shared" si="49"/>
        <v>27.000886999999999</v>
      </c>
      <c r="AG887" s="11" t="str">
        <f t="shared" si="50"/>
        <v/>
      </c>
      <c r="AH887" s="73">
        <f t="shared" si="51"/>
        <v>3.0008870000000001</v>
      </c>
    </row>
    <row r="888" spans="1:34" ht="14.25" customHeight="1">
      <c r="A888" s="11">
        <v>873</v>
      </c>
      <c r="B888" s="66"/>
      <c r="C888" s="67"/>
      <c r="D888" s="67"/>
      <c r="E888" s="67"/>
      <c r="F888" s="67"/>
      <c r="G888" s="67" t="s">
        <v>35</v>
      </c>
      <c r="H888" s="67">
        <v>44918</v>
      </c>
      <c r="I888" s="6" t="s">
        <v>1491</v>
      </c>
      <c r="J888" s="9">
        <v>4958602215</v>
      </c>
      <c r="K888" s="68">
        <v>44895</v>
      </c>
      <c r="L888" s="68">
        <v>46022</v>
      </c>
      <c r="M888" s="68">
        <v>46203</v>
      </c>
      <c r="N888" s="69">
        <f t="shared" si="39"/>
        <v>-1</v>
      </c>
      <c r="O888" s="69">
        <f t="shared" si="40"/>
        <v>0</v>
      </c>
      <c r="P888" s="70">
        <v>3</v>
      </c>
      <c r="Q888" s="70">
        <v>2</v>
      </c>
      <c r="R888" s="70">
        <v>2</v>
      </c>
      <c r="S888" s="68" t="str">
        <f t="shared" si="41"/>
        <v/>
      </c>
      <c r="T888" s="68"/>
      <c r="U888" s="68"/>
      <c r="V888" s="68"/>
      <c r="W888" s="9"/>
      <c r="X888" s="10"/>
      <c r="Y888" s="71">
        <f t="shared" si="42"/>
        <v>2</v>
      </c>
      <c r="Z888" s="73">
        <f t="shared" si="43"/>
        <v>2</v>
      </c>
      <c r="AA888" s="11" t="str">
        <f t="shared" si="44"/>
        <v/>
      </c>
      <c r="AB888" s="73">
        <f t="shared" si="45"/>
        <v>-1</v>
      </c>
      <c r="AC888" s="11" t="str">
        <f t="shared" si="46"/>
        <v/>
      </c>
      <c r="AD888" s="73">
        <f t="shared" si="47"/>
        <v>0</v>
      </c>
      <c r="AE888" s="11" t="str">
        <f t="shared" si="48"/>
        <v/>
      </c>
      <c r="AF888" s="73">
        <f t="shared" si="49"/>
        <v>-0.999112</v>
      </c>
      <c r="AG888" s="11" t="str">
        <f t="shared" si="50"/>
        <v/>
      </c>
      <c r="AH888" s="73">
        <f t="shared" si="51"/>
        <v>8.8800000000000001E-4</v>
      </c>
    </row>
    <row r="889" spans="1:34" ht="14.25" customHeight="1">
      <c r="A889" s="11">
        <v>874</v>
      </c>
      <c r="B889" s="66"/>
      <c r="C889" s="67"/>
      <c r="D889" s="67"/>
      <c r="E889" s="67"/>
      <c r="F889" s="67"/>
      <c r="G889" s="67" t="s">
        <v>35</v>
      </c>
      <c r="H889" s="67">
        <v>45065</v>
      </c>
      <c r="I889" s="6" t="s">
        <v>1492</v>
      </c>
      <c r="J889" s="9">
        <v>4968600525</v>
      </c>
      <c r="K889" s="68">
        <v>45046</v>
      </c>
      <c r="L889" s="68">
        <v>46022</v>
      </c>
      <c r="M889" s="68">
        <v>46203</v>
      </c>
      <c r="N889" s="69">
        <f t="shared" si="39"/>
        <v>11</v>
      </c>
      <c r="O889" s="69">
        <f t="shared" si="40"/>
        <v>5</v>
      </c>
      <c r="P889" s="70">
        <v>63</v>
      </c>
      <c r="Q889" s="70">
        <v>69</v>
      </c>
      <c r="R889" s="70">
        <v>74</v>
      </c>
      <c r="S889" s="68" t="str">
        <f t="shared" si="41"/>
        <v/>
      </c>
      <c r="T889" s="68"/>
      <c r="U889" s="68"/>
      <c r="V889" s="68"/>
      <c r="W889" s="9"/>
      <c r="X889" s="10"/>
      <c r="Y889" s="71">
        <f t="shared" si="42"/>
        <v>69</v>
      </c>
      <c r="Z889" s="73">
        <f t="shared" si="43"/>
        <v>74</v>
      </c>
      <c r="AA889" s="11" t="str">
        <f t="shared" si="44"/>
        <v/>
      </c>
      <c r="AB889" s="73">
        <f t="shared" si="45"/>
        <v>11</v>
      </c>
      <c r="AC889" s="11" t="str">
        <f t="shared" si="46"/>
        <v/>
      </c>
      <c r="AD889" s="73">
        <f t="shared" si="47"/>
        <v>5</v>
      </c>
      <c r="AE889" s="11" t="str">
        <f t="shared" si="48"/>
        <v/>
      </c>
      <c r="AF889" s="73">
        <f t="shared" si="49"/>
        <v>11.000889000000001</v>
      </c>
      <c r="AG889" s="11" t="str">
        <f t="shared" si="50"/>
        <v/>
      </c>
      <c r="AH889" s="73">
        <f t="shared" si="51"/>
        <v>5.0008889999999999</v>
      </c>
    </row>
    <row r="890" spans="1:34" ht="14.25" customHeight="1">
      <c r="A890" s="11">
        <v>875</v>
      </c>
      <c r="B890" s="66"/>
      <c r="C890" s="67"/>
      <c r="D890" s="67"/>
      <c r="E890" s="67"/>
      <c r="F890" s="67"/>
      <c r="G890" s="67" t="s">
        <v>35</v>
      </c>
      <c r="H890" s="67">
        <v>45596</v>
      </c>
      <c r="I890" s="6" t="s">
        <v>1493</v>
      </c>
      <c r="J890" s="9">
        <v>4968801547</v>
      </c>
      <c r="K890" s="68">
        <v>45565</v>
      </c>
      <c r="L890" s="68">
        <v>46022</v>
      </c>
      <c r="M890" s="68">
        <v>46203</v>
      </c>
      <c r="N890" s="69">
        <f t="shared" si="39"/>
        <v>3</v>
      </c>
      <c r="O890" s="69">
        <f t="shared" si="40"/>
        <v>0</v>
      </c>
      <c r="P890" s="70">
        <v>3</v>
      </c>
      <c r="Q890" s="70">
        <v>6</v>
      </c>
      <c r="R890" s="70">
        <v>6</v>
      </c>
      <c r="S890" s="68" t="str">
        <f t="shared" si="41"/>
        <v/>
      </c>
      <c r="T890" s="68"/>
      <c r="U890" s="68"/>
      <c r="V890" s="68"/>
      <c r="W890" s="9"/>
      <c r="X890" s="10"/>
      <c r="Y890" s="71">
        <f t="shared" si="42"/>
        <v>6</v>
      </c>
      <c r="Z890" s="73">
        <f t="shared" si="43"/>
        <v>6</v>
      </c>
      <c r="AA890" s="11" t="str">
        <f t="shared" si="44"/>
        <v/>
      </c>
      <c r="AB890" s="73">
        <f t="shared" si="45"/>
        <v>3</v>
      </c>
      <c r="AC890" s="11" t="str">
        <f t="shared" si="46"/>
        <v/>
      </c>
      <c r="AD890" s="73">
        <f t="shared" si="47"/>
        <v>0</v>
      </c>
      <c r="AE890" s="11" t="str">
        <f t="shared" si="48"/>
        <v/>
      </c>
      <c r="AF890" s="73">
        <f t="shared" si="49"/>
        <v>3.0008900000000001</v>
      </c>
      <c r="AG890" s="11" t="str">
        <f t="shared" si="50"/>
        <v/>
      </c>
      <c r="AH890" s="73">
        <f t="shared" si="51"/>
        <v>8.8999999999999995E-4</v>
      </c>
    </row>
    <row r="891" spans="1:34" ht="14.25" customHeight="1">
      <c r="A891" s="11">
        <v>876</v>
      </c>
      <c r="B891" s="66"/>
      <c r="C891" s="67"/>
      <c r="D891" s="67"/>
      <c r="E891" s="67"/>
      <c r="F891" s="67"/>
      <c r="G891" s="67" t="s">
        <v>35</v>
      </c>
      <c r="H891" s="67">
        <v>44354</v>
      </c>
      <c r="I891" s="6" t="s">
        <v>1494</v>
      </c>
      <c r="J891" s="9">
        <v>4978601565</v>
      </c>
      <c r="K891" s="68">
        <v>44347</v>
      </c>
      <c r="L891" s="68">
        <v>46022</v>
      </c>
      <c r="M891" s="68">
        <v>46203</v>
      </c>
      <c r="N891" s="69">
        <f t="shared" si="39"/>
        <v>2</v>
      </c>
      <c r="O891" s="69">
        <f t="shared" si="40"/>
        <v>-17</v>
      </c>
      <c r="P891" s="70">
        <v>8</v>
      </c>
      <c r="Q891" s="70">
        <v>27</v>
      </c>
      <c r="R891" s="70">
        <v>10</v>
      </c>
      <c r="S891" s="68" t="str">
        <f t="shared" si="41"/>
        <v/>
      </c>
      <c r="T891" s="68"/>
      <c r="U891" s="68"/>
      <c r="V891" s="68"/>
      <c r="W891" s="9"/>
      <c r="X891" s="10"/>
      <c r="Y891" s="71">
        <f t="shared" si="42"/>
        <v>27</v>
      </c>
      <c r="Z891" s="73">
        <f t="shared" si="43"/>
        <v>10</v>
      </c>
      <c r="AA891" s="11" t="str">
        <f t="shared" si="44"/>
        <v/>
      </c>
      <c r="AB891" s="73">
        <f t="shared" si="45"/>
        <v>2</v>
      </c>
      <c r="AC891" s="11" t="str">
        <f t="shared" si="46"/>
        <v/>
      </c>
      <c r="AD891" s="73">
        <f t="shared" si="47"/>
        <v>-17</v>
      </c>
      <c r="AE891" s="11" t="str">
        <f t="shared" si="48"/>
        <v/>
      </c>
      <c r="AF891" s="73">
        <f t="shared" si="49"/>
        <v>2.0008910000000002</v>
      </c>
      <c r="AG891" s="11" t="str">
        <f t="shared" si="50"/>
        <v/>
      </c>
      <c r="AH891" s="73">
        <f t="shared" si="51"/>
        <v>-16.999109000000001</v>
      </c>
    </row>
    <row r="892" spans="1:34" ht="14.25" customHeight="1">
      <c r="A892" s="11">
        <v>877</v>
      </c>
      <c r="B892" s="66"/>
      <c r="C892" s="67"/>
      <c r="D892" s="67"/>
      <c r="E892" s="67"/>
      <c r="F892" s="67"/>
      <c r="G892" s="67" t="s">
        <v>35</v>
      </c>
      <c r="H892" s="67">
        <v>44998</v>
      </c>
      <c r="I892" s="6" t="s">
        <v>1495</v>
      </c>
      <c r="J892" s="9">
        <v>4978702159</v>
      </c>
      <c r="K892" s="68">
        <v>44985</v>
      </c>
      <c r="L892" s="68">
        <v>46022</v>
      </c>
      <c r="M892" s="68">
        <v>46203</v>
      </c>
      <c r="N892" s="69">
        <f t="shared" si="39"/>
        <v>3</v>
      </c>
      <c r="O892" s="69">
        <f t="shared" si="40"/>
        <v>3</v>
      </c>
      <c r="P892" s="70">
        <v>5</v>
      </c>
      <c r="Q892" s="70">
        <v>5</v>
      </c>
      <c r="R892" s="70">
        <v>8</v>
      </c>
      <c r="S892" s="68" t="str">
        <f t="shared" si="41"/>
        <v/>
      </c>
      <c r="T892" s="68"/>
      <c r="U892" s="68"/>
      <c r="V892" s="68"/>
      <c r="W892" s="9"/>
      <c r="X892" s="10"/>
      <c r="Y892" s="71">
        <f t="shared" si="42"/>
        <v>5</v>
      </c>
      <c r="Z892" s="73">
        <f t="shared" si="43"/>
        <v>8</v>
      </c>
      <c r="AA892" s="11" t="str">
        <f t="shared" si="44"/>
        <v/>
      </c>
      <c r="AB892" s="73">
        <f t="shared" si="45"/>
        <v>3</v>
      </c>
      <c r="AC892" s="11" t="str">
        <f t="shared" si="46"/>
        <v/>
      </c>
      <c r="AD892" s="73">
        <f t="shared" si="47"/>
        <v>3</v>
      </c>
      <c r="AE892" s="11" t="str">
        <f t="shared" si="48"/>
        <v/>
      </c>
      <c r="AF892" s="73">
        <f t="shared" si="49"/>
        <v>3.0008919999999999</v>
      </c>
      <c r="AG892" s="11" t="str">
        <f t="shared" si="50"/>
        <v/>
      </c>
      <c r="AH892" s="73">
        <f t="shared" si="51"/>
        <v>3.0008919999999999</v>
      </c>
    </row>
    <row r="893" spans="1:34" ht="14.25" customHeight="1">
      <c r="A893" s="11">
        <v>878</v>
      </c>
      <c r="B893" s="66"/>
      <c r="C893" s="67"/>
      <c r="D893" s="67"/>
      <c r="E893" s="67"/>
      <c r="F893" s="67"/>
      <c r="G893" s="67" t="s">
        <v>35</v>
      </c>
      <c r="H893" s="67">
        <v>45009</v>
      </c>
      <c r="I893" s="6" t="s">
        <v>1496</v>
      </c>
      <c r="J893" s="9">
        <v>4988102941</v>
      </c>
      <c r="K893" s="68">
        <v>44985</v>
      </c>
      <c r="L893" s="68">
        <v>46022</v>
      </c>
      <c r="M893" s="68">
        <v>46203</v>
      </c>
      <c r="N893" s="69">
        <f t="shared" si="39"/>
        <v>12</v>
      </c>
      <c r="O893" s="69">
        <f t="shared" si="40"/>
        <v>0</v>
      </c>
      <c r="P893" s="70">
        <v>4</v>
      </c>
      <c r="Q893" s="70">
        <v>16</v>
      </c>
      <c r="R893" s="70">
        <v>16</v>
      </c>
      <c r="S893" s="68" t="str">
        <f t="shared" si="41"/>
        <v/>
      </c>
      <c r="T893" s="68"/>
      <c r="U893" s="68"/>
      <c r="V893" s="68"/>
      <c r="W893" s="9"/>
      <c r="X893" s="10" t="s">
        <v>1497</v>
      </c>
      <c r="Y893" s="71">
        <f t="shared" si="42"/>
        <v>16</v>
      </c>
      <c r="Z893" s="73">
        <f t="shared" si="43"/>
        <v>16</v>
      </c>
      <c r="AA893" s="11" t="str">
        <f t="shared" si="44"/>
        <v/>
      </c>
      <c r="AB893" s="73">
        <f t="shared" si="45"/>
        <v>12</v>
      </c>
      <c r="AC893" s="11" t="str">
        <f t="shared" si="46"/>
        <v/>
      </c>
      <c r="AD893" s="73">
        <f t="shared" si="47"/>
        <v>0</v>
      </c>
      <c r="AE893" s="11" t="str">
        <f t="shared" si="48"/>
        <v/>
      </c>
      <c r="AF893" s="73">
        <f t="shared" si="49"/>
        <v>12.000893</v>
      </c>
      <c r="AG893" s="11" t="str">
        <f t="shared" si="50"/>
        <v/>
      </c>
      <c r="AH893" s="73">
        <f t="shared" si="51"/>
        <v>8.9300000000000002E-4</v>
      </c>
    </row>
    <row r="894" spans="1:34" ht="14.25" customHeight="1">
      <c r="A894" s="11">
        <v>879</v>
      </c>
      <c r="B894" s="66"/>
      <c r="C894" s="67"/>
      <c r="D894" s="67"/>
      <c r="E894" s="67"/>
      <c r="F894" s="67"/>
      <c r="G894" s="67" t="s">
        <v>35</v>
      </c>
      <c r="H894" s="67">
        <v>45786</v>
      </c>
      <c r="I894" s="6" t="s">
        <v>1498</v>
      </c>
      <c r="J894" s="9">
        <v>4988802033</v>
      </c>
      <c r="K894" s="68">
        <v>45777</v>
      </c>
      <c r="L894" s="68">
        <v>46022</v>
      </c>
      <c r="M894" s="68">
        <v>46203</v>
      </c>
      <c r="N894" s="69">
        <f t="shared" si="39"/>
        <v>5</v>
      </c>
      <c r="O894" s="69">
        <f t="shared" si="40"/>
        <v>-2</v>
      </c>
      <c r="P894" s="70">
        <v>17</v>
      </c>
      <c r="Q894" s="70">
        <v>24</v>
      </c>
      <c r="R894" s="70">
        <v>22</v>
      </c>
      <c r="S894" s="68" t="str">
        <f t="shared" si="41"/>
        <v/>
      </c>
      <c r="T894" s="68"/>
      <c r="U894" s="68"/>
      <c r="V894" s="68"/>
      <c r="W894" s="9"/>
      <c r="X894" s="10"/>
      <c r="Y894" s="71">
        <f t="shared" si="42"/>
        <v>24</v>
      </c>
      <c r="Z894" s="73">
        <f t="shared" si="43"/>
        <v>22</v>
      </c>
      <c r="AA894" s="11" t="str">
        <f t="shared" si="44"/>
        <v/>
      </c>
      <c r="AB894" s="73">
        <f t="shared" si="45"/>
        <v>5</v>
      </c>
      <c r="AC894" s="11" t="str">
        <f t="shared" si="46"/>
        <v/>
      </c>
      <c r="AD894" s="73">
        <f t="shared" si="47"/>
        <v>-2</v>
      </c>
      <c r="AE894" s="11" t="str">
        <f t="shared" si="48"/>
        <v/>
      </c>
      <c r="AF894" s="73">
        <f t="shared" si="49"/>
        <v>5.0008939999999997</v>
      </c>
      <c r="AG894" s="11" t="str">
        <f t="shared" si="50"/>
        <v/>
      </c>
      <c r="AH894" s="73">
        <f t="shared" si="51"/>
        <v>-1.999106</v>
      </c>
    </row>
    <row r="895" spans="1:34" ht="14.25" customHeight="1">
      <c r="A895" s="11">
        <v>880</v>
      </c>
      <c r="B895" s="66"/>
      <c r="C895" s="67"/>
      <c r="D895" s="67"/>
      <c r="E895" s="67"/>
      <c r="F895" s="67"/>
      <c r="G895" s="67" t="s">
        <v>35</v>
      </c>
      <c r="H895" s="67">
        <v>43335</v>
      </c>
      <c r="I895" s="6" t="s">
        <v>1499</v>
      </c>
      <c r="J895" s="9">
        <v>4998100612</v>
      </c>
      <c r="K895" s="68">
        <v>43312</v>
      </c>
      <c r="L895" s="68">
        <v>46022</v>
      </c>
      <c r="M895" s="68">
        <v>46203</v>
      </c>
      <c r="N895" s="69">
        <f t="shared" si="39"/>
        <v>48</v>
      </c>
      <c r="O895" s="69">
        <f t="shared" si="40"/>
        <v>-1</v>
      </c>
      <c r="P895" s="70">
        <v>5</v>
      </c>
      <c r="Q895" s="70">
        <v>54</v>
      </c>
      <c r="R895" s="70">
        <v>53</v>
      </c>
      <c r="S895" s="68" t="str">
        <f t="shared" si="41"/>
        <v/>
      </c>
      <c r="T895" s="68"/>
      <c r="U895" s="68"/>
      <c r="V895" s="68"/>
      <c r="W895" s="9"/>
      <c r="X895" s="10"/>
      <c r="Y895" s="71">
        <f t="shared" si="42"/>
        <v>54</v>
      </c>
      <c r="Z895" s="73">
        <f t="shared" si="43"/>
        <v>53</v>
      </c>
      <c r="AA895" s="11" t="str">
        <f t="shared" si="44"/>
        <v/>
      </c>
      <c r="AB895" s="73">
        <f t="shared" si="45"/>
        <v>48</v>
      </c>
      <c r="AC895" s="11" t="str">
        <f t="shared" si="46"/>
        <v/>
      </c>
      <c r="AD895" s="73">
        <f t="shared" si="47"/>
        <v>-1</v>
      </c>
      <c r="AE895" s="11" t="str">
        <f t="shared" si="48"/>
        <v/>
      </c>
      <c r="AF895" s="73">
        <f t="shared" si="49"/>
        <v>48.000895</v>
      </c>
      <c r="AG895" s="11" t="str">
        <f t="shared" si="50"/>
        <v/>
      </c>
      <c r="AH895" s="73">
        <f t="shared" si="51"/>
        <v>-0.99910500000000002</v>
      </c>
    </row>
    <row r="896" spans="1:34" ht="14.25" customHeight="1">
      <c r="A896" s="11">
        <v>881</v>
      </c>
      <c r="B896" s="66"/>
      <c r="C896" s="67"/>
      <c r="D896" s="67"/>
      <c r="E896" s="67"/>
      <c r="F896" s="67"/>
      <c r="G896" s="67" t="s">
        <v>35</v>
      </c>
      <c r="H896" s="67">
        <v>45195</v>
      </c>
      <c r="I896" s="6" t="s">
        <v>1500</v>
      </c>
      <c r="J896" s="9">
        <v>4998601805</v>
      </c>
      <c r="K896" s="68">
        <v>45169</v>
      </c>
      <c r="L896" s="68">
        <v>46022</v>
      </c>
      <c r="M896" s="68">
        <v>46203</v>
      </c>
      <c r="N896" s="69">
        <f t="shared" si="39"/>
        <v>4</v>
      </c>
      <c r="O896" s="69">
        <f t="shared" si="40"/>
        <v>1</v>
      </c>
      <c r="P896" s="70">
        <v>25</v>
      </c>
      <c r="Q896" s="70">
        <v>28</v>
      </c>
      <c r="R896" s="70">
        <v>29</v>
      </c>
      <c r="S896" s="68" t="str">
        <f t="shared" si="41"/>
        <v/>
      </c>
      <c r="T896" s="68"/>
      <c r="U896" s="68"/>
      <c r="V896" s="68"/>
      <c r="W896" s="9"/>
      <c r="X896" s="10"/>
      <c r="Y896" s="71">
        <f t="shared" si="42"/>
        <v>28</v>
      </c>
      <c r="Z896" s="73">
        <f t="shared" si="43"/>
        <v>29</v>
      </c>
      <c r="AA896" s="11" t="str">
        <f t="shared" si="44"/>
        <v/>
      </c>
      <c r="AB896" s="73">
        <f t="shared" si="45"/>
        <v>4</v>
      </c>
      <c r="AC896" s="11" t="str">
        <f t="shared" si="46"/>
        <v/>
      </c>
      <c r="AD896" s="73">
        <f t="shared" si="47"/>
        <v>1</v>
      </c>
      <c r="AE896" s="11" t="str">
        <f t="shared" si="48"/>
        <v/>
      </c>
      <c r="AF896" s="73">
        <f t="shared" si="49"/>
        <v>4.000896</v>
      </c>
      <c r="AG896" s="11" t="str">
        <f t="shared" si="50"/>
        <v/>
      </c>
      <c r="AH896" s="73">
        <f t="shared" si="51"/>
        <v>1.000896</v>
      </c>
    </row>
    <row r="897" spans="1:34" ht="14.25" customHeight="1">
      <c r="A897" s="11">
        <v>882</v>
      </c>
      <c r="B897" s="66"/>
      <c r="C897" s="67"/>
      <c r="D897" s="67"/>
      <c r="E897" s="67"/>
      <c r="F897" s="67"/>
      <c r="G897" s="67" t="s">
        <v>35</v>
      </c>
      <c r="H897" s="67">
        <v>44285</v>
      </c>
      <c r="I897" s="6" t="s">
        <v>1501</v>
      </c>
      <c r="J897" s="9">
        <v>4998701267</v>
      </c>
      <c r="K897" s="68">
        <v>44255</v>
      </c>
      <c r="L897" s="68">
        <v>46022</v>
      </c>
      <c r="M897" s="68">
        <v>46203</v>
      </c>
      <c r="N897" s="69">
        <f t="shared" si="39"/>
        <v>55</v>
      </c>
      <c r="O897" s="69">
        <f t="shared" si="40"/>
        <v>0</v>
      </c>
      <c r="P897" s="70">
        <v>25</v>
      </c>
      <c r="Q897" s="70">
        <v>80</v>
      </c>
      <c r="R897" s="70">
        <v>80</v>
      </c>
      <c r="S897" s="68" t="str">
        <f t="shared" si="41"/>
        <v/>
      </c>
      <c r="T897" s="68"/>
      <c r="U897" s="68"/>
      <c r="V897" s="68"/>
      <c r="W897" s="9"/>
      <c r="X897" s="10"/>
      <c r="Y897" s="71">
        <f t="shared" si="42"/>
        <v>80</v>
      </c>
      <c r="Z897" s="73">
        <f t="shared" si="43"/>
        <v>80</v>
      </c>
      <c r="AA897" s="11" t="str">
        <f t="shared" si="44"/>
        <v/>
      </c>
      <c r="AB897" s="73">
        <f t="shared" si="45"/>
        <v>55</v>
      </c>
      <c r="AC897" s="11" t="str">
        <f t="shared" si="46"/>
        <v/>
      </c>
      <c r="AD897" s="73">
        <f t="shared" si="47"/>
        <v>0</v>
      </c>
      <c r="AE897" s="11" t="str">
        <f t="shared" si="48"/>
        <v/>
      </c>
      <c r="AF897" s="73">
        <f t="shared" si="49"/>
        <v>55.000897000000002</v>
      </c>
      <c r="AG897" s="11" t="str">
        <f t="shared" si="50"/>
        <v/>
      </c>
      <c r="AH897" s="73">
        <f t="shared" si="51"/>
        <v>8.9700000000000001E-4</v>
      </c>
    </row>
    <row r="898" spans="1:34" ht="14.25" customHeight="1">
      <c r="A898" s="11">
        <v>883</v>
      </c>
      <c r="B898" s="66"/>
      <c r="C898" s="67"/>
      <c r="D898" s="67"/>
      <c r="E898" s="67"/>
      <c r="F898" s="67"/>
      <c r="G898" s="67" t="s">
        <v>35</v>
      </c>
      <c r="H898" s="67">
        <v>45071</v>
      </c>
      <c r="I898" s="6" t="s">
        <v>1502</v>
      </c>
      <c r="J898" s="9">
        <v>5018131475</v>
      </c>
      <c r="K898" s="68">
        <v>45046</v>
      </c>
      <c r="L898" s="68">
        <v>46022</v>
      </c>
      <c r="M898" s="68">
        <v>46203</v>
      </c>
      <c r="N898" s="69">
        <f t="shared" si="39"/>
        <v>-2</v>
      </c>
      <c r="O898" s="69">
        <f t="shared" si="40"/>
        <v>0</v>
      </c>
      <c r="P898" s="70">
        <v>2</v>
      </c>
      <c r="Q898" s="70">
        <v>0</v>
      </c>
      <c r="R898" s="70">
        <v>0</v>
      </c>
      <c r="S898" s="68" t="str">
        <f t="shared" si="41"/>
        <v/>
      </c>
      <c r="T898" s="68"/>
      <c r="U898" s="68"/>
      <c r="V898" s="68"/>
      <c r="W898" s="9"/>
      <c r="X898" s="10"/>
      <c r="Y898" s="71">
        <f t="shared" si="42"/>
        <v>0</v>
      </c>
      <c r="Z898" s="73">
        <f t="shared" si="43"/>
        <v>0</v>
      </c>
      <c r="AA898" s="11" t="str">
        <f t="shared" si="44"/>
        <v/>
      </c>
      <c r="AB898" s="73">
        <f t="shared" si="45"/>
        <v>-2</v>
      </c>
      <c r="AC898" s="11" t="str">
        <f t="shared" si="46"/>
        <v/>
      </c>
      <c r="AD898" s="73">
        <f t="shared" si="47"/>
        <v>0</v>
      </c>
      <c r="AE898" s="11" t="str">
        <f t="shared" si="48"/>
        <v/>
      </c>
      <c r="AF898" s="73">
        <f t="shared" si="49"/>
        <v>-1.9991019999999999</v>
      </c>
      <c r="AG898" s="11" t="str">
        <f t="shared" si="50"/>
        <v/>
      </c>
      <c r="AH898" s="73">
        <f t="shared" si="51"/>
        <v>8.9800000000000004E-4</v>
      </c>
    </row>
    <row r="899" spans="1:34" ht="14.25" customHeight="1">
      <c r="A899" s="11">
        <v>884</v>
      </c>
      <c r="B899" s="66" t="s">
        <v>35</v>
      </c>
      <c r="C899" s="67">
        <v>46113</v>
      </c>
      <c r="D899" s="67">
        <v>45979</v>
      </c>
      <c r="E899" s="67">
        <v>46113</v>
      </c>
      <c r="F899" s="67"/>
      <c r="G899" s="67" t="s">
        <v>35</v>
      </c>
      <c r="H899" s="67">
        <v>45979</v>
      </c>
      <c r="I899" s="6" t="s">
        <v>1503</v>
      </c>
      <c r="J899" s="9">
        <v>5018601277</v>
      </c>
      <c r="K899" s="68">
        <v>45961</v>
      </c>
      <c r="L899" s="68">
        <v>46022</v>
      </c>
      <c r="M899" s="68">
        <v>46203</v>
      </c>
      <c r="N899" s="69">
        <f t="shared" si="39"/>
        <v>6</v>
      </c>
      <c r="O899" s="69">
        <f t="shared" si="40"/>
        <v>4</v>
      </c>
      <c r="P899" s="70">
        <v>18</v>
      </c>
      <c r="Q899" s="70">
        <v>20</v>
      </c>
      <c r="R899" s="70">
        <v>24</v>
      </c>
      <c r="S899" s="68" t="str">
        <f t="shared" si="41"/>
        <v/>
      </c>
      <c r="T899" s="68"/>
      <c r="U899" s="68"/>
      <c r="V899" s="68"/>
      <c r="W899" s="9"/>
      <c r="X899" s="10" t="s">
        <v>1504</v>
      </c>
      <c r="Y899" s="71">
        <f t="shared" si="42"/>
        <v>20</v>
      </c>
      <c r="Z899" s="73">
        <f t="shared" si="43"/>
        <v>24</v>
      </c>
      <c r="AA899" s="73">
        <f t="shared" si="44"/>
        <v>6</v>
      </c>
      <c r="AB899" s="73">
        <f t="shared" si="45"/>
        <v>6</v>
      </c>
      <c r="AC899" s="73">
        <f t="shared" si="46"/>
        <v>4</v>
      </c>
      <c r="AD899" s="73">
        <f t="shared" si="47"/>
        <v>4</v>
      </c>
      <c r="AE899" s="73">
        <f t="shared" si="48"/>
        <v>6.0008990000000004</v>
      </c>
      <c r="AF899" s="73">
        <f t="shared" si="49"/>
        <v>6.0008990000000004</v>
      </c>
      <c r="AG899" s="73">
        <f t="shared" si="50"/>
        <v>4.0008990000000004</v>
      </c>
      <c r="AH899" s="73">
        <f t="shared" si="51"/>
        <v>4.0008990000000004</v>
      </c>
    </row>
    <row r="900" spans="1:34" ht="14.25" customHeight="1">
      <c r="A900" s="11">
        <v>885</v>
      </c>
      <c r="B900" s="66"/>
      <c r="C900" s="67"/>
      <c r="D900" s="67"/>
      <c r="E900" s="67"/>
      <c r="F900" s="67"/>
      <c r="G900" s="67" t="s">
        <v>35</v>
      </c>
      <c r="H900" s="67">
        <v>44936</v>
      </c>
      <c r="I900" s="6" t="s">
        <v>1505</v>
      </c>
      <c r="J900" s="9">
        <v>5018701653</v>
      </c>
      <c r="K900" s="68">
        <v>44926</v>
      </c>
      <c r="L900" s="68">
        <v>46022</v>
      </c>
      <c r="M900" s="68">
        <v>46203</v>
      </c>
      <c r="N900" s="69">
        <f t="shared" si="39"/>
        <v>10</v>
      </c>
      <c r="O900" s="69">
        <f t="shared" si="40"/>
        <v>9</v>
      </c>
      <c r="P900" s="70">
        <v>20</v>
      </c>
      <c r="Q900" s="70">
        <v>21</v>
      </c>
      <c r="R900" s="70">
        <v>30</v>
      </c>
      <c r="S900" s="68" t="str">
        <f t="shared" si="41"/>
        <v/>
      </c>
      <c r="T900" s="68"/>
      <c r="U900" s="68"/>
      <c r="V900" s="68"/>
      <c r="W900" s="9"/>
      <c r="X900" s="10"/>
      <c r="Y900" s="71">
        <f t="shared" si="42"/>
        <v>21</v>
      </c>
      <c r="Z900" s="73">
        <f t="shared" si="43"/>
        <v>30</v>
      </c>
      <c r="AA900" s="11" t="str">
        <f t="shared" si="44"/>
        <v/>
      </c>
      <c r="AB900" s="73">
        <f t="shared" si="45"/>
        <v>10</v>
      </c>
      <c r="AC900" s="11" t="str">
        <f t="shared" si="46"/>
        <v/>
      </c>
      <c r="AD900" s="73">
        <f t="shared" si="47"/>
        <v>9</v>
      </c>
      <c r="AE900" s="11" t="str">
        <f t="shared" si="48"/>
        <v/>
      </c>
      <c r="AF900" s="73">
        <f t="shared" si="49"/>
        <v>10.0009</v>
      </c>
      <c r="AG900" s="11" t="str">
        <f t="shared" si="50"/>
        <v/>
      </c>
      <c r="AH900" s="73">
        <f t="shared" si="51"/>
        <v>9.0008999999999997</v>
      </c>
    </row>
    <row r="901" spans="1:34" ht="14.25" customHeight="1">
      <c r="A901" s="11">
        <v>886</v>
      </c>
      <c r="B901" s="66"/>
      <c r="C901" s="67"/>
      <c r="D901" s="67"/>
      <c r="E901" s="67"/>
      <c r="F901" s="67"/>
      <c r="G901" s="67" t="s">
        <v>35</v>
      </c>
      <c r="H901" s="67">
        <v>44791</v>
      </c>
      <c r="I901" s="6" t="s">
        <v>1506</v>
      </c>
      <c r="J901" s="9">
        <v>5018702574</v>
      </c>
      <c r="K901" s="68">
        <v>44773</v>
      </c>
      <c r="L901" s="68">
        <v>46022</v>
      </c>
      <c r="M901" s="68">
        <v>46203</v>
      </c>
      <c r="N901" s="69">
        <f t="shared" si="39"/>
        <v>14</v>
      </c>
      <c r="O901" s="69">
        <f t="shared" si="40"/>
        <v>5</v>
      </c>
      <c r="P901" s="70">
        <v>0</v>
      </c>
      <c r="Q901" s="70">
        <v>9</v>
      </c>
      <c r="R901" s="70">
        <v>14</v>
      </c>
      <c r="S901" s="68" t="str">
        <f t="shared" si="41"/>
        <v/>
      </c>
      <c r="T901" s="68"/>
      <c r="U901" s="68"/>
      <c r="V901" s="68"/>
      <c r="W901" s="9"/>
      <c r="X901" s="10"/>
      <c r="Y901" s="71">
        <f t="shared" si="42"/>
        <v>9</v>
      </c>
      <c r="Z901" s="73">
        <f t="shared" si="43"/>
        <v>14</v>
      </c>
      <c r="AA901" s="11" t="str">
        <f t="shared" si="44"/>
        <v/>
      </c>
      <c r="AB901" s="73">
        <f t="shared" si="45"/>
        <v>14</v>
      </c>
      <c r="AC901" s="11" t="str">
        <f t="shared" si="46"/>
        <v/>
      </c>
      <c r="AD901" s="73">
        <f t="shared" si="47"/>
        <v>5</v>
      </c>
      <c r="AE901" s="11" t="str">
        <f t="shared" si="48"/>
        <v/>
      </c>
      <c r="AF901" s="73">
        <f t="shared" si="49"/>
        <v>14.000901000000001</v>
      </c>
      <c r="AG901" s="11" t="str">
        <f t="shared" si="50"/>
        <v/>
      </c>
      <c r="AH901" s="73">
        <f t="shared" si="51"/>
        <v>5.0009009999999998</v>
      </c>
    </row>
    <row r="902" spans="1:34" ht="14.25" customHeight="1">
      <c r="A902" s="11">
        <v>887</v>
      </c>
      <c r="B902" s="66"/>
      <c r="C902" s="67"/>
      <c r="D902" s="67"/>
      <c r="E902" s="67"/>
      <c r="F902" s="67"/>
      <c r="G902" s="124" t="s">
        <v>24</v>
      </c>
      <c r="H902" s="67">
        <v>44792</v>
      </c>
      <c r="I902" s="6" t="s">
        <v>1507</v>
      </c>
      <c r="J902" s="9">
        <v>5028633904</v>
      </c>
      <c r="K902" s="68">
        <v>44773</v>
      </c>
      <c r="L902" s="68">
        <v>46022</v>
      </c>
      <c r="M902" s="68">
        <v>46053</v>
      </c>
      <c r="N902" s="69">
        <f t="shared" si="39"/>
        <v>-24</v>
      </c>
      <c r="O902" s="69">
        <f t="shared" si="40"/>
        <v>0</v>
      </c>
      <c r="P902" s="70">
        <v>24</v>
      </c>
      <c r="Q902" s="70">
        <v>0</v>
      </c>
      <c r="R902" s="70">
        <v>0</v>
      </c>
      <c r="S902" s="68">
        <f t="shared" si="41"/>
        <v>46027</v>
      </c>
      <c r="T902" s="68">
        <v>46027</v>
      </c>
      <c r="U902" s="68"/>
      <c r="V902" s="68"/>
      <c r="W902" s="9"/>
      <c r="X902" s="10"/>
      <c r="Y902" s="71">
        <f t="shared" si="42"/>
        <v>0</v>
      </c>
      <c r="Z902" s="73">
        <f t="shared" si="43"/>
        <v>0</v>
      </c>
      <c r="AA902" s="11" t="str">
        <f t="shared" si="44"/>
        <v/>
      </c>
      <c r="AB902" s="73">
        <f t="shared" si="45"/>
        <v>-24</v>
      </c>
      <c r="AC902" s="11" t="str">
        <f t="shared" si="46"/>
        <v/>
      </c>
      <c r="AD902" s="73">
        <f t="shared" si="47"/>
        <v>0</v>
      </c>
      <c r="AE902" s="11" t="str">
        <f t="shared" si="48"/>
        <v/>
      </c>
      <c r="AF902" s="73">
        <f t="shared" si="49"/>
        <v>-23.999098</v>
      </c>
      <c r="AG902" s="11" t="str">
        <f t="shared" si="50"/>
        <v/>
      </c>
      <c r="AH902" s="73">
        <f t="shared" si="51"/>
        <v>9.0200000000000002E-4</v>
      </c>
    </row>
    <row r="903" spans="1:34" ht="14.25" customHeight="1">
      <c r="A903" s="11">
        <v>888</v>
      </c>
      <c r="B903" s="66"/>
      <c r="C903" s="67"/>
      <c r="D903" s="67"/>
      <c r="E903" s="67"/>
      <c r="F903" s="67"/>
      <c r="G903" s="67" t="s">
        <v>35</v>
      </c>
      <c r="H903" s="67">
        <v>45194</v>
      </c>
      <c r="I903" s="6" t="s">
        <v>1508</v>
      </c>
      <c r="J903" s="9">
        <v>5028801347</v>
      </c>
      <c r="K903" s="68">
        <v>45169</v>
      </c>
      <c r="L903" s="68">
        <v>46022</v>
      </c>
      <c r="M903" s="68">
        <v>46203</v>
      </c>
      <c r="N903" s="69">
        <f t="shared" si="39"/>
        <v>-5</v>
      </c>
      <c r="O903" s="69">
        <f t="shared" si="40"/>
        <v>-1</v>
      </c>
      <c r="P903" s="70">
        <v>9</v>
      </c>
      <c r="Q903" s="70">
        <v>5</v>
      </c>
      <c r="R903" s="70">
        <v>4</v>
      </c>
      <c r="S903" s="68" t="str">
        <f t="shared" si="41"/>
        <v/>
      </c>
      <c r="T903" s="68"/>
      <c r="U903" s="68"/>
      <c r="V903" s="68"/>
      <c r="W903" s="9"/>
      <c r="X903" s="10"/>
      <c r="Y903" s="71">
        <f t="shared" si="42"/>
        <v>5</v>
      </c>
      <c r="Z903" s="73">
        <f t="shared" si="43"/>
        <v>4</v>
      </c>
      <c r="AA903" s="11" t="str">
        <f t="shared" si="44"/>
        <v/>
      </c>
      <c r="AB903" s="73">
        <f t="shared" si="45"/>
        <v>-5</v>
      </c>
      <c r="AC903" s="11" t="str">
        <f t="shared" si="46"/>
        <v/>
      </c>
      <c r="AD903" s="73">
        <f t="shared" si="47"/>
        <v>-1</v>
      </c>
      <c r="AE903" s="11" t="str">
        <f t="shared" si="48"/>
        <v/>
      </c>
      <c r="AF903" s="73">
        <f t="shared" si="49"/>
        <v>-4.9990969999999999</v>
      </c>
      <c r="AG903" s="11" t="str">
        <f t="shared" si="50"/>
        <v/>
      </c>
      <c r="AH903" s="73">
        <f t="shared" si="51"/>
        <v>-0.99909700000000001</v>
      </c>
    </row>
    <row r="904" spans="1:34" ht="14.25" customHeight="1">
      <c r="A904" s="11">
        <v>889</v>
      </c>
      <c r="B904" s="66"/>
      <c r="C904" s="67"/>
      <c r="D904" s="67"/>
      <c r="E904" s="67"/>
      <c r="F904" s="67"/>
      <c r="G904" s="67" t="s">
        <v>35</v>
      </c>
      <c r="H904" s="67">
        <v>45862</v>
      </c>
      <c r="I904" s="6" t="s">
        <v>1509</v>
      </c>
      <c r="J904" s="94">
        <v>5038192857</v>
      </c>
      <c r="K904" s="68">
        <v>45838</v>
      </c>
      <c r="L904" s="68">
        <v>46022</v>
      </c>
      <c r="M904" s="68">
        <v>46203</v>
      </c>
      <c r="N904" s="69">
        <f t="shared" si="39"/>
        <v>19</v>
      </c>
      <c r="O904" s="69">
        <f t="shared" si="40"/>
        <v>15</v>
      </c>
      <c r="P904" s="70">
        <v>32</v>
      </c>
      <c r="Q904" s="70">
        <v>36</v>
      </c>
      <c r="R904" s="70">
        <v>51</v>
      </c>
      <c r="S904" s="68" t="str">
        <f t="shared" si="41"/>
        <v/>
      </c>
      <c r="T904" s="68"/>
      <c r="U904" s="95"/>
      <c r="V904" s="68"/>
      <c r="W904" s="6"/>
      <c r="X904" s="10"/>
      <c r="Y904" s="71">
        <f t="shared" si="42"/>
        <v>36</v>
      </c>
      <c r="Z904" s="73">
        <f t="shared" si="43"/>
        <v>51</v>
      </c>
      <c r="AA904" s="11" t="str">
        <f t="shared" si="44"/>
        <v/>
      </c>
      <c r="AB904" s="73">
        <f t="shared" si="45"/>
        <v>19</v>
      </c>
      <c r="AC904" s="11" t="str">
        <f t="shared" si="46"/>
        <v/>
      </c>
      <c r="AD904" s="73">
        <f t="shared" si="47"/>
        <v>15</v>
      </c>
      <c r="AE904" s="11" t="str">
        <f t="shared" si="48"/>
        <v/>
      </c>
      <c r="AF904" s="73">
        <f t="shared" si="49"/>
        <v>19.000903999999998</v>
      </c>
      <c r="AG904" s="11" t="str">
        <f t="shared" si="50"/>
        <v/>
      </c>
      <c r="AH904" s="73">
        <f t="shared" si="51"/>
        <v>15.000904</v>
      </c>
    </row>
    <row r="905" spans="1:34" ht="14.25" customHeight="1">
      <c r="A905" s="11">
        <v>890</v>
      </c>
      <c r="B905" s="66" t="s">
        <v>24</v>
      </c>
      <c r="C905" s="67">
        <v>42705</v>
      </c>
      <c r="D905" s="67"/>
      <c r="E905" s="67"/>
      <c r="F905" s="67"/>
      <c r="G905" s="67"/>
      <c r="H905" s="67"/>
      <c r="I905" s="6" t="s">
        <v>1510</v>
      </c>
      <c r="J905" s="9">
        <v>5038618468</v>
      </c>
      <c r="K905" s="68">
        <v>42704</v>
      </c>
      <c r="L905" s="68" t="s">
        <v>230</v>
      </c>
      <c r="M905" s="68">
        <v>45626</v>
      </c>
      <c r="N905" s="69">
        <f t="shared" si="39"/>
        <v>0</v>
      </c>
      <c r="O905" s="69" t="str">
        <f t="shared" si="40"/>
        <v>N/A</v>
      </c>
      <c r="P905" s="70">
        <v>0</v>
      </c>
      <c r="Q905" s="70"/>
      <c r="R905" s="70">
        <v>0</v>
      </c>
      <c r="S905" s="68">
        <f t="shared" si="41"/>
        <v>45614</v>
      </c>
      <c r="T905" s="68">
        <v>45614</v>
      </c>
      <c r="U905" s="68"/>
      <c r="V905" s="68"/>
      <c r="W905" s="9"/>
      <c r="X905" s="10"/>
      <c r="Y905" s="65" t="str">
        <f t="shared" si="42"/>
        <v/>
      </c>
      <c r="Z905" s="11" t="str">
        <f t="shared" si="43"/>
        <v/>
      </c>
      <c r="AA905" s="73">
        <f t="shared" si="44"/>
        <v>0</v>
      </c>
      <c r="AB905" s="11" t="str">
        <f t="shared" si="45"/>
        <v/>
      </c>
      <c r="AC905" s="11" t="str">
        <f t="shared" si="46"/>
        <v/>
      </c>
      <c r="AD905" s="11" t="str">
        <f t="shared" si="47"/>
        <v/>
      </c>
      <c r="AE905" s="73">
        <f t="shared" si="48"/>
        <v>9.0499999999999999E-4</v>
      </c>
      <c r="AF905" s="11" t="str">
        <f t="shared" si="49"/>
        <v/>
      </c>
      <c r="AG905" s="11" t="str">
        <f t="shared" si="50"/>
        <v/>
      </c>
      <c r="AH905" s="11" t="str">
        <f t="shared" si="51"/>
        <v/>
      </c>
    </row>
    <row r="906" spans="1:34" ht="14.25" customHeight="1">
      <c r="A906" s="11">
        <v>891</v>
      </c>
      <c r="B906" s="66"/>
      <c r="C906" s="67"/>
      <c r="D906" s="67"/>
      <c r="E906" s="67"/>
      <c r="F906" s="67"/>
      <c r="G906" s="67" t="s">
        <v>24</v>
      </c>
      <c r="H906" s="67">
        <v>42916</v>
      </c>
      <c r="I906" s="6" t="s">
        <v>1511</v>
      </c>
      <c r="J906" s="9">
        <v>5048119301</v>
      </c>
      <c r="K906" s="68">
        <v>42886</v>
      </c>
      <c r="L906" s="68" t="s">
        <v>230</v>
      </c>
      <c r="M906" s="68">
        <v>45747</v>
      </c>
      <c r="N906" s="69">
        <f t="shared" si="39"/>
        <v>-62</v>
      </c>
      <c r="O906" s="69" t="str">
        <f t="shared" si="40"/>
        <v>N/A</v>
      </c>
      <c r="P906" s="70">
        <v>62</v>
      </c>
      <c r="Q906" s="70"/>
      <c r="R906" s="70">
        <v>0</v>
      </c>
      <c r="S906" s="68">
        <f t="shared" si="41"/>
        <v>45741</v>
      </c>
      <c r="T906" s="68">
        <v>45741</v>
      </c>
      <c r="U906" s="68"/>
      <c r="V906" s="68"/>
      <c r="W906" s="9"/>
      <c r="X906" s="10"/>
      <c r="Y906" s="65" t="str">
        <f t="shared" si="42"/>
        <v/>
      </c>
      <c r="Z906" s="11" t="str">
        <f t="shared" si="43"/>
        <v/>
      </c>
      <c r="AA906" s="11" t="str">
        <f t="shared" si="44"/>
        <v/>
      </c>
      <c r="AB906" s="73">
        <f t="shared" si="45"/>
        <v>-62</v>
      </c>
      <c r="AC906" s="11" t="str">
        <f t="shared" si="46"/>
        <v/>
      </c>
      <c r="AD906" s="11" t="str">
        <f t="shared" si="47"/>
        <v/>
      </c>
      <c r="AE906" s="11" t="str">
        <f t="shared" si="48"/>
        <v/>
      </c>
      <c r="AF906" s="73">
        <f t="shared" si="49"/>
        <v>-61.999093999999999</v>
      </c>
      <c r="AG906" s="11" t="str">
        <f t="shared" si="50"/>
        <v/>
      </c>
      <c r="AH906" s="11" t="str">
        <f t="shared" si="51"/>
        <v/>
      </c>
    </row>
    <row r="907" spans="1:34" ht="14.25" customHeight="1">
      <c r="A907" s="11">
        <v>892</v>
      </c>
      <c r="B907" s="66" t="s">
        <v>35</v>
      </c>
      <c r="C907" s="67">
        <v>43194</v>
      </c>
      <c r="D907" s="67"/>
      <c r="E907" s="67"/>
      <c r="F907" s="67"/>
      <c r="G907" s="67"/>
      <c r="H907" s="67"/>
      <c r="I907" s="6" t="s">
        <v>1512</v>
      </c>
      <c r="J907" s="9">
        <v>5048619970</v>
      </c>
      <c r="K907" s="68">
        <v>43190</v>
      </c>
      <c r="L907" s="68">
        <v>46022</v>
      </c>
      <c r="M907" s="68">
        <v>46203</v>
      </c>
      <c r="N907" s="69">
        <f t="shared" si="39"/>
        <v>4</v>
      </c>
      <c r="O907" s="69">
        <f t="shared" si="40"/>
        <v>0</v>
      </c>
      <c r="P907" s="70">
        <v>2</v>
      </c>
      <c r="Q907" s="70">
        <v>6</v>
      </c>
      <c r="R907" s="70">
        <v>6</v>
      </c>
      <c r="S907" s="68" t="str">
        <f t="shared" si="41"/>
        <v/>
      </c>
      <c r="T907" s="68"/>
      <c r="U907" s="68"/>
      <c r="V907" s="68"/>
      <c r="W907" s="9"/>
      <c r="X907" s="10"/>
      <c r="Y907" s="71">
        <f t="shared" si="42"/>
        <v>6</v>
      </c>
      <c r="Z907" s="73">
        <f t="shared" si="43"/>
        <v>6</v>
      </c>
      <c r="AA907" s="73">
        <f t="shared" si="44"/>
        <v>4</v>
      </c>
      <c r="AB907" s="11" t="str">
        <f t="shared" si="45"/>
        <v/>
      </c>
      <c r="AC907" s="73">
        <f t="shared" si="46"/>
        <v>0</v>
      </c>
      <c r="AD907" s="11" t="str">
        <f t="shared" si="47"/>
        <v/>
      </c>
      <c r="AE907" s="73">
        <f t="shared" si="48"/>
        <v>4.0009069999999998</v>
      </c>
      <c r="AF907" s="11" t="str">
        <f t="shared" si="49"/>
        <v/>
      </c>
      <c r="AG907" s="73">
        <f t="shared" si="50"/>
        <v>9.0700000000000004E-4</v>
      </c>
      <c r="AH907" s="11" t="str">
        <f t="shared" si="51"/>
        <v/>
      </c>
    </row>
    <row r="908" spans="1:34" ht="14.25" customHeight="1">
      <c r="A908" s="11">
        <v>893</v>
      </c>
      <c r="B908" s="66" t="s">
        <v>35</v>
      </c>
      <c r="C908" s="67">
        <v>43923</v>
      </c>
      <c r="D908" s="67">
        <v>43971</v>
      </c>
      <c r="E908" s="67"/>
      <c r="F908" s="67"/>
      <c r="G908" s="67"/>
      <c r="H908" s="67"/>
      <c r="I908" s="6" t="s">
        <v>1513</v>
      </c>
      <c r="J908" s="9">
        <v>5058186012</v>
      </c>
      <c r="K908" s="68">
        <v>43921</v>
      </c>
      <c r="L908" s="68">
        <v>46022</v>
      </c>
      <c r="M908" s="68">
        <v>46203</v>
      </c>
      <c r="N908" s="69">
        <f t="shared" si="39"/>
        <v>12</v>
      </c>
      <c r="O908" s="69">
        <f t="shared" si="40"/>
        <v>-2</v>
      </c>
      <c r="P908" s="70">
        <v>0</v>
      </c>
      <c r="Q908" s="70">
        <v>14</v>
      </c>
      <c r="R908" s="70">
        <v>12</v>
      </c>
      <c r="S908" s="68" t="str">
        <f t="shared" si="41"/>
        <v/>
      </c>
      <c r="T908" s="68"/>
      <c r="U908" s="68"/>
      <c r="V908" s="68"/>
      <c r="W908" s="9"/>
      <c r="X908" s="10"/>
      <c r="Y908" s="71">
        <f t="shared" si="42"/>
        <v>14</v>
      </c>
      <c r="Z908" s="73">
        <f t="shared" si="43"/>
        <v>12</v>
      </c>
      <c r="AA908" s="73">
        <f t="shared" si="44"/>
        <v>12</v>
      </c>
      <c r="AB908" s="11" t="str">
        <f t="shared" si="45"/>
        <v/>
      </c>
      <c r="AC908" s="73">
        <f t="shared" si="46"/>
        <v>-2</v>
      </c>
      <c r="AD908" s="11" t="str">
        <f t="shared" si="47"/>
        <v/>
      </c>
      <c r="AE908" s="73">
        <f t="shared" si="48"/>
        <v>12.000908000000001</v>
      </c>
      <c r="AF908" s="11" t="str">
        <f t="shared" si="49"/>
        <v/>
      </c>
      <c r="AG908" s="73">
        <f t="shared" si="50"/>
        <v>-1.9990920000000001</v>
      </c>
      <c r="AH908" s="11" t="str">
        <f t="shared" si="51"/>
        <v/>
      </c>
    </row>
    <row r="909" spans="1:34" ht="14.25" customHeight="1">
      <c r="A909" s="11">
        <v>894</v>
      </c>
      <c r="B909" s="66"/>
      <c r="C909" s="67"/>
      <c r="D909" s="67"/>
      <c r="E909" s="67"/>
      <c r="F909" s="67"/>
      <c r="G909" s="67" t="s">
        <v>35</v>
      </c>
      <c r="H909" s="67">
        <v>45890</v>
      </c>
      <c r="I909" s="6" t="s">
        <v>1514</v>
      </c>
      <c r="J909" s="94">
        <v>5058603049</v>
      </c>
      <c r="K909" s="68">
        <v>45869</v>
      </c>
      <c r="L909" s="68">
        <v>46022</v>
      </c>
      <c r="M909" s="68">
        <v>46203</v>
      </c>
      <c r="N909" s="69">
        <f t="shared" si="39"/>
        <v>17</v>
      </c>
      <c r="O909" s="69">
        <f t="shared" si="40"/>
        <v>8</v>
      </c>
      <c r="P909" s="70">
        <v>12</v>
      </c>
      <c r="Q909" s="70">
        <v>21</v>
      </c>
      <c r="R909" s="70">
        <v>29</v>
      </c>
      <c r="S909" s="68" t="str">
        <f t="shared" si="41"/>
        <v/>
      </c>
      <c r="T909" s="68"/>
      <c r="U909" s="95"/>
      <c r="V909" s="68"/>
      <c r="W909" s="6"/>
      <c r="X909" s="10"/>
      <c r="Y909" s="71">
        <f t="shared" si="42"/>
        <v>21</v>
      </c>
      <c r="Z909" s="73">
        <f t="shared" si="43"/>
        <v>29</v>
      </c>
      <c r="AA909" s="11" t="str">
        <f t="shared" si="44"/>
        <v/>
      </c>
      <c r="AB909" s="73">
        <f t="shared" si="45"/>
        <v>17</v>
      </c>
      <c r="AC909" s="11" t="str">
        <f t="shared" si="46"/>
        <v/>
      </c>
      <c r="AD909" s="73">
        <f t="shared" si="47"/>
        <v>8</v>
      </c>
      <c r="AE909" s="11" t="str">
        <f t="shared" si="48"/>
        <v/>
      </c>
      <c r="AF909" s="73">
        <f t="shared" si="49"/>
        <v>17.000909</v>
      </c>
      <c r="AG909" s="11" t="str">
        <f t="shared" si="50"/>
        <v/>
      </c>
      <c r="AH909" s="73">
        <f t="shared" si="51"/>
        <v>8.000909</v>
      </c>
    </row>
    <row r="910" spans="1:34" ht="14.25" customHeight="1">
      <c r="A910" s="11">
        <v>895</v>
      </c>
      <c r="B910" s="66"/>
      <c r="C910" s="67"/>
      <c r="D910" s="67"/>
      <c r="E910" s="67"/>
      <c r="F910" s="67"/>
      <c r="G910" s="67" t="s">
        <v>35</v>
      </c>
      <c r="H910" s="67">
        <v>45623</v>
      </c>
      <c r="I910" s="6" t="s">
        <v>1515</v>
      </c>
      <c r="J910" s="9">
        <v>5058802724</v>
      </c>
      <c r="K910" s="68">
        <v>45596</v>
      </c>
      <c r="L910" s="68">
        <v>46022</v>
      </c>
      <c r="M910" s="68">
        <v>46203</v>
      </c>
      <c r="N910" s="69">
        <f t="shared" si="39"/>
        <v>1</v>
      </c>
      <c r="O910" s="69">
        <f t="shared" si="40"/>
        <v>0</v>
      </c>
      <c r="P910" s="70">
        <v>2</v>
      </c>
      <c r="Q910" s="70">
        <v>3</v>
      </c>
      <c r="R910" s="70">
        <v>3</v>
      </c>
      <c r="S910" s="68" t="str">
        <f t="shared" si="41"/>
        <v/>
      </c>
      <c r="T910" s="68"/>
      <c r="U910" s="68"/>
      <c r="V910" s="68"/>
      <c r="W910" s="9"/>
      <c r="X910" s="10"/>
      <c r="Y910" s="71">
        <f t="shared" si="42"/>
        <v>3</v>
      </c>
      <c r="Z910" s="73">
        <f t="shared" si="43"/>
        <v>3</v>
      </c>
      <c r="AA910" s="11" t="str">
        <f t="shared" si="44"/>
        <v/>
      </c>
      <c r="AB910" s="73">
        <f t="shared" si="45"/>
        <v>1</v>
      </c>
      <c r="AC910" s="11" t="str">
        <f t="shared" si="46"/>
        <v/>
      </c>
      <c r="AD910" s="73">
        <f t="shared" si="47"/>
        <v>0</v>
      </c>
      <c r="AE910" s="11" t="str">
        <f t="shared" si="48"/>
        <v/>
      </c>
      <c r="AF910" s="73">
        <f t="shared" si="49"/>
        <v>1.00091</v>
      </c>
      <c r="AG910" s="11" t="str">
        <f t="shared" si="50"/>
        <v/>
      </c>
      <c r="AH910" s="73">
        <f t="shared" si="51"/>
        <v>9.1E-4</v>
      </c>
    </row>
    <row r="911" spans="1:34" ht="14.25" customHeight="1">
      <c r="A911" s="11">
        <v>896</v>
      </c>
      <c r="B911" s="66"/>
      <c r="C911" s="67"/>
      <c r="D911" s="67"/>
      <c r="E911" s="67"/>
      <c r="F911" s="67"/>
      <c r="G911" s="67" t="s">
        <v>35</v>
      </c>
      <c r="H911" s="67">
        <v>45014</v>
      </c>
      <c r="I911" s="6" t="s">
        <v>1516</v>
      </c>
      <c r="J911" s="9">
        <v>5068175987</v>
      </c>
      <c r="K911" s="68">
        <v>44985</v>
      </c>
      <c r="L911" s="68">
        <v>46022</v>
      </c>
      <c r="M911" s="68">
        <v>46203</v>
      </c>
      <c r="N911" s="69">
        <f t="shared" si="39"/>
        <v>34</v>
      </c>
      <c r="O911" s="69">
        <f t="shared" si="40"/>
        <v>-14</v>
      </c>
      <c r="P911" s="70">
        <v>73</v>
      </c>
      <c r="Q911" s="70">
        <v>121</v>
      </c>
      <c r="R911" s="70">
        <v>107</v>
      </c>
      <c r="S911" s="68" t="str">
        <f t="shared" si="41"/>
        <v/>
      </c>
      <c r="T911" s="68"/>
      <c r="U911" s="68"/>
      <c r="V911" s="68"/>
      <c r="W911" s="9"/>
      <c r="X911" s="10"/>
      <c r="Y911" s="71">
        <f t="shared" si="42"/>
        <v>121</v>
      </c>
      <c r="Z911" s="73">
        <f t="shared" si="43"/>
        <v>107</v>
      </c>
      <c r="AA911" s="11" t="str">
        <f t="shared" si="44"/>
        <v/>
      </c>
      <c r="AB911" s="73">
        <f t="shared" si="45"/>
        <v>34</v>
      </c>
      <c r="AC911" s="11" t="str">
        <f t="shared" si="46"/>
        <v/>
      </c>
      <c r="AD911" s="73">
        <f t="shared" si="47"/>
        <v>-14</v>
      </c>
      <c r="AE911" s="11" t="str">
        <f t="shared" si="48"/>
        <v/>
      </c>
      <c r="AF911" s="73">
        <f t="shared" si="49"/>
        <v>34.000911000000002</v>
      </c>
      <c r="AG911" s="11" t="str">
        <f t="shared" si="50"/>
        <v/>
      </c>
      <c r="AH911" s="73">
        <f t="shared" si="51"/>
        <v>-13.999089</v>
      </c>
    </row>
    <row r="912" spans="1:34" ht="14.25" customHeight="1">
      <c r="A912" s="11">
        <v>897</v>
      </c>
      <c r="B912" s="66"/>
      <c r="C912" s="67"/>
      <c r="D912" s="67"/>
      <c r="E912" s="67"/>
      <c r="F912" s="67"/>
      <c r="G912" s="67" t="s">
        <v>35</v>
      </c>
      <c r="H912" s="67">
        <v>45968</v>
      </c>
      <c r="I912" s="6" t="s">
        <v>1517</v>
      </c>
      <c r="J912" s="94">
        <v>5068192759</v>
      </c>
      <c r="K912" s="68">
        <v>45961</v>
      </c>
      <c r="L912" s="68">
        <v>46022</v>
      </c>
      <c r="M912" s="68">
        <v>46203</v>
      </c>
      <c r="N912" s="69">
        <f t="shared" si="39"/>
        <v>5</v>
      </c>
      <c r="O912" s="69">
        <f t="shared" si="40"/>
        <v>-1</v>
      </c>
      <c r="P912" s="70">
        <v>18</v>
      </c>
      <c r="Q912" s="70">
        <v>24</v>
      </c>
      <c r="R912" s="70">
        <v>23</v>
      </c>
      <c r="S912" s="68" t="str">
        <f t="shared" si="41"/>
        <v/>
      </c>
      <c r="T912" s="68"/>
      <c r="U912" s="95"/>
      <c r="V912" s="68"/>
      <c r="W912" s="6"/>
      <c r="X912" s="10"/>
      <c r="Y912" s="71">
        <f t="shared" si="42"/>
        <v>24</v>
      </c>
      <c r="Z912" s="73">
        <f t="shared" si="43"/>
        <v>23</v>
      </c>
      <c r="AA912" s="11" t="str">
        <f t="shared" si="44"/>
        <v/>
      </c>
      <c r="AB912" s="73">
        <f t="shared" si="45"/>
        <v>5</v>
      </c>
      <c r="AC912" s="11" t="str">
        <f t="shared" si="46"/>
        <v/>
      </c>
      <c r="AD912" s="73">
        <f t="shared" si="47"/>
        <v>-1</v>
      </c>
      <c r="AE912" s="11" t="str">
        <f t="shared" si="48"/>
        <v/>
      </c>
      <c r="AF912" s="73">
        <f t="shared" si="49"/>
        <v>5.0009119999999996</v>
      </c>
      <c r="AG912" s="11" t="str">
        <f t="shared" si="50"/>
        <v/>
      </c>
      <c r="AH912" s="73">
        <f t="shared" si="51"/>
        <v>-0.99908799999999998</v>
      </c>
    </row>
    <row r="913" spans="1:34" ht="14.25" customHeight="1">
      <c r="A913" s="11">
        <v>898</v>
      </c>
      <c r="B913" s="66"/>
      <c r="C913" s="67"/>
      <c r="D913" s="67"/>
      <c r="E913" s="67"/>
      <c r="F913" s="67"/>
      <c r="G913" s="67" t="s">
        <v>35</v>
      </c>
      <c r="H913" s="67">
        <v>45422</v>
      </c>
      <c r="I913" s="6" t="s">
        <v>1518</v>
      </c>
      <c r="J913" s="9">
        <v>5068802727</v>
      </c>
      <c r="K913" s="68">
        <v>45412</v>
      </c>
      <c r="L913" s="68">
        <v>46022</v>
      </c>
      <c r="M913" s="68">
        <v>46203</v>
      </c>
      <c r="N913" s="69">
        <f t="shared" si="39"/>
        <v>9</v>
      </c>
      <c r="O913" s="69">
        <f t="shared" si="40"/>
        <v>2</v>
      </c>
      <c r="P913" s="70">
        <v>2</v>
      </c>
      <c r="Q913" s="70">
        <v>9</v>
      </c>
      <c r="R913" s="70">
        <v>11</v>
      </c>
      <c r="S913" s="68" t="str">
        <f t="shared" si="41"/>
        <v/>
      </c>
      <c r="T913" s="68"/>
      <c r="U913" s="68"/>
      <c r="V913" s="68"/>
      <c r="W913" s="9"/>
      <c r="X913" s="10"/>
      <c r="Y913" s="71">
        <f t="shared" si="42"/>
        <v>9</v>
      </c>
      <c r="Z913" s="73">
        <f t="shared" si="43"/>
        <v>11</v>
      </c>
      <c r="AA913" s="11" t="str">
        <f t="shared" si="44"/>
        <v/>
      </c>
      <c r="AB913" s="73">
        <f t="shared" si="45"/>
        <v>9</v>
      </c>
      <c r="AC913" s="11" t="str">
        <f t="shared" si="46"/>
        <v/>
      </c>
      <c r="AD913" s="73">
        <f t="shared" si="47"/>
        <v>2</v>
      </c>
      <c r="AE913" s="11" t="str">
        <f t="shared" si="48"/>
        <v/>
      </c>
      <c r="AF913" s="73">
        <f t="shared" si="49"/>
        <v>9.0009130000000006</v>
      </c>
      <c r="AG913" s="11" t="str">
        <f t="shared" si="50"/>
        <v/>
      </c>
      <c r="AH913" s="73">
        <f t="shared" si="51"/>
        <v>2.0009130000000002</v>
      </c>
    </row>
    <row r="914" spans="1:34" ht="14.25" customHeight="1">
      <c r="A914" s="11">
        <v>899</v>
      </c>
      <c r="B914" s="66"/>
      <c r="C914" s="67"/>
      <c r="D914" s="67"/>
      <c r="E914" s="67"/>
      <c r="F914" s="67"/>
      <c r="G914" s="67" t="s">
        <v>35</v>
      </c>
      <c r="H914" s="67">
        <v>44974</v>
      </c>
      <c r="I914" s="6" t="s">
        <v>1519</v>
      </c>
      <c r="J914" s="9">
        <v>5078115774</v>
      </c>
      <c r="K914" s="68">
        <v>44957</v>
      </c>
      <c r="L914" s="68">
        <v>46022</v>
      </c>
      <c r="M914" s="68">
        <v>46203</v>
      </c>
      <c r="N914" s="69">
        <f t="shared" si="39"/>
        <v>2</v>
      </c>
      <c r="O914" s="69">
        <f t="shared" si="40"/>
        <v>-1</v>
      </c>
      <c r="P914" s="70">
        <v>4</v>
      </c>
      <c r="Q914" s="70">
        <v>7</v>
      </c>
      <c r="R914" s="70">
        <v>6</v>
      </c>
      <c r="S914" s="68" t="str">
        <f t="shared" si="41"/>
        <v/>
      </c>
      <c r="T914" s="68"/>
      <c r="U914" s="68"/>
      <c r="V914" s="68"/>
      <c r="W914" s="9"/>
      <c r="X914" s="10"/>
      <c r="Y914" s="71">
        <f t="shared" si="42"/>
        <v>7</v>
      </c>
      <c r="Z914" s="73">
        <f t="shared" si="43"/>
        <v>6</v>
      </c>
      <c r="AA914" s="11" t="str">
        <f t="shared" si="44"/>
        <v/>
      </c>
      <c r="AB914" s="73">
        <f t="shared" si="45"/>
        <v>2</v>
      </c>
      <c r="AC914" s="11" t="str">
        <f t="shared" si="46"/>
        <v/>
      </c>
      <c r="AD914" s="73">
        <f t="shared" si="47"/>
        <v>-1</v>
      </c>
      <c r="AE914" s="11" t="str">
        <f t="shared" si="48"/>
        <v/>
      </c>
      <c r="AF914" s="73">
        <f t="shared" si="49"/>
        <v>2.0009139999999999</v>
      </c>
      <c r="AG914" s="11" t="str">
        <f t="shared" si="50"/>
        <v/>
      </c>
      <c r="AH914" s="73">
        <f t="shared" si="51"/>
        <v>-0.99908600000000003</v>
      </c>
    </row>
    <row r="915" spans="1:34" ht="14.25" customHeight="1">
      <c r="A915" s="11">
        <v>900</v>
      </c>
      <c r="B915" s="66" t="s">
        <v>35</v>
      </c>
      <c r="C915" s="67"/>
      <c r="D915" s="67">
        <v>44323</v>
      </c>
      <c r="E915" s="67"/>
      <c r="F915" s="67"/>
      <c r="G915" s="67" t="s">
        <v>35</v>
      </c>
      <c r="H915" s="67">
        <v>44316</v>
      </c>
      <c r="I915" s="6" t="s">
        <v>1520</v>
      </c>
      <c r="J915" s="9">
        <v>5078601649</v>
      </c>
      <c r="K915" s="68">
        <v>44286</v>
      </c>
      <c r="L915" s="68">
        <v>46022</v>
      </c>
      <c r="M915" s="68">
        <v>46203</v>
      </c>
      <c r="N915" s="69">
        <f t="shared" si="39"/>
        <v>83</v>
      </c>
      <c r="O915" s="69">
        <f t="shared" si="40"/>
        <v>10</v>
      </c>
      <c r="P915" s="70">
        <v>20</v>
      </c>
      <c r="Q915" s="70">
        <v>93</v>
      </c>
      <c r="R915" s="70">
        <v>103</v>
      </c>
      <c r="S915" s="68" t="str">
        <f t="shared" si="41"/>
        <v/>
      </c>
      <c r="T915" s="68"/>
      <c r="U915" s="68"/>
      <c r="V915" s="68"/>
      <c r="W915" s="9"/>
      <c r="X915" s="10"/>
      <c r="Y915" s="71">
        <f t="shared" si="42"/>
        <v>93</v>
      </c>
      <c r="Z915" s="73">
        <f t="shared" si="43"/>
        <v>103</v>
      </c>
      <c r="AA915" s="73">
        <f t="shared" si="44"/>
        <v>83</v>
      </c>
      <c r="AB915" s="73">
        <f t="shared" si="45"/>
        <v>83</v>
      </c>
      <c r="AC915" s="73">
        <f t="shared" si="46"/>
        <v>10</v>
      </c>
      <c r="AD915" s="73">
        <f t="shared" si="47"/>
        <v>10</v>
      </c>
      <c r="AE915" s="73">
        <f t="shared" si="48"/>
        <v>83.000915000000006</v>
      </c>
      <c r="AF915" s="73">
        <f t="shared" si="49"/>
        <v>83.000915000000006</v>
      </c>
      <c r="AG915" s="73">
        <f t="shared" si="50"/>
        <v>10.000915000000001</v>
      </c>
      <c r="AH915" s="73">
        <f t="shared" si="51"/>
        <v>10.000915000000001</v>
      </c>
    </row>
    <row r="916" spans="1:34" ht="14.25" customHeight="1">
      <c r="A916" s="11">
        <v>901</v>
      </c>
      <c r="B916" s="66" t="s">
        <v>35</v>
      </c>
      <c r="C916" s="67">
        <v>44442</v>
      </c>
      <c r="D916" s="67"/>
      <c r="E916" s="67"/>
      <c r="F916" s="67"/>
      <c r="G916" s="67"/>
      <c r="H916" s="67"/>
      <c r="I916" s="6" t="s">
        <v>1521</v>
      </c>
      <c r="J916" s="9">
        <v>5081561484</v>
      </c>
      <c r="K916" s="68">
        <v>44439</v>
      </c>
      <c r="L916" s="68">
        <v>46022</v>
      </c>
      <c r="M916" s="68">
        <v>46203</v>
      </c>
      <c r="N916" s="69">
        <f t="shared" si="39"/>
        <v>-3</v>
      </c>
      <c r="O916" s="69">
        <f t="shared" si="40"/>
        <v>0</v>
      </c>
      <c r="P916" s="70">
        <v>3</v>
      </c>
      <c r="Q916" s="70">
        <v>0</v>
      </c>
      <c r="R916" s="70">
        <v>0</v>
      </c>
      <c r="S916" s="68" t="str">
        <f t="shared" si="41"/>
        <v/>
      </c>
      <c r="T916" s="68"/>
      <c r="U916" s="68"/>
      <c r="V916" s="68"/>
      <c r="W916" s="9"/>
      <c r="X916" s="10" t="s">
        <v>1522</v>
      </c>
      <c r="Y916" s="71">
        <f t="shared" si="42"/>
        <v>0</v>
      </c>
      <c r="Z916" s="73">
        <f t="shared" si="43"/>
        <v>0</v>
      </c>
      <c r="AA916" s="73">
        <f t="shared" si="44"/>
        <v>-3</v>
      </c>
      <c r="AB916" s="11" t="str">
        <f t="shared" si="45"/>
        <v/>
      </c>
      <c r="AC916" s="73">
        <f t="shared" si="46"/>
        <v>0</v>
      </c>
      <c r="AD916" s="11" t="str">
        <f t="shared" si="47"/>
        <v/>
      </c>
      <c r="AE916" s="73">
        <f t="shared" si="48"/>
        <v>-2.9990839999999999</v>
      </c>
      <c r="AF916" s="11" t="str">
        <f t="shared" si="49"/>
        <v/>
      </c>
      <c r="AG916" s="73">
        <f t="shared" si="50"/>
        <v>9.1600000000000004E-4</v>
      </c>
      <c r="AH916" s="11" t="str">
        <f t="shared" si="51"/>
        <v/>
      </c>
    </row>
    <row r="917" spans="1:34" ht="14.25" customHeight="1">
      <c r="A917" s="11">
        <v>902</v>
      </c>
      <c r="B917" s="66"/>
      <c r="C917" s="67"/>
      <c r="D917" s="67"/>
      <c r="E917" s="67"/>
      <c r="F917" s="67"/>
      <c r="G917" s="67" t="s">
        <v>35</v>
      </c>
      <c r="H917" s="67">
        <v>45929</v>
      </c>
      <c r="I917" s="6" t="s">
        <v>1523</v>
      </c>
      <c r="J917" s="94">
        <v>5088142949</v>
      </c>
      <c r="K917" s="68">
        <v>45900</v>
      </c>
      <c r="L917" s="68">
        <v>46022</v>
      </c>
      <c r="M917" s="68">
        <v>46203</v>
      </c>
      <c r="N917" s="69">
        <f t="shared" si="39"/>
        <v>2</v>
      </c>
      <c r="O917" s="69">
        <f t="shared" si="40"/>
        <v>1</v>
      </c>
      <c r="P917" s="70">
        <v>7</v>
      </c>
      <c r="Q917" s="70">
        <v>8</v>
      </c>
      <c r="R917" s="70">
        <v>9</v>
      </c>
      <c r="S917" s="68" t="str">
        <f t="shared" si="41"/>
        <v/>
      </c>
      <c r="T917" s="68"/>
      <c r="U917" s="95"/>
      <c r="V917" s="68"/>
      <c r="W917" s="6"/>
      <c r="X917" s="10"/>
      <c r="Y917" s="71">
        <f t="shared" si="42"/>
        <v>8</v>
      </c>
      <c r="Z917" s="73">
        <f t="shared" si="43"/>
        <v>9</v>
      </c>
      <c r="AA917" s="11" t="str">
        <f t="shared" si="44"/>
        <v/>
      </c>
      <c r="AB917" s="73">
        <f t="shared" si="45"/>
        <v>2</v>
      </c>
      <c r="AC917" s="11" t="str">
        <f t="shared" si="46"/>
        <v/>
      </c>
      <c r="AD917" s="73">
        <f t="shared" si="47"/>
        <v>1</v>
      </c>
      <c r="AE917" s="11" t="str">
        <f t="shared" si="48"/>
        <v/>
      </c>
      <c r="AF917" s="73">
        <f t="shared" si="49"/>
        <v>2.0009169999999998</v>
      </c>
      <c r="AG917" s="11" t="str">
        <f t="shared" si="50"/>
        <v/>
      </c>
      <c r="AH917" s="73">
        <f t="shared" si="51"/>
        <v>1.0009170000000001</v>
      </c>
    </row>
    <row r="918" spans="1:34" ht="14.25" customHeight="1">
      <c r="A918" s="11">
        <v>903</v>
      </c>
      <c r="B918" s="66"/>
      <c r="C918" s="67"/>
      <c r="D918" s="67"/>
      <c r="E918" s="67"/>
      <c r="F918" s="67"/>
      <c r="G918" s="67" t="s">
        <v>35</v>
      </c>
      <c r="H918" s="67">
        <v>44293</v>
      </c>
      <c r="I918" s="6" t="s">
        <v>1524</v>
      </c>
      <c r="J918" s="9">
        <v>5088701464</v>
      </c>
      <c r="K918" s="68">
        <v>44286</v>
      </c>
      <c r="L918" s="68">
        <v>46022</v>
      </c>
      <c r="M918" s="68">
        <v>46203</v>
      </c>
      <c r="N918" s="69">
        <f t="shared" si="39"/>
        <v>1</v>
      </c>
      <c r="O918" s="69">
        <f t="shared" si="40"/>
        <v>-1</v>
      </c>
      <c r="P918" s="70">
        <v>5</v>
      </c>
      <c r="Q918" s="70">
        <v>7</v>
      </c>
      <c r="R918" s="70">
        <v>6</v>
      </c>
      <c r="S918" s="68" t="str">
        <f t="shared" si="41"/>
        <v/>
      </c>
      <c r="T918" s="68"/>
      <c r="U918" s="68"/>
      <c r="V918" s="68"/>
      <c r="W918" s="9"/>
      <c r="X918" s="10"/>
      <c r="Y918" s="71">
        <f t="shared" si="42"/>
        <v>7</v>
      </c>
      <c r="Z918" s="73">
        <f t="shared" si="43"/>
        <v>6</v>
      </c>
      <c r="AA918" s="11" t="str">
        <f t="shared" si="44"/>
        <v/>
      </c>
      <c r="AB918" s="73">
        <f t="shared" si="45"/>
        <v>1</v>
      </c>
      <c r="AC918" s="11" t="str">
        <f t="shared" si="46"/>
        <v/>
      </c>
      <c r="AD918" s="73">
        <f t="shared" si="47"/>
        <v>-1</v>
      </c>
      <c r="AE918" s="11" t="str">
        <f t="shared" si="48"/>
        <v/>
      </c>
      <c r="AF918" s="73">
        <f t="shared" si="49"/>
        <v>1.000918</v>
      </c>
      <c r="AG918" s="11" t="str">
        <f t="shared" si="50"/>
        <v/>
      </c>
      <c r="AH918" s="73">
        <f t="shared" si="51"/>
        <v>-0.99908200000000003</v>
      </c>
    </row>
    <row r="919" spans="1:34" ht="14.25" customHeight="1">
      <c r="A919" s="11">
        <v>904</v>
      </c>
      <c r="B919" s="66" t="s">
        <v>1525</v>
      </c>
      <c r="C919" s="67">
        <v>44204</v>
      </c>
      <c r="D919" s="67">
        <v>44274</v>
      </c>
      <c r="E919" s="67"/>
      <c r="F919" s="67"/>
      <c r="G919" s="67"/>
      <c r="H919" s="67"/>
      <c r="I919" s="6" t="s">
        <v>1526</v>
      </c>
      <c r="J919" s="9">
        <v>5098601645</v>
      </c>
      <c r="K919" s="68">
        <v>44196</v>
      </c>
      <c r="L919" s="68">
        <v>46022</v>
      </c>
      <c r="M919" s="68">
        <v>46203</v>
      </c>
      <c r="N919" s="69">
        <f t="shared" si="39"/>
        <v>46</v>
      </c>
      <c r="O919" s="69">
        <f t="shared" si="40"/>
        <v>-2</v>
      </c>
      <c r="P919" s="70">
        <v>4</v>
      </c>
      <c r="Q919" s="70">
        <v>52</v>
      </c>
      <c r="R919" s="70">
        <v>50</v>
      </c>
      <c r="S919" s="68" t="str">
        <f t="shared" si="41"/>
        <v/>
      </c>
      <c r="T919" s="68"/>
      <c r="U919" s="68"/>
      <c r="V919" s="68">
        <v>45596</v>
      </c>
      <c r="W919" s="9"/>
      <c r="X919" s="93" t="s">
        <v>352</v>
      </c>
      <c r="Y919" s="71">
        <f t="shared" si="42"/>
        <v>52</v>
      </c>
      <c r="Z919" s="73">
        <f t="shared" si="43"/>
        <v>50</v>
      </c>
      <c r="AA919" s="73">
        <f t="shared" si="44"/>
        <v>46</v>
      </c>
      <c r="AB919" s="11" t="str">
        <f t="shared" si="45"/>
        <v/>
      </c>
      <c r="AC919" s="73">
        <f t="shared" si="46"/>
        <v>-2</v>
      </c>
      <c r="AD919" s="11" t="str">
        <f t="shared" si="47"/>
        <v/>
      </c>
      <c r="AE919" s="73">
        <f t="shared" si="48"/>
        <v>46.000919000000003</v>
      </c>
      <c r="AF919" s="11" t="str">
        <f t="shared" si="49"/>
        <v/>
      </c>
      <c r="AG919" s="73">
        <f t="shared" si="50"/>
        <v>-1.9990810000000001</v>
      </c>
      <c r="AH919" s="11" t="str">
        <f t="shared" si="51"/>
        <v/>
      </c>
    </row>
    <row r="920" spans="1:34" ht="14.25" customHeight="1">
      <c r="A920" s="11">
        <v>905</v>
      </c>
      <c r="B920" s="66"/>
      <c r="C920" s="67"/>
      <c r="D920" s="67"/>
      <c r="E920" s="67"/>
      <c r="F920" s="67"/>
      <c r="G920" s="67" t="s">
        <v>35</v>
      </c>
      <c r="H920" s="67">
        <v>42202</v>
      </c>
      <c r="I920" s="6" t="s">
        <v>1527</v>
      </c>
      <c r="J920" s="9">
        <v>5098700925</v>
      </c>
      <c r="K920" s="68">
        <v>42185</v>
      </c>
      <c r="L920" s="68">
        <v>46022</v>
      </c>
      <c r="M920" s="68">
        <v>46203</v>
      </c>
      <c r="N920" s="69">
        <f t="shared" si="39"/>
        <v>12</v>
      </c>
      <c r="O920" s="69">
        <f t="shared" si="40"/>
        <v>0</v>
      </c>
      <c r="P920" s="70">
        <v>0</v>
      </c>
      <c r="Q920" s="70">
        <v>12</v>
      </c>
      <c r="R920" s="70">
        <v>12</v>
      </c>
      <c r="S920" s="68" t="str">
        <f t="shared" si="41"/>
        <v/>
      </c>
      <c r="T920" s="68"/>
      <c r="U920" s="68"/>
      <c r="V920" s="68"/>
      <c r="W920" s="9"/>
      <c r="X920" s="10"/>
      <c r="Y920" s="71">
        <f t="shared" si="42"/>
        <v>12</v>
      </c>
      <c r="Z920" s="73">
        <f t="shared" si="43"/>
        <v>12</v>
      </c>
      <c r="AA920" s="11" t="str">
        <f t="shared" si="44"/>
        <v/>
      </c>
      <c r="AB920" s="73">
        <f t="shared" si="45"/>
        <v>12</v>
      </c>
      <c r="AC920" s="11" t="str">
        <f t="shared" si="46"/>
        <v/>
      </c>
      <c r="AD920" s="73">
        <f t="shared" si="47"/>
        <v>0</v>
      </c>
      <c r="AE920" s="11" t="str">
        <f t="shared" si="48"/>
        <v/>
      </c>
      <c r="AF920" s="73">
        <f t="shared" si="49"/>
        <v>12.000920000000001</v>
      </c>
      <c r="AG920" s="11" t="str">
        <f t="shared" si="50"/>
        <v/>
      </c>
      <c r="AH920" s="73">
        <f t="shared" si="51"/>
        <v>9.2000000000000003E-4</v>
      </c>
    </row>
    <row r="921" spans="1:34" ht="14.25" customHeight="1">
      <c r="A921" s="11">
        <v>906</v>
      </c>
      <c r="B921" s="66"/>
      <c r="C921" s="67"/>
      <c r="D921" s="67"/>
      <c r="E921" s="67"/>
      <c r="F921" s="67"/>
      <c r="G921" s="67" t="s">
        <v>35</v>
      </c>
      <c r="H921" s="67">
        <v>45558</v>
      </c>
      <c r="I921" s="6" t="s">
        <v>1528</v>
      </c>
      <c r="J921" s="9">
        <v>5098801902</v>
      </c>
      <c r="K921" s="68">
        <v>45535</v>
      </c>
      <c r="L921" s="68">
        <v>46022</v>
      </c>
      <c r="M921" s="68">
        <v>46203</v>
      </c>
      <c r="N921" s="69">
        <f t="shared" si="39"/>
        <v>-4</v>
      </c>
      <c r="O921" s="69">
        <f t="shared" si="40"/>
        <v>0</v>
      </c>
      <c r="P921" s="70">
        <v>10</v>
      </c>
      <c r="Q921" s="70">
        <v>6</v>
      </c>
      <c r="R921" s="70">
        <v>6</v>
      </c>
      <c r="S921" s="68" t="str">
        <f t="shared" si="41"/>
        <v/>
      </c>
      <c r="T921" s="68"/>
      <c r="U921" s="68"/>
      <c r="V921" s="68"/>
      <c r="W921" s="9"/>
      <c r="X921" s="10"/>
      <c r="Y921" s="71">
        <f t="shared" si="42"/>
        <v>6</v>
      </c>
      <c r="Z921" s="73">
        <f t="shared" si="43"/>
        <v>6</v>
      </c>
      <c r="AA921" s="11" t="str">
        <f t="shared" si="44"/>
        <v/>
      </c>
      <c r="AB921" s="73">
        <f t="shared" si="45"/>
        <v>-4</v>
      </c>
      <c r="AC921" s="11" t="str">
        <f t="shared" si="46"/>
        <v/>
      </c>
      <c r="AD921" s="73">
        <f t="shared" si="47"/>
        <v>0</v>
      </c>
      <c r="AE921" s="11" t="str">
        <f t="shared" si="48"/>
        <v/>
      </c>
      <c r="AF921" s="73">
        <f t="shared" si="49"/>
        <v>-3.9990790000000001</v>
      </c>
      <c r="AG921" s="11" t="str">
        <f t="shared" si="50"/>
        <v/>
      </c>
      <c r="AH921" s="73">
        <f t="shared" si="51"/>
        <v>9.2100000000000005E-4</v>
      </c>
    </row>
    <row r="922" spans="1:34" ht="14.25" customHeight="1">
      <c r="A922" s="11">
        <v>907</v>
      </c>
      <c r="B922" s="66" t="s">
        <v>35</v>
      </c>
      <c r="C922" s="67"/>
      <c r="D922" s="67">
        <v>45016</v>
      </c>
      <c r="E922" s="67"/>
      <c r="F922" s="67"/>
      <c r="G922" s="67" t="s">
        <v>35</v>
      </c>
      <c r="H922" s="67">
        <v>45103</v>
      </c>
      <c r="I922" s="6" t="s">
        <v>1529</v>
      </c>
      <c r="J922" s="9">
        <v>5108136509</v>
      </c>
      <c r="K922" s="68">
        <v>44985</v>
      </c>
      <c r="L922" s="68">
        <v>46022</v>
      </c>
      <c r="M922" s="68">
        <v>46203</v>
      </c>
      <c r="N922" s="69">
        <f t="shared" si="39"/>
        <v>9</v>
      </c>
      <c r="O922" s="69">
        <f t="shared" si="40"/>
        <v>-1</v>
      </c>
      <c r="P922" s="70">
        <v>3</v>
      </c>
      <c r="Q922" s="70">
        <v>13</v>
      </c>
      <c r="R922" s="70">
        <v>12</v>
      </c>
      <c r="S922" s="68" t="str">
        <f t="shared" si="41"/>
        <v/>
      </c>
      <c r="T922" s="68"/>
      <c r="U922" s="68"/>
      <c r="V922" s="68"/>
      <c r="W922" s="9"/>
      <c r="X922" s="10"/>
      <c r="Y922" s="71">
        <f t="shared" si="42"/>
        <v>13</v>
      </c>
      <c r="Z922" s="73">
        <f t="shared" si="43"/>
        <v>12</v>
      </c>
      <c r="AA922" s="73">
        <f t="shared" si="44"/>
        <v>9</v>
      </c>
      <c r="AB922" s="73">
        <f t="shared" si="45"/>
        <v>9</v>
      </c>
      <c r="AC922" s="73">
        <f t="shared" si="46"/>
        <v>-1</v>
      </c>
      <c r="AD922" s="73">
        <f t="shared" si="47"/>
        <v>-1</v>
      </c>
      <c r="AE922" s="73">
        <f t="shared" si="48"/>
        <v>9.0009219999999992</v>
      </c>
      <c r="AF922" s="73">
        <f t="shared" si="49"/>
        <v>9.0009219999999992</v>
      </c>
      <c r="AG922" s="73">
        <f t="shared" si="50"/>
        <v>-0.99907800000000002</v>
      </c>
      <c r="AH922" s="73">
        <f t="shared" si="51"/>
        <v>-0.99907800000000002</v>
      </c>
    </row>
    <row r="923" spans="1:34" ht="14.25" customHeight="1">
      <c r="A923" s="11">
        <v>908</v>
      </c>
      <c r="B923" s="66"/>
      <c r="C923" s="67"/>
      <c r="D923" s="67"/>
      <c r="E923" s="67"/>
      <c r="F923" s="67"/>
      <c r="G923" s="67" t="s">
        <v>35</v>
      </c>
      <c r="H923" s="67">
        <v>45309</v>
      </c>
      <c r="I923" s="6" t="s">
        <v>1530</v>
      </c>
      <c r="J923" s="9">
        <v>5118801768</v>
      </c>
      <c r="K923" s="68">
        <v>45291</v>
      </c>
      <c r="L923" s="68">
        <v>46022</v>
      </c>
      <c r="M923" s="68">
        <v>46203</v>
      </c>
      <c r="N923" s="69">
        <f t="shared" si="39"/>
        <v>4</v>
      </c>
      <c r="O923" s="69">
        <f t="shared" si="40"/>
        <v>3</v>
      </c>
      <c r="P923" s="70">
        <v>2</v>
      </c>
      <c r="Q923" s="70">
        <v>3</v>
      </c>
      <c r="R923" s="70">
        <v>6</v>
      </c>
      <c r="S923" s="68" t="str">
        <f t="shared" si="41"/>
        <v/>
      </c>
      <c r="T923" s="68"/>
      <c r="U923" s="68"/>
      <c r="V923" s="68"/>
      <c r="W923" s="9"/>
      <c r="X923" s="10"/>
      <c r="Y923" s="71">
        <f t="shared" si="42"/>
        <v>3</v>
      </c>
      <c r="Z923" s="73">
        <f t="shared" si="43"/>
        <v>6</v>
      </c>
      <c r="AA923" s="11" t="str">
        <f t="shared" si="44"/>
        <v/>
      </c>
      <c r="AB923" s="73">
        <f t="shared" si="45"/>
        <v>4</v>
      </c>
      <c r="AC923" s="11" t="str">
        <f t="shared" si="46"/>
        <v/>
      </c>
      <c r="AD923" s="73">
        <f t="shared" si="47"/>
        <v>3</v>
      </c>
      <c r="AE923" s="11" t="str">
        <f t="shared" si="48"/>
        <v/>
      </c>
      <c r="AF923" s="73">
        <f t="shared" si="49"/>
        <v>4.0009230000000002</v>
      </c>
      <c r="AG923" s="11" t="str">
        <f t="shared" si="50"/>
        <v/>
      </c>
      <c r="AH923" s="73">
        <f t="shared" si="51"/>
        <v>3.0009229999999998</v>
      </c>
    </row>
    <row r="924" spans="1:34" ht="14.25" customHeight="1">
      <c r="A924" s="11">
        <v>909</v>
      </c>
      <c r="B924" s="66" t="s">
        <v>35</v>
      </c>
      <c r="C924" s="67">
        <v>45078</v>
      </c>
      <c r="D924" s="67"/>
      <c r="E924" s="67"/>
      <c r="F924" s="67"/>
      <c r="G924" s="67"/>
      <c r="H924" s="67"/>
      <c r="I924" s="6" t="s">
        <v>1531</v>
      </c>
      <c r="J924" s="9">
        <v>5128126496</v>
      </c>
      <c r="K924" s="68">
        <v>45077</v>
      </c>
      <c r="L924" s="68">
        <v>46022</v>
      </c>
      <c r="M924" s="68">
        <v>46203</v>
      </c>
      <c r="N924" s="69">
        <f t="shared" si="39"/>
        <v>-2</v>
      </c>
      <c r="O924" s="69">
        <f t="shared" si="40"/>
        <v>0</v>
      </c>
      <c r="P924" s="70">
        <v>3</v>
      </c>
      <c r="Q924" s="70">
        <v>1</v>
      </c>
      <c r="R924" s="70">
        <v>1</v>
      </c>
      <c r="S924" s="68" t="str">
        <f t="shared" si="41"/>
        <v/>
      </c>
      <c r="T924" s="68"/>
      <c r="U924" s="68"/>
      <c r="V924" s="68"/>
      <c r="W924" s="9"/>
      <c r="X924" s="10"/>
      <c r="Y924" s="71">
        <f t="shared" si="42"/>
        <v>1</v>
      </c>
      <c r="Z924" s="73">
        <f t="shared" si="43"/>
        <v>1</v>
      </c>
      <c r="AA924" s="73">
        <f t="shared" si="44"/>
        <v>-2</v>
      </c>
      <c r="AB924" s="11" t="str">
        <f t="shared" si="45"/>
        <v/>
      </c>
      <c r="AC924" s="73">
        <f t="shared" si="46"/>
        <v>0</v>
      </c>
      <c r="AD924" s="11" t="str">
        <f t="shared" si="47"/>
        <v/>
      </c>
      <c r="AE924" s="73">
        <f t="shared" si="48"/>
        <v>-1.9990760000000001</v>
      </c>
      <c r="AF924" s="11" t="str">
        <f t="shared" si="49"/>
        <v/>
      </c>
      <c r="AG924" s="73">
        <f t="shared" si="50"/>
        <v>9.2400000000000002E-4</v>
      </c>
      <c r="AH924" s="11" t="str">
        <f t="shared" si="51"/>
        <v/>
      </c>
    </row>
    <row r="925" spans="1:34" ht="14.25" customHeight="1">
      <c r="A925" s="11">
        <v>910</v>
      </c>
      <c r="B925" s="66"/>
      <c r="C925" s="67"/>
      <c r="D925" s="67"/>
      <c r="E925" s="67"/>
      <c r="F925" s="67"/>
      <c r="G925" s="67" t="s">
        <v>35</v>
      </c>
      <c r="H925" s="67">
        <v>44615</v>
      </c>
      <c r="I925" s="6" t="s">
        <v>1532</v>
      </c>
      <c r="J925" s="9">
        <v>5128702123</v>
      </c>
      <c r="K925" s="68">
        <v>44592</v>
      </c>
      <c r="L925" s="68">
        <v>46022</v>
      </c>
      <c r="M925" s="68">
        <v>46203</v>
      </c>
      <c r="N925" s="69">
        <f t="shared" si="39"/>
        <v>6</v>
      </c>
      <c r="O925" s="69">
        <f t="shared" si="40"/>
        <v>-1</v>
      </c>
      <c r="P925" s="70">
        <v>11</v>
      </c>
      <c r="Q925" s="70">
        <v>18</v>
      </c>
      <c r="R925" s="70">
        <v>17</v>
      </c>
      <c r="S925" s="68" t="str">
        <f t="shared" si="41"/>
        <v/>
      </c>
      <c r="T925" s="68"/>
      <c r="U925" s="68"/>
      <c r="V925" s="68"/>
      <c r="W925" s="9"/>
      <c r="X925" s="10"/>
      <c r="Y925" s="71">
        <f t="shared" si="42"/>
        <v>18</v>
      </c>
      <c r="Z925" s="73">
        <f t="shared" si="43"/>
        <v>17</v>
      </c>
      <c r="AA925" s="11" t="str">
        <f t="shared" si="44"/>
        <v/>
      </c>
      <c r="AB925" s="73">
        <f t="shared" si="45"/>
        <v>6</v>
      </c>
      <c r="AC925" s="11" t="str">
        <f t="shared" si="46"/>
        <v/>
      </c>
      <c r="AD925" s="73">
        <f t="shared" si="47"/>
        <v>-1</v>
      </c>
      <c r="AE925" s="11" t="str">
        <f t="shared" si="48"/>
        <v/>
      </c>
      <c r="AF925" s="73">
        <f t="shared" si="49"/>
        <v>6.0009249999999996</v>
      </c>
      <c r="AG925" s="11" t="str">
        <f t="shared" si="50"/>
        <v/>
      </c>
      <c r="AH925" s="73">
        <f t="shared" si="51"/>
        <v>-0.99907500000000005</v>
      </c>
    </row>
    <row r="926" spans="1:34" ht="14.25" customHeight="1">
      <c r="A926" s="11">
        <v>911</v>
      </c>
      <c r="B926" s="66"/>
      <c r="C926" s="67"/>
      <c r="D926" s="67"/>
      <c r="E926" s="67"/>
      <c r="F926" s="67"/>
      <c r="G926" s="67" t="s">
        <v>35</v>
      </c>
      <c r="H926" s="67">
        <v>45072</v>
      </c>
      <c r="I926" s="6" t="s">
        <v>1533</v>
      </c>
      <c r="J926" s="9">
        <v>5128802004</v>
      </c>
      <c r="K926" s="68">
        <v>45046</v>
      </c>
      <c r="L926" s="68">
        <v>46022</v>
      </c>
      <c r="M926" s="68">
        <v>46203</v>
      </c>
      <c r="N926" s="69">
        <f t="shared" si="39"/>
        <v>1</v>
      </c>
      <c r="O926" s="69">
        <f t="shared" si="40"/>
        <v>1</v>
      </c>
      <c r="P926" s="70">
        <v>6</v>
      </c>
      <c r="Q926" s="70">
        <v>6</v>
      </c>
      <c r="R926" s="70">
        <v>7</v>
      </c>
      <c r="S926" s="68" t="str">
        <f t="shared" si="41"/>
        <v/>
      </c>
      <c r="T926" s="68"/>
      <c r="U926" s="68"/>
      <c r="V926" s="68"/>
      <c r="W926" s="9"/>
      <c r="X926" s="10"/>
      <c r="Y926" s="71">
        <f t="shared" si="42"/>
        <v>6</v>
      </c>
      <c r="Z926" s="73">
        <f t="shared" si="43"/>
        <v>7</v>
      </c>
      <c r="AA926" s="11" t="str">
        <f t="shared" si="44"/>
        <v/>
      </c>
      <c r="AB926" s="73">
        <f t="shared" si="45"/>
        <v>1</v>
      </c>
      <c r="AC926" s="11" t="str">
        <f t="shared" si="46"/>
        <v/>
      </c>
      <c r="AD926" s="73">
        <f t="shared" si="47"/>
        <v>1</v>
      </c>
      <c r="AE926" s="11" t="str">
        <f t="shared" si="48"/>
        <v/>
      </c>
      <c r="AF926" s="73">
        <f t="shared" si="49"/>
        <v>1.000926</v>
      </c>
      <c r="AG926" s="11" t="str">
        <f t="shared" si="50"/>
        <v/>
      </c>
      <c r="AH926" s="73">
        <f t="shared" si="51"/>
        <v>1.000926</v>
      </c>
    </row>
    <row r="927" spans="1:34" ht="14.25" customHeight="1">
      <c r="A927" s="11">
        <v>912</v>
      </c>
      <c r="B927" s="66"/>
      <c r="C927" s="67"/>
      <c r="D927" s="67"/>
      <c r="E927" s="67"/>
      <c r="F927" s="67"/>
      <c r="G927" s="67" t="s">
        <v>35</v>
      </c>
      <c r="H927" s="67">
        <v>44358</v>
      </c>
      <c r="I927" s="6" t="s">
        <v>1534</v>
      </c>
      <c r="J927" s="9">
        <v>5148199748</v>
      </c>
      <c r="K927" s="68">
        <v>44347</v>
      </c>
      <c r="L927" s="68">
        <v>46022</v>
      </c>
      <c r="M927" s="68">
        <v>46203</v>
      </c>
      <c r="N927" s="69">
        <f t="shared" si="39"/>
        <v>-1</v>
      </c>
      <c r="O927" s="69">
        <f t="shared" si="40"/>
        <v>0</v>
      </c>
      <c r="P927" s="70">
        <v>9</v>
      </c>
      <c r="Q927" s="70">
        <v>8</v>
      </c>
      <c r="R927" s="70">
        <v>8</v>
      </c>
      <c r="S927" s="68" t="str">
        <f t="shared" si="41"/>
        <v/>
      </c>
      <c r="T927" s="68"/>
      <c r="U927" s="68"/>
      <c r="V927" s="68"/>
      <c r="W927" s="9"/>
      <c r="X927" s="10"/>
      <c r="Y927" s="71">
        <f t="shared" si="42"/>
        <v>8</v>
      </c>
      <c r="Z927" s="73">
        <f t="shared" si="43"/>
        <v>8</v>
      </c>
      <c r="AA927" s="11" t="str">
        <f t="shared" si="44"/>
        <v/>
      </c>
      <c r="AB927" s="73">
        <f t="shared" si="45"/>
        <v>-1</v>
      </c>
      <c r="AC927" s="11" t="str">
        <f t="shared" si="46"/>
        <v/>
      </c>
      <c r="AD927" s="73">
        <f t="shared" si="47"/>
        <v>0</v>
      </c>
      <c r="AE927" s="11" t="str">
        <f t="shared" si="48"/>
        <v/>
      </c>
      <c r="AF927" s="73">
        <f t="shared" si="49"/>
        <v>-0.99907299999999999</v>
      </c>
      <c r="AG927" s="11" t="str">
        <f t="shared" si="50"/>
        <v/>
      </c>
      <c r="AH927" s="73">
        <f t="shared" si="51"/>
        <v>9.2699999999999998E-4</v>
      </c>
    </row>
    <row r="928" spans="1:34" ht="14.25" customHeight="1">
      <c r="A928" s="11">
        <v>913</v>
      </c>
      <c r="B928" s="66" t="s">
        <v>681</v>
      </c>
      <c r="C928" s="67"/>
      <c r="D928" s="67">
        <v>42494</v>
      </c>
      <c r="E928" s="67"/>
      <c r="F928" s="67"/>
      <c r="G928" s="67"/>
      <c r="H928" s="67"/>
      <c r="I928" s="6" t="s">
        <v>1535</v>
      </c>
      <c r="J928" s="9">
        <v>5148800263</v>
      </c>
      <c r="K928" s="68">
        <v>42490</v>
      </c>
      <c r="L928" s="68" t="s">
        <v>230</v>
      </c>
      <c r="M928" s="68">
        <v>43220</v>
      </c>
      <c r="N928" s="69">
        <f t="shared" si="39"/>
        <v>2</v>
      </c>
      <c r="O928" s="69" t="str">
        <f t="shared" si="40"/>
        <v>N/A</v>
      </c>
      <c r="P928" s="70">
        <v>4</v>
      </c>
      <c r="Q928" s="70"/>
      <c r="R928" s="70">
        <v>6</v>
      </c>
      <c r="S928" s="68">
        <f t="shared" si="41"/>
        <v>43209</v>
      </c>
      <c r="T928" s="68"/>
      <c r="U928" s="68"/>
      <c r="V928" s="68">
        <v>43209</v>
      </c>
      <c r="W928" s="9"/>
      <c r="X928" s="10"/>
      <c r="Y928" s="65" t="str">
        <f t="shared" si="42"/>
        <v/>
      </c>
      <c r="Z928" s="11" t="str">
        <f t="shared" si="43"/>
        <v/>
      </c>
      <c r="AA928" s="73">
        <f t="shared" si="44"/>
        <v>2</v>
      </c>
      <c r="AB928" s="11" t="str">
        <f t="shared" si="45"/>
        <v/>
      </c>
      <c r="AC928" s="11" t="str">
        <f t="shared" si="46"/>
        <v/>
      </c>
      <c r="AD928" s="11" t="str">
        <f t="shared" si="47"/>
        <v/>
      </c>
      <c r="AE928" s="73">
        <f t="shared" si="48"/>
        <v>2.000928</v>
      </c>
      <c r="AF928" s="11" t="str">
        <f t="shared" si="49"/>
        <v/>
      </c>
      <c r="AG928" s="11" t="str">
        <f t="shared" si="50"/>
        <v/>
      </c>
      <c r="AH928" s="11" t="str">
        <f t="shared" si="51"/>
        <v/>
      </c>
    </row>
    <row r="929" spans="1:34" ht="14.25" customHeight="1">
      <c r="A929" s="11">
        <v>914</v>
      </c>
      <c r="B929" s="66"/>
      <c r="C929" s="67"/>
      <c r="D929" s="67"/>
      <c r="E929" s="67"/>
      <c r="F929" s="67"/>
      <c r="G929" s="67" t="s">
        <v>35</v>
      </c>
      <c r="H929" s="67">
        <v>43214</v>
      </c>
      <c r="I929" s="6" t="s">
        <v>1536</v>
      </c>
      <c r="J929" s="9">
        <v>5148800619</v>
      </c>
      <c r="K929" s="68">
        <v>43190</v>
      </c>
      <c r="L929" s="68">
        <v>46022</v>
      </c>
      <c r="M929" s="68">
        <v>46203</v>
      </c>
      <c r="N929" s="69">
        <f t="shared" si="39"/>
        <v>164</v>
      </c>
      <c r="O929" s="69">
        <f t="shared" si="40"/>
        <v>-5</v>
      </c>
      <c r="P929" s="70">
        <v>33</v>
      </c>
      <c r="Q929" s="70">
        <v>202</v>
      </c>
      <c r="R929" s="70">
        <v>197</v>
      </c>
      <c r="S929" s="68" t="str">
        <f t="shared" si="41"/>
        <v/>
      </c>
      <c r="T929" s="68"/>
      <c r="U929" s="68"/>
      <c r="V929" s="68"/>
      <c r="W929" s="9"/>
      <c r="X929" s="10"/>
      <c r="Y929" s="71">
        <f t="shared" si="42"/>
        <v>202</v>
      </c>
      <c r="Z929" s="73">
        <f t="shared" si="43"/>
        <v>197</v>
      </c>
      <c r="AA929" s="11" t="str">
        <f t="shared" si="44"/>
        <v/>
      </c>
      <c r="AB929" s="73">
        <f t="shared" si="45"/>
        <v>164</v>
      </c>
      <c r="AC929" s="11" t="str">
        <f t="shared" si="46"/>
        <v/>
      </c>
      <c r="AD929" s="73">
        <f t="shared" si="47"/>
        <v>-5</v>
      </c>
      <c r="AE929" s="11" t="str">
        <f t="shared" si="48"/>
        <v/>
      </c>
      <c r="AF929" s="73">
        <f t="shared" si="49"/>
        <v>164.00092900000001</v>
      </c>
      <c r="AG929" s="11" t="str">
        <f t="shared" si="50"/>
        <v/>
      </c>
      <c r="AH929" s="73">
        <f t="shared" si="51"/>
        <v>-4.9990709999999998</v>
      </c>
    </row>
    <row r="930" spans="1:34" ht="14.25" customHeight="1">
      <c r="A930" s="11">
        <v>915</v>
      </c>
      <c r="B930" s="66"/>
      <c r="C930" s="67"/>
      <c r="D930" s="67"/>
      <c r="E930" s="67"/>
      <c r="F930" s="67"/>
      <c r="G930" s="67" t="s">
        <v>35</v>
      </c>
      <c r="H930" s="67">
        <v>45530</v>
      </c>
      <c r="I930" s="6" t="s">
        <v>1537</v>
      </c>
      <c r="J930" s="9">
        <v>5158148219</v>
      </c>
      <c r="K930" s="68">
        <v>45504</v>
      </c>
      <c r="L930" s="68">
        <v>46022</v>
      </c>
      <c r="M930" s="68">
        <v>46203</v>
      </c>
      <c r="N930" s="69">
        <f t="shared" si="39"/>
        <v>8</v>
      </c>
      <c r="O930" s="69">
        <f t="shared" si="40"/>
        <v>2</v>
      </c>
      <c r="P930" s="70">
        <v>11</v>
      </c>
      <c r="Q930" s="70">
        <v>17</v>
      </c>
      <c r="R930" s="70">
        <v>19</v>
      </c>
      <c r="S930" s="68" t="str">
        <f t="shared" si="41"/>
        <v/>
      </c>
      <c r="T930" s="68"/>
      <c r="U930" s="68"/>
      <c r="V930" s="68"/>
      <c r="W930" s="9"/>
      <c r="X930" s="10"/>
      <c r="Y930" s="71">
        <f t="shared" si="42"/>
        <v>17</v>
      </c>
      <c r="Z930" s="73">
        <f t="shared" si="43"/>
        <v>19</v>
      </c>
      <c r="AA930" s="11" t="str">
        <f t="shared" si="44"/>
        <v/>
      </c>
      <c r="AB930" s="73">
        <f t="shared" si="45"/>
        <v>8</v>
      </c>
      <c r="AC930" s="11" t="str">
        <f t="shared" si="46"/>
        <v/>
      </c>
      <c r="AD930" s="73">
        <f t="shared" si="47"/>
        <v>2</v>
      </c>
      <c r="AE930" s="11" t="str">
        <f t="shared" si="48"/>
        <v/>
      </c>
      <c r="AF930" s="73">
        <f t="shared" si="49"/>
        <v>8.0009300000000003</v>
      </c>
      <c r="AG930" s="11" t="str">
        <f t="shared" si="50"/>
        <v/>
      </c>
      <c r="AH930" s="73">
        <f t="shared" si="51"/>
        <v>2.0009299999999999</v>
      </c>
    </row>
    <row r="931" spans="1:34" ht="14.25" customHeight="1">
      <c r="A931" s="11">
        <v>916</v>
      </c>
      <c r="B931" s="66"/>
      <c r="C931" s="67"/>
      <c r="D931" s="67"/>
      <c r="E931" s="67"/>
      <c r="F931" s="67"/>
      <c r="G931" s="67" t="s">
        <v>35</v>
      </c>
      <c r="H931" s="67">
        <v>43210</v>
      </c>
      <c r="I931" s="6" t="s">
        <v>1538</v>
      </c>
      <c r="J931" s="9">
        <v>5168600232</v>
      </c>
      <c r="K931" s="68">
        <v>43190</v>
      </c>
      <c r="L931" s="68">
        <v>46022</v>
      </c>
      <c r="M931" s="68">
        <v>46203</v>
      </c>
      <c r="N931" s="69">
        <f t="shared" si="39"/>
        <v>94</v>
      </c>
      <c r="O931" s="69">
        <f t="shared" si="40"/>
        <v>8</v>
      </c>
      <c r="P931" s="70">
        <v>16</v>
      </c>
      <c r="Q931" s="70">
        <v>102</v>
      </c>
      <c r="R931" s="70">
        <v>110</v>
      </c>
      <c r="S931" s="68" t="str">
        <f t="shared" si="41"/>
        <v/>
      </c>
      <c r="T931" s="68"/>
      <c r="U931" s="68"/>
      <c r="V931" s="68"/>
      <c r="W931" s="9"/>
      <c r="X931" s="10"/>
      <c r="Y931" s="71">
        <f t="shared" si="42"/>
        <v>102</v>
      </c>
      <c r="Z931" s="73">
        <f t="shared" si="43"/>
        <v>110</v>
      </c>
      <c r="AA931" s="11" t="str">
        <f t="shared" si="44"/>
        <v/>
      </c>
      <c r="AB931" s="73">
        <f t="shared" si="45"/>
        <v>94</v>
      </c>
      <c r="AC931" s="11" t="str">
        <f t="shared" si="46"/>
        <v/>
      </c>
      <c r="AD931" s="73">
        <f t="shared" si="47"/>
        <v>8</v>
      </c>
      <c r="AE931" s="11" t="str">
        <f t="shared" si="48"/>
        <v/>
      </c>
      <c r="AF931" s="73">
        <f t="shared" si="49"/>
        <v>94.000930999999994</v>
      </c>
      <c r="AG931" s="11" t="str">
        <f t="shared" si="50"/>
        <v/>
      </c>
      <c r="AH931" s="73">
        <f t="shared" si="51"/>
        <v>8.0009309999999996</v>
      </c>
    </row>
    <row r="932" spans="1:34" ht="14.25" customHeight="1">
      <c r="A932" s="11">
        <v>917</v>
      </c>
      <c r="B932" s="66" t="s">
        <v>35</v>
      </c>
      <c r="C932" s="67">
        <v>44621</v>
      </c>
      <c r="D932" s="67"/>
      <c r="E932" s="67"/>
      <c r="F932" s="67">
        <v>45532</v>
      </c>
      <c r="G932" s="67" t="s">
        <v>35</v>
      </c>
      <c r="H932" s="67">
        <v>44978</v>
      </c>
      <c r="I932" s="6" t="s">
        <v>1539</v>
      </c>
      <c r="J932" s="9">
        <v>5168802097</v>
      </c>
      <c r="K932" s="68">
        <v>44620</v>
      </c>
      <c r="L932" s="68">
        <v>46022</v>
      </c>
      <c r="M932" s="68">
        <v>46203</v>
      </c>
      <c r="N932" s="69">
        <f t="shared" si="39"/>
        <v>5</v>
      </c>
      <c r="O932" s="69">
        <f t="shared" si="40"/>
        <v>-1</v>
      </c>
      <c r="P932" s="70">
        <v>1</v>
      </c>
      <c r="Q932" s="70">
        <v>7</v>
      </c>
      <c r="R932" s="70">
        <v>6</v>
      </c>
      <c r="S932" s="68" t="str">
        <f t="shared" si="41"/>
        <v/>
      </c>
      <c r="T932" s="68"/>
      <c r="U932" s="68"/>
      <c r="V932" s="68"/>
      <c r="W932" s="9"/>
      <c r="X932" s="10"/>
      <c r="Y932" s="71">
        <f t="shared" si="42"/>
        <v>7</v>
      </c>
      <c r="Z932" s="73">
        <f t="shared" si="43"/>
        <v>6</v>
      </c>
      <c r="AA932" s="73">
        <f t="shared" si="44"/>
        <v>5</v>
      </c>
      <c r="AB932" s="73">
        <f t="shared" si="45"/>
        <v>5</v>
      </c>
      <c r="AC932" s="73">
        <f t="shared" si="46"/>
        <v>-1</v>
      </c>
      <c r="AD932" s="73">
        <f t="shared" si="47"/>
        <v>-1</v>
      </c>
      <c r="AE932" s="73">
        <f t="shared" si="48"/>
        <v>5.0009319999999997</v>
      </c>
      <c r="AF932" s="73">
        <f t="shared" si="49"/>
        <v>5.0009319999999997</v>
      </c>
      <c r="AG932" s="73">
        <f t="shared" si="50"/>
        <v>-0.99906799999999996</v>
      </c>
      <c r="AH932" s="73">
        <f t="shared" si="51"/>
        <v>-0.99906799999999996</v>
      </c>
    </row>
    <row r="933" spans="1:34" ht="14.25" customHeight="1">
      <c r="A933" s="11">
        <v>918</v>
      </c>
      <c r="B933" s="66" t="s">
        <v>35</v>
      </c>
      <c r="C933" s="67">
        <v>45444</v>
      </c>
      <c r="D933" s="67">
        <v>46063</v>
      </c>
      <c r="E933" s="67">
        <v>46023</v>
      </c>
      <c r="F933" s="67"/>
      <c r="G933" s="67" t="s">
        <v>35</v>
      </c>
      <c r="H933" s="67">
        <v>45482</v>
      </c>
      <c r="I933" s="6" t="s">
        <v>1540</v>
      </c>
      <c r="J933" s="9">
        <v>5178701809</v>
      </c>
      <c r="K933" s="68">
        <v>45443</v>
      </c>
      <c r="L933" s="68">
        <v>46022</v>
      </c>
      <c r="M933" s="68">
        <v>46203</v>
      </c>
      <c r="N933" s="69">
        <f t="shared" si="39"/>
        <v>11</v>
      </c>
      <c r="O933" s="69">
        <f t="shared" si="40"/>
        <v>12</v>
      </c>
      <c r="P933" s="70">
        <v>24</v>
      </c>
      <c r="Q933" s="70">
        <v>23</v>
      </c>
      <c r="R933" s="70">
        <v>35</v>
      </c>
      <c r="S933" s="68" t="str">
        <f t="shared" si="41"/>
        <v/>
      </c>
      <c r="T933" s="68"/>
      <c r="U933" s="68"/>
      <c r="V933" s="68"/>
      <c r="W933" s="9"/>
      <c r="X933" s="10"/>
      <c r="Y933" s="71">
        <f t="shared" si="42"/>
        <v>23</v>
      </c>
      <c r="Z933" s="73">
        <f t="shared" si="43"/>
        <v>35</v>
      </c>
      <c r="AA933" s="73">
        <f t="shared" si="44"/>
        <v>11</v>
      </c>
      <c r="AB933" s="73">
        <f t="shared" si="45"/>
        <v>11</v>
      </c>
      <c r="AC933" s="73">
        <f t="shared" si="46"/>
        <v>12</v>
      </c>
      <c r="AD933" s="73">
        <f t="shared" si="47"/>
        <v>12</v>
      </c>
      <c r="AE933" s="73">
        <f t="shared" si="48"/>
        <v>11.000933</v>
      </c>
      <c r="AF933" s="73">
        <f t="shared" si="49"/>
        <v>11.000933</v>
      </c>
      <c r="AG933" s="73">
        <f t="shared" si="50"/>
        <v>12.000933</v>
      </c>
      <c r="AH933" s="73">
        <f t="shared" si="51"/>
        <v>12.000933</v>
      </c>
    </row>
    <row r="934" spans="1:34" ht="14.25" customHeight="1">
      <c r="A934" s="11">
        <v>919</v>
      </c>
      <c r="B934" s="66"/>
      <c r="C934" s="67"/>
      <c r="D934" s="67"/>
      <c r="E934" s="67"/>
      <c r="F934" s="67"/>
      <c r="G934" s="67" t="s">
        <v>35</v>
      </c>
      <c r="H934" s="67">
        <v>44147</v>
      </c>
      <c r="I934" s="6" t="s">
        <v>1541</v>
      </c>
      <c r="J934" s="9">
        <v>5178800087</v>
      </c>
      <c r="K934" s="68">
        <v>44135</v>
      </c>
      <c r="L934" s="68">
        <v>46022</v>
      </c>
      <c r="M934" s="68">
        <v>46203</v>
      </c>
      <c r="N934" s="69">
        <f t="shared" si="39"/>
        <v>63</v>
      </c>
      <c r="O934" s="69">
        <f t="shared" si="40"/>
        <v>-16</v>
      </c>
      <c r="P934" s="70">
        <v>108</v>
      </c>
      <c r="Q934" s="70">
        <v>187</v>
      </c>
      <c r="R934" s="70">
        <v>171</v>
      </c>
      <c r="S934" s="68" t="str">
        <f t="shared" si="41"/>
        <v/>
      </c>
      <c r="T934" s="68"/>
      <c r="U934" s="68"/>
      <c r="V934" s="68"/>
      <c r="W934" s="9"/>
      <c r="X934" s="10"/>
      <c r="Y934" s="71">
        <f t="shared" si="42"/>
        <v>187</v>
      </c>
      <c r="Z934" s="73">
        <f t="shared" si="43"/>
        <v>171</v>
      </c>
      <c r="AA934" s="11" t="str">
        <f t="shared" si="44"/>
        <v/>
      </c>
      <c r="AB934" s="73">
        <f t="shared" si="45"/>
        <v>63</v>
      </c>
      <c r="AC934" s="11" t="str">
        <f t="shared" si="46"/>
        <v/>
      </c>
      <c r="AD934" s="73">
        <f t="shared" si="47"/>
        <v>-16</v>
      </c>
      <c r="AE934" s="11" t="str">
        <f t="shared" si="48"/>
        <v/>
      </c>
      <c r="AF934" s="73">
        <f t="shared" si="49"/>
        <v>63.000934000000001</v>
      </c>
      <c r="AG934" s="11" t="str">
        <f t="shared" si="50"/>
        <v/>
      </c>
      <c r="AH934" s="73">
        <f t="shared" si="51"/>
        <v>-15.999065999999999</v>
      </c>
    </row>
    <row r="935" spans="1:34" ht="14.25" customHeight="1">
      <c r="A935" s="11">
        <v>920</v>
      </c>
      <c r="B935" s="66" t="s">
        <v>24</v>
      </c>
      <c r="C935" s="67">
        <v>42461</v>
      </c>
      <c r="D935" s="67"/>
      <c r="E935" s="67"/>
      <c r="F935" s="67"/>
      <c r="G935" s="67"/>
      <c r="H935" s="67"/>
      <c r="I935" s="6" t="s">
        <v>1542</v>
      </c>
      <c r="J935" s="9">
        <v>5188100043</v>
      </c>
      <c r="K935" s="68">
        <v>42460</v>
      </c>
      <c r="L935" s="68" t="s">
        <v>230</v>
      </c>
      <c r="M935" s="68">
        <v>45016</v>
      </c>
      <c r="N935" s="69">
        <f t="shared" si="39"/>
        <v>-3</v>
      </c>
      <c r="O935" s="69" t="str">
        <f t="shared" si="40"/>
        <v>N/A</v>
      </c>
      <c r="P935" s="70">
        <v>3</v>
      </c>
      <c r="Q935" s="70"/>
      <c r="R935" s="70">
        <v>0</v>
      </c>
      <c r="S935" s="68">
        <f t="shared" si="41"/>
        <v>44993</v>
      </c>
      <c r="T935" s="68">
        <v>44993</v>
      </c>
      <c r="U935" s="68"/>
      <c r="V935" s="68"/>
      <c r="W935" s="9"/>
      <c r="X935" s="10"/>
      <c r="Y935" s="65" t="str">
        <f t="shared" si="42"/>
        <v/>
      </c>
      <c r="Z935" s="11" t="str">
        <f t="shared" si="43"/>
        <v/>
      </c>
      <c r="AA935" s="73">
        <f t="shared" si="44"/>
        <v>-3</v>
      </c>
      <c r="AB935" s="11" t="str">
        <f t="shared" si="45"/>
        <v/>
      </c>
      <c r="AC935" s="11" t="str">
        <f t="shared" si="46"/>
        <v/>
      </c>
      <c r="AD935" s="11" t="str">
        <f t="shared" si="47"/>
        <v/>
      </c>
      <c r="AE935" s="73">
        <f t="shared" si="48"/>
        <v>-2.9990649999999999</v>
      </c>
      <c r="AF935" s="11" t="str">
        <f t="shared" si="49"/>
        <v/>
      </c>
      <c r="AG935" s="11" t="str">
        <f t="shared" si="50"/>
        <v/>
      </c>
      <c r="AH935" s="11" t="str">
        <f t="shared" si="51"/>
        <v/>
      </c>
    </row>
    <row r="936" spans="1:34" ht="14.25" customHeight="1">
      <c r="A936" s="11">
        <v>921</v>
      </c>
      <c r="B936" s="66"/>
      <c r="C936" s="67"/>
      <c r="D936" s="67"/>
      <c r="E936" s="67"/>
      <c r="F936" s="67"/>
      <c r="G936" s="67" t="s">
        <v>35</v>
      </c>
      <c r="H936" s="67">
        <v>44526</v>
      </c>
      <c r="I936" s="6" t="s">
        <v>1543</v>
      </c>
      <c r="J936" s="9">
        <v>5198600793</v>
      </c>
      <c r="K936" s="68">
        <v>44500</v>
      </c>
      <c r="L936" s="68">
        <v>46022</v>
      </c>
      <c r="M936" s="68">
        <v>46203</v>
      </c>
      <c r="N936" s="69">
        <f t="shared" si="39"/>
        <v>9</v>
      </c>
      <c r="O936" s="69">
        <f t="shared" si="40"/>
        <v>-3</v>
      </c>
      <c r="P936" s="70">
        <v>22</v>
      </c>
      <c r="Q936" s="70">
        <v>34</v>
      </c>
      <c r="R936" s="70">
        <v>31</v>
      </c>
      <c r="S936" s="68" t="str">
        <f t="shared" si="41"/>
        <v/>
      </c>
      <c r="T936" s="68"/>
      <c r="U936" s="68"/>
      <c r="V936" s="68"/>
      <c r="W936" s="9"/>
      <c r="X936" s="10"/>
      <c r="Y936" s="71">
        <f t="shared" si="42"/>
        <v>34</v>
      </c>
      <c r="Z936" s="73">
        <f t="shared" si="43"/>
        <v>31</v>
      </c>
      <c r="AA936" s="11" t="str">
        <f t="shared" si="44"/>
        <v/>
      </c>
      <c r="AB936" s="73">
        <f t="shared" si="45"/>
        <v>9</v>
      </c>
      <c r="AC936" s="11" t="str">
        <f t="shared" si="46"/>
        <v/>
      </c>
      <c r="AD936" s="73">
        <f t="shared" si="47"/>
        <v>-3</v>
      </c>
      <c r="AE936" s="11" t="str">
        <f t="shared" si="48"/>
        <v/>
      </c>
      <c r="AF936" s="73">
        <f t="shared" si="49"/>
        <v>9.0009359999999994</v>
      </c>
      <c r="AG936" s="11" t="str">
        <f t="shared" si="50"/>
        <v/>
      </c>
      <c r="AH936" s="73">
        <f t="shared" si="51"/>
        <v>-2.9990640000000002</v>
      </c>
    </row>
    <row r="937" spans="1:34" ht="14.25" customHeight="1">
      <c r="A937" s="11">
        <v>922</v>
      </c>
      <c r="B937" s="66"/>
      <c r="C937" s="67"/>
      <c r="D937" s="67"/>
      <c r="E937" s="67"/>
      <c r="F937" s="67"/>
      <c r="G937" s="67" t="s">
        <v>283</v>
      </c>
      <c r="H937" s="67">
        <v>43825</v>
      </c>
      <c r="I937" s="6" t="s">
        <v>1544</v>
      </c>
      <c r="J937" s="9">
        <v>5198801307</v>
      </c>
      <c r="K937" s="68">
        <v>43799</v>
      </c>
      <c r="L937" s="68" t="s">
        <v>230</v>
      </c>
      <c r="M937" s="68">
        <v>45747</v>
      </c>
      <c r="N937" s="69">
        <f t="shared" si="39"/>
        <v>6</v>
      </c>
      <c r="O937" s="69" t="str">
        <f t="shared" si="40"/>
        <v>N/A</v>
      </c>
      <c r="P937" s="70">
        <v>1</v>
      </c>
      <c r="Q937" s="70"/>
      <c r="R937" s="70">
        <v>7</v>
      </c>
      <c r="S937" s="68">
        <f t="shared" si="41"/>
        <v>45721</v>
      </c>
      <c r="T937" s="68"/>
      <c r="U937" s="68"/>
      <c r="V937" s="68"/>
      <c r="W937" s="68">
        <v>45721</v>
      </c>
      <c r="X937" s="10"/>
      <c r="Y937" s="65" t="str">
        <f t="shared" si="42"/>
        <v/>
      </c>
      <c r="Z937" s="11" t="str">
        <f t="shared" si="43"/>
        <v/>
      </c>
      <c r="AA937" s="11" t="str">
        <f t="shared" si="44"/>
        <v/>
      </c>
      <c r="AB937" s="73">
        <f t="shared" si="45"/>
        <v>6</v>
      </c>
      <c r="AC937" s="11" t="str">
        <f t="shared" si="46"/>
        <v/>
      </c>
      <c r="AD937" s="11" t="str">
        <f t="shared" si="47"/>
        <v/>
      </c>
      <c r="AE937" s="11" t="str">
        <f t="shared" si="48"/>
        <v/>
      </c>
      <c r="AF937" s="73">
        <f t="shared" si="49"/>
        <v>6.0009370000000004</v>
      </c>
      <c r="AG937" s="11" t="str">
        <f t="shared" si="50"/>
        <v/>
      </c>
      <c r="AH937" s="11" t="str">
        <f t="shared" si="51"/>
        <v/>
      </c>
    </row>
    <row r="938" spans="1:34" ht="14.25" customHeight="1">
      <c r="A938" s="11">
        <v>923</v>
      </c>
      <c r="B938" s="66"/>
      <c r="C938" s="67"/>
      <c r="D938" s="67"/>
      <c r="E938" s="67"/>
      <c r="F938" s="67"/>
      <c r="G938" s="67" t="s">
        <v>35</v>
      </c>
      <c r="H938" s="67">
        <v>44543</v>
      </c>
      <c r="I938" s="6" t="s">
        <v>1545</v>
      </c>
      <c r="J938" s="9">
        <v>5208602165</v>
      </c>
      <c r="K938" s="68">
        <v>44530</v>
      </c>
      <c r="L938" s="68">
        <v>46022</v>
      </c>
      <c r="M938" s="68">
        <v>46203</v>
      </c>
      <c r="N938" s="69">
        <f t="shared" si="39"/>
        <v>-1</v>
      </c>
      <c r="O938" s="69">
        <f t="shared" si="40"/>
        <v>-2</v>
      </c>
      <c r="P938" s="70">
        <v>5</v>
      </c>
      <c r="Q938" s="70">
        <v>6</v>
      </c>
      <c r="R938" s="70">
        <v>4</v>
      </c>
      <c r="S938" s="68" t="str">
        <f t="shared" si="41"/>
        <v/>
      </c>
      <c r="T938" s="68"/>
      <c r="U938" s="68"/>
      <c r="V938" s="68"/>
      <c r="W938" s="9"/>
      <c r="X938" s="10"/>
      <c r="Y938" s="71">
        <f t="shared" si="42"/>
        <v>6</v>
      </c>
      <c r="Z938" s="73">
        <f t="shared" si="43"/>
        <v>4</v>
      </c>
      <c r="AA938" s="11" t="str">
        <f t="shared" si="44"/>
        <v/>
      </c>
      <c r="AB938" s="73">
        <f t="shared" si="45"/>
        <v>-1</v>
      </c>
      <c r="AC938" s="11" t="str">
        <f t="shared" si="46"/>
        <v/>
      </c>
      <c r="AD938" s="73">
        <f t="shared" si="47"/>
        <v>-2</v>
      </c>
      <c r="AE938" s="11" t="str">
        <f t="shared" si="48"/>
        <v/>
      </c>
      <c r="AF938" s="73">
        <f t="shared" si="49"/>
        <v>-0.99906200000000001</v>
      </c>
      <c r="AG938" s="11" t="str">
        <f t="shared" si="50"/>
        <v/>
      </c>
      <c r="AH938" s="73">
        <f t="shared" si="51"/>
        <v>-1.9990619999999999</v>
      </c>
    </row>
    <row r="939" spans="1:34" ht="14.25" customHeight="1">
      <c r="A939" s="11">
        <v>924</v>
      </c>
      <c r="B939" s="66"/>
      <c r="C939" s="67"/>
      <c r="D939" s="67"/>
      <c r="E939" s="67"/>
      <c r="F939" s="67"/>
      <c r="G939" s="67" t="s">
        <v>35</v>
      </c>
      <c r="H939" s="67">
        <v>45894</v>
      </c>
      <c r="I939" s="6" t="s">
        <v>1546</v>
      </c>
      <c r="J939" s="94">
        <v>5228101930</v>
      </c>
      <c r="K939" s="68">
        <v>45869</v>
      </c>
      <c r="L939" s="68">
        <v>46022</v>
      </c>
      <c r="M939" s="68">
        <v>46203</v>
      </c>
      <c r="N939" s="69">
        <f t="shared" si="39"/>
        <v>5</v>
      </c>
      <c r="O939" s="69">
        <f t="shared" si="40"/>
        <v>3</v>
      </c>
      <c r="P939" s="70">
        <v>10</v>
      </c>
      <c r="Q939" s="70">
        <v>12</v>
      </c>
      <c r="R939" s="70">
        <v>15</v>
      </c>
      <c r="S939" s="68" t="str">
        <f t="shared" si="41"/>
        <v/>
      </c>
      <c r="T939" s="68"/>
      <c r="U939" s="95"/>
      <c r="V939" s="68"/>
      <c r="W939" s="6"/>
      <c r="X939" s="10"/>
      <c r="Y939" s="71">
        <f t="shared" si="42"/>
        <v>12</v>
      </c>
      <c r="Z939" s="73">
        <f t="shared" si="43"/>
        <v>15</v>
      </c>
      <c r="AA939" s="11" t="str">
        <f t="shared" si="44"/>
        <v/>
      </c>
      <c r="AB939" s="73">
        <f t="shared" si="45"/>
        <v>5</v>
      </c>
      <c r="AC939" s="11" t="str">
        <f t="shared" si="46"/>
        <v/>
      </c>
      <c r="AD939" s="73">
        <f t="shared" si="47"/>
        <v>3</v>
      </c>
      <c r="AE939" s="11" t="str">
        <f t="shared" si="48"/>
        <v/>
      </c>
      <c r="AF939" s="73">
        <f t="shared" si="49"/>
        <v>5.0009389999999998</v>
      </c>
      <c r="AG939" s="11" t="str">
        <f t="shared" si="50"/>
        <v/>
      </c>
      <c r="AH939" s="73">
        <f t="shared" si="51"/>
        <v>3.0009389999999998</v>
      </c>
    </row>
    <row r="940" spans="1:34" ht="14.25" customHeight="1">
      <c r="A940" s="11">
        <v>925</v>
      </c>
      <c r="B940" s="66" t="s">
        <v>35</v>
      </c>
      <c r="C940" s="67">
        <v>46023</v>
      </c>
      <c r="D940" s="67"/>
      <c r="E940" s="67"/>
      <c r="F940" s="67"/>
      <c r="G940" s="67"/>
      <c r="H940" s="67"/>
      <c r="I940" s="6" t="s">
        <v>1547</v>
      </c>
      <c r="J940" s="37">
        <v>5228601968</v>
      </c>
      <c r="K940" s="68">
        <v>46022</v>
      </c>
      <c r="L940" s="68">
        <v>46022</v>
      </c>
      <c r="M940" s="68">
        <v>46203</v>
      </c>
      <c r="N940" s="69">
        <f t="shared" si="39"/>
        <v>-3</v>
      </c>
      <c r="O940" s="69">
        <f t="shared" si="40"/>
        <v>-3</v>
      </c>
      <c r="P940" s="70">
        <v>11</v>
      </c>
      <c r="Q940" s="70">
        <v>11</v>
      </c>
      <c r="R940" s="70">
        <v>8</v>
      </c>
      <c r="S940" s="68" t="str">
        <f t="shared" si="41"/>
        <v/>
      </c>
      <c r="T940" s="68"/>
      <c r="U940" s="95"/>
      <c r="V940" s="68"/>
      <c r="W940" s="6"/>
      <c r="X940" s="10"/>
      <c r="Y940" s="71">
        <f t="shared" si="42"/>
        <v>11</v>
      </c>
      <c r="Z940" s="73">
        <f t="shared" si="43"/>
        <v>8</v>
      </c>
      <c r="AA940" s="73">
        <f t="shared" si="44"/>
        <v>-3</v>
      </c>
      <c r="AB940" s="11" t="str">
        <f t="shared" si="45"/>
        <v/>
      </c>
      <c r="AC940" s="73">
        <f t="shared" si="46"/>
        <v>-3</v>
      </c>
      <c r="AD940" s="11" t="str">
        <f t="shared" si="47"/>
        <v/>
      </c>
      <c r="AE940" s="73">
        <f t="shared" si="48"/>
        <v>-2.9990600000000001</v>
      </c>
      <c r="AF940" s="11" t="str">
        <f t="shared" si="49"/>
        <v/>
      </c>
      <c r="AG940" s="73">
        <f t="shared" si="50"/>
        <v>-2.9990600000000001</v>
      </c>
      <c r="AH940" s="11" t="str">
        <f t="shared" si="51"/>
        <v/>
      </c>
    </row>
    <row r="941" spans="1:34" ht="14.25" customHeight="1">
      <c r="A941" s="11">
        <v>926</v>
      </c>
      <c r="B941" s="66" t="s">
        <v>35</v>
      </c>
      <c r="C941" s="67">
        <v>45444</v>
      </c>
      <c r="D941" s="67"/>
      <c r="E941" s="67"/>
      <c r="F941" s="67"/>
      <c r="G941" s="67"/>
      <c r="H941" s="67"/>
      <c r="I941" s="6" t="s">
        <v>1548</v>
      </c>
      <c r="J941" s="9">
        <v>5228802262</v>
      </c>
      <c r="K941" s="68">
        <v>45443</v>
      </c>
      <c r="L941" s="68">
        <v>46022</v>
      </c>
      <c r="M941" s="68">
        <v>46203</v>
      </c>
      <c r="N941" s="69">
        <f t="shared" si="39"/>
        <v>8</v>
      </c>
      <c r="O941" s="69">
        <f t="shared" si="40"/>
        <v>4</v>
      </c>
      <c r="P941" s="70">
        <v>8</v>
      </c>
      <c r="Q941" s="70">
        <v>12</v>
      </c>
      <c r="R941" s="70">
        <v>16</v>
      </c>
      <c r="S941" s="68" t="str">
        <f t="shared" si="41"/>
        <v/>
      </c>
      <c r="T941" s="68"/>
      <c r="U941" s="68"/>
      <c r="V941" s="68"/>
      <c r="W941" s="9"/>
      <c r="X941" s="10"/>
      <c r="Y941" s="71">
        <f t="shared" si="42"/>
        <v>12</v>
      </c>
      <c r="Z941" s="73">
        <f t="shared" si="43"/>
        <v>16</v>
      </c>
      <c r="AA941" s="73">
        <f t="shared" si="44"/>
        <v>8</v>
      </c>
      <c r="AB941" s="11" t="str">
        <f t="shared" si="45"/>
        <v/>
      </c>
      <c r="AC941" s="73">
        <f t="shared" si="46"/>
        <v>4</v>
      </c>
      <c r="AD941" s="11" t="str">
        <f t="shared" si="47"/>
        <v/>
      </c>
      <c r="AE941" s="73">
        <f t="shared" si="48"/>
        <v>8.0009409999999992</v>
      </c>
      <c r="AF941" s="11" t="str">
        <f t="shared" si="49"/>
        <v/>
      </c>
      <c r="AG941" s="73">
        <f t="shared" si="50"/>
        <v>4.0009410000000001</v>
      </c>
      <c r="AH941" s="11" t="str">
        <f t="shared" si="51"/>
        <v/>
      </c>
    </row>
    <row r="942" spans="1:34" ht="14.25" customHeight="1">
      <c r="A942" s="11">
        <v>927</v>
      </c>
      <c r="B942" s="66" t="s">
        <v>35</v>
      </c>
      <c r="C942" s="67"/>
      <c r="D942" s="67"/>
      <c r="E942" s="67"/>
      <c r="F942" s="67">
        <v>45757</v>
      </c>
      <c r="G942" s="67"/>
      <c r="H942" s="67"/>
      <c r="I942" s="6" t="s">
        <v>1549</v>
      </c>
      <c r="J942" s="37">
        <v>5238100249</v>
      </c>
      <c r="K942" s="68">
        <v>45747</v>
      </c>
      <c r="L942" s="68">
        <v>46022</v>
      </c>
      <c r="M942" s="68">
        <v>46203</v>
      </c>
      <c r="N942" s="69">
        <f t="shared" si="39"/>
        <v>1</v>
      </c>
      <c r="O942" s="69">
        <f t="shared" si="40"/>
        <v>-3</v>
      </c>
      <c r="P942" s="70">
        <v>33</v>
      </c>
      <c r="Q942" s="70">
        <v>37</v>
      </c>
      <c r="R942" s="70">
        <v>34</v>
      </c>
      <c r="S942" s="68" t="str">
        <f t="shared" si="41"/>
        <v/>
      </c>
      <c r="T942" s="68"/>
      <c r="U942" s="95"/>
      <c r="V942" s="68"/>
      <c r="W942" s="6"/>
      <c r="X942" s="93"/>
      <c r="Y942" s="71">
        <f t="shared" si="42"/>
        <v>37</v>
      </c>
      <c r="Z942" s="73">
        <f t="shared" si="43"/>
        <v>34</v>
      </c>
      <c r="AA942" s="73">
        <f t="shared" si="44"/>
        <v>1</v>
      </c>
      <c r="AB942" s="11" t="str">
        <f t="shared" si="45"/>
        <v/>
      </c>
      <c r="AC942" s="73">
        <f t="shared" si="46"/>
        <v>-3</v>
      </c>
      <c r="AD942" s="11" t="str">
        <f t="shared" si="47"/>
        <v/>
      </c>
      <c r="AE942" s="73">
        <f t="shared" si="48"/>
        <v>1.000942</v>
      </c>
      <c r="AF942" s="11" t="str">
        <f t="shared" si="49"/>
        <v/>
      </c>
      <c r="AG942" s="73">
        <f t="shared" si="50"/>
        <v>-2.9990579999999998</v>
      </c>
      <c r="AH942" s="11" t="str">
        <f t="shared" si="51"/>
        <v/>
      </c>
    </row>
    <row r="943" spans="1:34" ht="14.25" customHeight="1">
      <c r="A943" s="11">
        <v>928</v>
      </c>
      <c r="B943" s="66"/>
      <c r="C943" s="67"/>
      <c r="D943" s="67"/>
      <c r="E943" s="67"/>
      <c r="F943" s="67"/>
      <c r="G943" s="67" t="s">
        <v>35</v>
      </c>
      <c r="H943" s="67">
        <v>45359</v>
      </c>
      <c r="I943" s="6" t="s">
        <v>1550</v>
      </c>
      <c r="J943" s="9">
        <v>5238602539</v>
      </c>
      <c r="K943" s="68">
        <v>45351</v>
      </c>
      <c r="L943" s="68">
        <v>46022</v>
      </c>
      <c r="M943" s="68">
        <v>46203</v>
      </c>
      <c r="N943" s="69">
        <f t="shared" si="39"/>
        <v>74</v>
      </c>
      <c r="O943" s="69">
        <f t="shared" si="40"/>
        <v>16</v>
      </c>
      <c r="P943" s="70">
        <v>72</v>
      </c>
      <c r="Q943" s="70">
        <v>130</v>
      </c>
      <c r="R943" s="70">
        <v>146</v>
      </c>
      <c r="S943" s="68" t="str">
        <f t="shared" si="41"/>
        <v/>
      </c>
      <c r="T943" s="68"/>
      <c r="U943" s="68"/>
      <c r="V943" s="68"/>
      <c r="W943" s="9"/>
      <c r="X943" s="10"/>
      <c r="Y943" s="71">
        <f t="shared" si="42"/>
        <v>130</v>
      </c>
      <c r="Z943" s="73">
        <f t="shared" si="43"/>
        <v>146</v>
      </c>
      <c r="AA943" s="11" t="str">
        <f t="shared" si="44"/>
        <v/>
      </c>
      <c r="AB943" s="73">
        <f t="shared" si="45"/>
        <v>74</v>
      </c>
      <c r="AC943" s="11" t="str">
        <f t="shared" si="46"/>
        <v/>
      </c>
      <c r="AD943" s="73">
        <f t="shared" si="47"/>
        <v>16</v>
      </c>
      <c r="AE943" s="11" t="str">
        <f t="shared" si="48"/>
        <v/>
      </c>
      <c r="AF943" s="73">
        <f t="shared" si="49"/>
        <v>74.000943000000007</v>
      </c>
      <c r="AG943" s="11" t="str">
        <f t="shared" si="50"/>
        <v/>
      </c>
      <c r="AH943" s="73">
        <f t="shared" si="51"/>
        <v>16.000942999999999</v>
      </c>
    </row>
    <row r="944" spans="1:34" ht="14.25" customHeight="1">
      <c r="A944" s="11">
        <v>929</v>
      </c>
      <c r="B944" s="66"/>
      <c r="C944" s="67"/>
      <c r="D944" s="67"/>
      <c r="E944" s="67"/>
      <c r="F944" s="67"/>
      <c r="G944" s="67" t="s">
        <v>35</v>
      </c>
      <c r="H944" s="67">
        <v>45091</v>
      </c>
      <c r="I944" s="6" t="s">
        <v>1551</v>
      </c>
      <c r="J944" s="9">
        <v>5238602636</v>
      </c>
      <c r="K944" s="68">
        <v>45077</v>
      </c>
      <c r="L944" s="68">
        <v>46022</v>
      </c>
      <c r="M944" s="68">
        <v>46203</v>
      </c>
      <c r="N944" s="69">
        <f t="shared" si="39"/>
        <v>13</v>
      </c>
      <c r="O944" s="69">
        <f t="shared" si="40"/>
        <v>3</v>
      </c>
      <c r="P944" s="70">
        <v>2</v>
      </c>
      <c r="Q944" s="70">
        <v>12</v>
      </c>
      <c r="R944" s="70">
        <v>15</v>
      </c>
      <c r="S944" s="68" t="str">
        <f t="shared" si="41"/>
        <v/>
      </c>
      <c r="T944" s="68"/>
      <c r="U944" s="68"/>
      <c r="V944" s="68"/>
      <c r="W944" s="9"/>
      <c r="X944" s="10"/>
      <c r="Y944" s="71">
        <f t="shared" si="42"/>
        <v>12</v>
      </c>
      <c r="Z944" s="73">
        <f t="shared" si="43"/>
        <v>15</v>
      </c>
      <c r="AA944" s="11" t="str">
        <f t="shared" si="44"/>
        <v/>
      </c>
      <c r="AB944" s="73">
        <f t="shared" si="45"/>
        <v>13</v>
      </c>
      <c r="AC944" s="11" t="str">
        <f t="shared" si="46"/>
        <v/>
      </c>
      <c r="AD944" s="73">
        <f t="shared" si="47"/>
        <v>3</v>
      </c>
      <c r="AE944" s="11" t="str">
        <f t="shared" si="48"/>
        <v/>
      </c>
      <c r="AF944" s="73">
        <f t="shared" si="49"/>
        <v>13.000944</v>
      </c>
      <c r="AG944" s="11" t="str">
        <f t="shared" si="50"/>
        <v/>
      </c>
      <c r="AH944" s="73">
        <f t="shared" si="51"/>
        <v>3.0009440000000001</v>
      </c>
    </row>
    <row r="945" spans="1:34" ht="14.25" customHeight="1">
      <c r="A945" s="11">
        <v>930</v>
      </c>
      <c r="B945" s="66" t="s">
        <v>35</v>
      </c>
      <c r="C945" s="67">
        <v>45839</v>
      </c>
      <c r="D945" s="67"/>
      <c r="E945" s="67"/>
      <c r="F945" s="67"/>
      <c r="G945" s="67"/>
      <c r="H945" s="67"/>
      <c r="I945" s="6" t="s">
        <v>1552</v>
      </c>
      <c r="J945" s="9">
        <v>5248602323</v>
      </c>
      <c r="K945" s="68">
        <v>45838</v>
      </c>
      <c r="L945" s="68">
        <v>46022</v>
      </c>
      <c r="M945" s="68">
        <v>46203</v>
      </c>
      <c r="N945" s="69">
        <f t="shared" si="39"/>
        <v>9</v>
      </c>
      <c r="O945" s="69">
        <f t="shared" si="40"/>
        <v>-1</v>
      </c>
      <c r="P945" s="70">
        <v>35</v>
      </c>
      <c r="Q945" s="70">
        <v>45</v>
      </c>
      <c r="R945" s="70">
        <v>44</v>
      </c>
      <c r="S945" s="68" t="str">
        <f t="shared" si="41"/>
        <v/>
      </c>
      <c r="T945" s="68"/>
      <c r="U945" s="68"/>
      <c r="V945" s="68"/>
      <c r="W945" s="9"/>
      <c r="X945" s="10"/>
      <c r="Y945" s="71">
        <f t="shared" si="42"/>
        <v>45</v>
      </c>
      <c r="Z945" s="73">
        <f t="shared" si="43"/>
        <v>44</v>
      </c>
      <c r="AA945" s="73">
        <f t="shared" si="44"/>
        <v>9</v>
      </c>
      <c r="AB945" s="11" t="str">
        <f t="shared" si="45"/>
        <v/>
      </c>
      <c r="AC945" s="73">
        <f t="shared" si="46"/>
        <v>-1</v>
      </c>
      <c r="AD945" s="11" t="str">
        <f t="shared" si="47"/>
        <v/>
      </c>
      <c r="AE945" s="73">
        <f t="shared" si="48"/>
        <v>9.0009449999999998</v>
      </c>
      <c r="AF945" s="11" t="str">
        <f t="shared" si="49"/>
        <v/>
      </c>
      <c r="AG945" s="73">
        <f t="shared" si="50"/>
        <v>-0.99905500000000003</v>
      </c>
      <c r="AH945" s="11" t="str">
        <f t="shared" si="51"/>
        <v/>
      </c>
    </row>
    <row r="946" spans="1:34" ht="14.25" customHeight="1">
      <c r="A946" s="11">
        <v>931</v>
      </c>
      <c r="B946" s="66"/>
      <c r="C946" s="67"/>
      <c r="D946" s="67"/>
      <c r="E946" s="67"/>
      <c r="F946" s="67"/>
      <c r="G946" s="67" t="s">
        <v>35</v>
      </c>
      <c r="H946" s="67">
        <v>43378</v>
      </c>
      <c r="I946" s="6" t="s">
        <v>1553</v>
      </c>
      <c r="J946" s="9">
        <v>5248800523</v>
      </c>
      <c r="K946" s="68">
        <v>43373</v>
      </c>
      <c r="L946" s="68">
        <v>46022</v>
      </c>
      <c r="M946" s="68">
        <v>46203</v>
      </c>
      <c r="N946" s="69">
        <f t="shared" si="39"/>
        <v>24</v>
      </c>
      <c r="O946" s="69">
        <f t="shared" si="40"/>
        <v>1</v>
      </c>
      <c r="P946" s="70">
        <v>12</v>
      </c>
      <c r="Q946" s="70">
        <v>35</v>
      </c>
      <c r="R946" s="70">
        <v>36</v>
      </c>
      <c r="S946" s="68" t="str">
        <f t="shared" si="41"/>
        <v/>
      </c>
      <c r="T946" s="68"/>
      <c r="U946" s="68"/>
      <c r="V946" s="68"/>
      <c r="W946" s="9"/>
      <c r="X946" s="10"/>
      <c r="Y946" s="71">
        <f t="shared" si="42"/>
        <v>35</v>
      </c>
      <c r="Z946" s="73">
        <f t="shared" si="43"/>
        <v>36</v>
      </c>
      <c r="AA946" s="11" t="str">
        <f t="shared" si="44"/>
        <v/>
      </c>
      <c r="AB946" s="73">
        <f t="shared" si="45"/>
        <v>24</v>
      </c>
      <c r="AC946" s="11" t="str">
        <f t="shared" si="46"/>
        <v/>
      </c>
      <c r="AD946" s="73">
        <f t="shared" si="47"/>
        <v>1</v>
      </c>
      <c r="AE946" s="11" t="str">
        <f t="shared" si="48"/>
        <v/>
      </c>
      <c r="AF946" s="73">
        <f t="shared" si="49"/>
        <v>24.000945999999999</v>
      </c>
      <c r="AG946" s="11" t="str">
        <f t="shared" si="50"/>
        <v/>
      </c>
      <c r="AH946" s="73">
        <f t="shared" si="51"/>
        <v>1.0009459999999999</v>
      </c>
    </row>
    <row r="947" spans="1:34" ht="14.25" customHeight="1">
      <c r="A947" s="11">
        <v>932</v>
      </c>
      <c r="B947" s="66" t="s">
        <v>24</v>
      </c>
      <c r="C947" s="67">
        <v>44141</v>
      </c>
      <c r="D947" s="67"/>
      <c r="E947" s="67"/>
      <c r="F947" s="67"/>
      <c r="G947" s="67"/>
      <c r="H947" s="67"/>
      <c r="I947" s="6" t="s">
        <v>1554</v>
      </c>
      <c r="J947" s="9">
        <v>5258101846</v>
      </c>
      <c r="K947" s="68">
        <v>44135</v>
      </c>
      <c r="L947" s="68" t="s">
        <v>230</v>
      </c>
      <c r="M947" s="68">
        <v>44286</v>
      </c>
      <c r="N947" s="69">
        <f t="shared" si="39"/>
        <v>0</v>
      </c>
      <c r="O947" s="69" t="str">
        <f t="shared" si="40"/>
        <v>N/A</v>
      </c>
      <c r="P947" s="70">
        <v>0</v>
      </c>
      <c r="Q947" s="70"/>
      <c r="R947" s="70">
        <v>0</v>
      </c>
      <c r="S947" s="68">
        <f t="shared" si="41"/>
        <v>44286</v>
      </c>
      <c r="T947" s="68">
        <v>44286</v>
      </c>
      <c r="U947" s="68"/>
      <c r="V947" s="68"/>
      <c r="W947" s="9"/>
      <c r="X947" s="10"/>
      <c r="Y947" s="65" t="str">
        <f t="shared" si="42"/>
        <v/>
      </c>
      <c r="Z947" s="11" t="str">
        <f t="shared" si="43"/>
        <v/>
      </c>
      <c r="AA947" s="73">
        <f t="shared" si="44"/>
        <v>0</v>
      </c>
      <c r="AB947" s="11" t="str">
        <f t="shared" si="45"/>
        <v/>
      </c>
      <c r="AC947" s="11" t="str">
        <f t="shared" si="46"/>
        <v/>
      </c>
      <c r="AD947" s="11" t="str">
        <f t="shared" si="47"/>
        <v/>
      </c>
      <c r="AE947" s="73">
        <f t="shared" si="48"/>
        <v>9.4700000000000003E-4</v>
      </c>
      <c r="AF947" s="11" t="str">
        <f t="shared" si="49"/>
        <v/>
      </c>
      <c r="AG947" s="11" t="str">
        <f t="shared" si="50"/>
        <v/>
      </c>
      <c r="AH947" s="11" t="str">
        <f t="shared" si="51"/>
        <v/>
      </c>
    </row>
    <row r="948" spans="1:34" ht="14.25" customHeight="1">
      <c r="A948" s="11">
        <v>933</v>
      </c>
      <c r="B948" s="66"/>
      <c r="C948" s="67"/>
      <c r="D948" s="67"/>
      <c r="E948" s="67"/>
      <c r="F948" s="67"/>
      <c r="G948" s="67" t="s">
        <v>35</v>
      </c>
      <c r="H948" s="67">
        <v>44337</v>
      </c>
      <c r="I948" s="6" t="s">
        <v>1555</v>
      </c>
      <c r="J948" s="9">
        <v>5258600935</v>
      </c>
      <c r="K948" s="68">
        <v>44316</v>
      </c>
      <c r="L948" s="68">
        <v>46022</v>
      </c>
      <c r="M948" s="68">
        <v>46203</v>
      </c>
      <c r="N948" s="69">
        <f t="shared" si="39"/>
        <v>0</v>
      </c>
      <c r="O948" s="69">
        <f t="shared" si="40"/>
        <v>-1</v>
      </c>
      <c r="P948" s="70">
        <v>9</v>
      </c>
      <c r="Q948" s="70">
        <v>10</v>
      </c>
      <c r="R948" s="70">
        <v>9</v>
      </c>
      <c r="S948" s="68" t="str">
        <f t="shared" si="41"/>
        <v/>
      </c>
      <c r="T948" s="68"/>
      <c r="U948" s="68"/>
      <c r="V948" s="68"/>
      <c r="W948" s="9"/>
      <c r="X948" s="10"/>
      <c r="Y948" s="71">
        <f t="shared" si="42"/>
        <v>10</v>
      </c>
      <c r="Z948" s="73">
        <f t="shared" si="43"/>
        <v>9</v>
      </c>
      <c r="AA948" s="11" t="str">
        <f t="shared" si="44"/>
        <v/>
      </c>
      <c r="AB948" s="73">
        <f t="shared" si="45"/>
        <v>0</v>
      </c>
      <c r="AC948" s="11" t="str">
        <f t="shared" si="46"/>
        <v/>
      </c>
      <c r="AD948" s="73">
        <f t="shared" si="47"/>
        <v>-1</v>
      </c>
      <c r="AE948" s="11" t="str">
        <f t="shared" si="48"/>
        <v/>
      </c>
      <c r="AF948" s="73">
        <f t="shared" si="49"/>
        <v>9.4799999999999995E-4</v>
      </c>
      <c r="AG948" s="11" t="str">
        <f t="shared" si="50"/>
        <v/>
      </c>
      <c r="AH948" s="73">
        <f t="shared" si="51"/>
        <v>-0.99905200000000005</v>
      </c>
    </row>
    <row r="949" spans="1:34" ht="14.25" customHeight="1">
      <c r="A949" s="11">
        <v>934</v>
      </c>
      <c r="B949" s="66"/>
      <c r="C949" s="67"/>
      <c r="D949" s="67"/>
      <c r="E949" s="67"/>
      <c r="F949" s="67"/>
      <c r="G949" s="67" t="s">
        <v>35</v>
      </c>
      <c r="H949" s="67">
        <v>45272</v>
      </c>
      <c r="I949" s="6" t="s">
        <v>1556</v>
      </c>
      <c r="J949" s="9">
        <v>5258702702</v>
      </c>
      <c r="K949" s="68">
        <v>45260</v>
      </c>
      <c r="L949" s="68">
        <v>46022</v>
      </c>
      <c r="M949" s="68">
        <v>46203</v>
      </c>
      <c r="N949" s="69">
        <f t="shared" si="39"/>
        <v>17</v>
      </c>
      <c r="O949" s="69">
        <f t="shared" si="40"/>
        <v>1</v>
      </c>
      <c r="P949" s="70">
        <v>0</v>
      </c>
      <c r="Q949" s="70">
        <v>16</v>
      </c>
      <c r="R949" s="70">
        <v>17</v>
      </c>
      <c r="S949" s="68" t="str">
        <f t="shared" si="41"/>
        <v/>
      </c>
      <c r="T949" s="68"/>
      <c r="U949" s="68"/>
      <c r="V949" s="68"/>
      <c r="W949" s="9"/>
      <c r="X949" s="10"/>
      <c r="Y949" s="71">
        <f t="shared" si="42"/>
        <v>16</v>
      </c>
      <c r="Z949" s="73">
        <f t="shared" si="43"/>
        <v>17</v>
      </c>
      <c r="AA949" s="11" t="str">
        <f t="shared" si="44"/>
        <v/>
      </c>
      <c r="AB949" s="73">
        <f t="shared" si="45"/>
        <v>17</v>
      </c>
      <c r="AC949" s="11" t="str">
        <f t="shared" si="46"/>
        <v/>
      </c>
      <c r="AD949" s="73">
        <f t="shared" si="47"/>
        <v>1</v>
      </c>
      <c r="AE949" s="11" t="str">
        <f t="shared" si="48"/>
        <v/>
      </c>
      <c r="AF949" s="73">
        <f t="shared" si="49"/>
        <v>17.000948999999999</v>
      </c>
      <c r="AG949" s="11" t="str">
        <f t="shared" si="50"/>
        <v/>
      </c>
      <c r="AH949" s="73">
        <f t="shared" si="51"/>
        <v>1.0009490000000001</v>
      </c>
    </row>
    <row r="950" spans="1:34" ht="14.25" customHeight="1">
      <c r="A950" s="11">
        <v>935</v>
      </c>
      <c r="B950" s="66"/>
      <c r="C950" s="67"/>
      <c r="D950" s="67"/>
      <c r="E950" s="67"/>
      <c r="F950" s="67"/>
      <c r="G950" s="67" t="s">
        <v>35</v>
      </c>
      <c r="H950" s="67">
        <v>44875</v>
      </c>
      <c r="I950" s="6" t="s">
        <v>1557</v>
      </c>
      <c r="J950" s="9">
        <v>5258802510</v>
      </c>
      <c r="K950" s="68">
        <v>44865</v>
      </c>
      <c r="L950" s="68">
        <v>46022</v>
      </c>
      <c r="M950" s="68">
        <v>46203</v>
      </c>
      <c r="N950" s="69">
        <f t="shared" si="39"/>
        <v>1</v>
      </c>
      <c r="O950" s="69">
        <f t="shared" si="40"/>
        <v>-5</v>
      </c>
      <c r="P950" s="70">
        <v>0</v>
      </c>
      <c r="Q950" s="70">
        <v>6</v>
      </c>
      <c r="R950" s="70">
        <v>1</v>
      </c>
      <c r="S950" s="68" t="str">
        <f t="shared" si="41"/>
        <v/>
      </c>
      <c r="T950" s="68"/>
      <c r="U950" s="68"/>
      <c r="V950" s="68"/>
      <c r="W950" s="9"/>
      <c r="X950" s="10"/>
      <c r="Y950" s="71">
        <f t="shared" si="42"/>
        <v>6</v>
      </c>
      <c r="Z950" s="73">
        <f t="shared" si="43"/>
        <v>1</v>
      </c>
      <c r="AA950" s="11" t="str">
        <f t="shared" si="44"/>
        <v/>
      </c>
      <c r="AB950" s="73">
        <f t="shared" si="45"/>
        <v>1</v>
      </c>
      <c r="AC950" s="11" t="str">
        <f t="shared" si="46"/>
        <v/>
      </c>
      <c r="AD950" s="73">
        <f t="shared" si="47"/>
        <v>-5</v>
      </c>
      <c r="AE950" s="11" t="str">
        <f t="shared" si="48"/>
        <v/>
      </c>
      <c r="AF950" s="73">
        <f t="shared" si="49"/>
        <v>1.00095</v>
      </c>
      <c r="AG950" s="11" t="str">
        <f t="shared" si="50"/>
        <v/>
      </c>
      <c r="AH950" s="73">
        <f t="shared" si="51"/>
        <v>-4.9990500000000004</v>
      </c>
    </row>
    <row r="951" spans="1:34" ht="14.25" customHeight="1">
      <c r="A951" s="11">
        <v>936</v>
      </c>
      <c r="B951" s="66"/>
      <c r="C951" s="67"/>
      <c r="D951" s="67"/>
      <c r="E951" s="67"/>
      <c r="F951" s="67"/>
      <c r="G951" s="67" t="s">
        <v>35</v>
      </c>
      <c r="H951" s="67">
        <v>42783</v>
      </c>
      <c r="I951" s="6" t="s">
        <v>1558</v>
      </c>
      <c r="J951" s="9">
        <v>5268600239</v>
      </c>
      <c r="K951" s="68">
        <v>42766</v>
      </c>
      <c r="L951" s="68">
        <v>46022</v>
      </c>
      <c r="M951" s="68">
        <v>46203</v>
      </c>
      <c r="N951" s="69">
        <f t="shared" si="39"/>
        <v>-18</v>
      </c>
      <c r="O951" s="69">
        <f t="shared" si="40"/>
        <v>-17</v>
      </c>
      <c r="P951" s="70">
        <v>18</v>
      </c>
      <c r="Q951" s="70">
        <v>17</v>
      </c>
      <c r="R951" s="70">
        <v>0</v>
      </c>
      <c r="S951" s="68" t="str">
        <f t="shared" si="41"/>
        <v/>
      </c>
      <c r="T951" s="68"/>
      <c r="U951" s="68"/>
      <c r="V951" s="68"/>
      <c r="W951" s="9"/>
      <c r="X951" s="10"/>
      <c r="Y951" s="71">
        <f t="shared" si="42"/>
        <v>17</v>
      </c>
      <c r="Z951" s="73">
        <f t="shared" si="43"/>
        <v>0</v>
      </c>
      <c r="AA951" s="11" t="str">
        <f t="shared" si="44"/>
        <v/>
      </c>
      <c r="AB951" s="73">
        <f t="shared" si="45"/>
        <v>-18</v>
      </c>
      <c r="AC951" s="11" t="str">
        <f t="shared" si="46"/>
        <v/>
      </c>
      <c r="AD951" s="73">
        <f t="shared" si="47"/>
        <v>-17</v>
      </c>
      <c r="AE951" s="11" t="str">
        <f t="shared" si="48"/>
        <v/>
      </c>
      <c r="AF951" s="73">
        <f t="shared" si="49"/>
        <v>-17.999048999999999</v>
      </c>
      <c r="AG951" s="11" t="str">
        <f t="shared" si="50"/>
        <v/>
      </c>
      <c r="AH951" s="73">
        <f t="shared" si="51"/>
        <v>-16.999048999999999</v>
      </c>
    </row>
    <row r="952" spans="1:34" ht="14.25" customHeight="1">
      <c r="A952" s="11">
        <v>937</v>
      </c>
      <c r="B952" s="66" t="s">
        <v>35</v>
      </c>
      <c r="C952" s="67">
        <v>41791</v>
      </c>
      <c r="D952" s="67"/>
      <c r="E952" s="67"/>
      <c r="F952" s="67"/>
      <c r="G952" s="67"/>
      <c r="H952" s="67"/>
      <c r="I952" s="6" t="s">
        <v>1559</v>
      </c>
      <c r="J952" s="9">
        <v>5278101503</v>
      </c>
      <c r="K952" s="68">
        <v>41790</v>
      </c>
      <c r="L952" s="68">
        <v>46022</v>
      </c>
      <c r="M952" s="68">
        <v>46203</v>
      </c>
      <c r="N952" s="69">
        <f t="shared" si="39"/>
        <v>10</v>
      </c>
      <c r="O952" s="69">
        <f t="shared" si="40"/>
        <v>1</v>
      </c>
      <c r="P952" s="70">
        <v>0</v>
      </c>
      <c r="Q952" s="70">
        <v>9</v>
      </c>
      <c r="R952" s="70">
        <v>10</v>
      </c>
      <c r="S952" s="68" t="str">
        <f t="shared" si="41"/>
        <v/>
      </c>
      <c r="T952" s="68"/>
      <c r="U952" s="68"/>
      <c r="V952" s="68"/>
      <c r="W952" s="9"/>
      <c r="X952" s="10"/>
      <c r="Y952" s="71">
        <f t="shared" si="42"/>
        <v>9</v>
      </c>
      <c r="Z952" s="73">
        <f t="shared" si="43"/>
        <v>10</v>
      </c>
      <c r="AA952" s="73">
        <f t="shared" si="44"/>
        <v>10</v>
      </c>
      <c r="AB952" s="11" t="str">
        <f t="shared" si="45"/>
        <v/>
      </c>
      <c r="AC952" s="73">
        <f t="shared" si="46"/>
        <v>1</v>
      </c>
      <c r="AD952" s="11" t="str">
        <f t="shared" si="47"/>
        <v/>
      </c>
      <c r="AE952" s="73">
        <f t="shared" si="48"/>
        <v>10.000952</v>
      </c>
      <c r="AF952" s="11" t="str">
        <f t="shared" si="49"/>
        <v/>
      </c>
      <c r="AG952" s="73">
        <f t="shared" si="50"/>
        <v>1.0009520000000001</v>
      </c>
      <c r="AH952" s="11" t="str">
        <f t="shared" si="51"/>
        <v/>
      </c>
    </row>
    <row r="953" spans="1:34" ht="14.25" customHeight="1">
      <c r="A953" s="11">
        <v>938</v>
      </c>
      <c r="B953" s="66"/>
      <c r="C953" s="67"/>
      <c r="D953" s="67"/>
      <c r="E953" s="67"/>
      <c r="F953" s="67"/>
      <c r="G953" s="67" t="s">
        <v>35</v>
      </c>
      <c r="H953" s="67">
        <v>44245</v>
      </c>
      <c r="I953" s="6" t="s">
        <v>1560</v>
      </c>
      <c r="J953" s="9">
        <v>5278101895</v>
      </c>
      <c r="K953" s="68">
        <v>44227</v>
      </c>
      <c r="L953" s="68">
        <v>46022</v>
      </c>
      <c r="M953" s="68">
        <v>46203</v>
      </c>
      <c r="N953" s="69">
        <f t="shared" si="39"/>
        <v>-13</v>
      </c>
      <c r="O953" s="69">
        <f t="shared" si="40"/>
        <v>0</v>
      </c>
      <c r="P953" s="70">
        <v>13</v>
      </c>
      <c r="Q953" s="70">
        <v>0</v>
      </c>
      <c r="R953" s="70">
        <v>0</v>
      </c>
      <c r="S953" s="68" t="str">
        <f t="shared" si="41"/>
        <v/>
      </c>
      <c r="T953" s="68"/>
      <c r="U953" s="68"/>
      <c r="V953" s="68"/>
      <c r="W953" s="9"/>
      <c r="X953" s="10"/>
      <c r="Y953" s="71">
        <f t="shared" si="42"/>
        <v>0</v>
      </c>
      <c r="Z953" s="73">
        <f t="shared" si="43"/>
        <v>0</v>
      </c>
      <c r="AA953" s="11" t="str">
        <f t="shared" si="44"/>
        <v/>
      </c>
      <c r="AB953" s="73">
        <f t="shared" si="45"/>
        <v>-13</v>
      </c>
      <c r="AC953" s="11" t="str">
        <f t="shared" si="46"/>
        <v/>
      </c>
      <c r="AD953" s="73">
        <f t="shared" si="47"/>
        <v>0</v>
      </c>
      <c r="AE953" s="11" t="str">
        <f t="shared" si="48"/>
        <v/>
      </c>
      <c r="AF953" s="73">
        <f t="shared" si="49"/>
        <v>-12.999046999999999</v>
      </c>
      <c r="AG953" s="11" t="str">
        <f t="shared" si="50"/>
        <v/>
      </c>
      <c r="AH953" s="73">
        <f t="shared" si="51"/>
        <v>9.5299999999999996E-4</v>
      </c>
    </row>
    <row r="954" spans="1:34" ht="14.25" customHeight="1">
      <c r="A954" s="11">
        <v>939</v>
      </c>
      <c r="B954" s="66"/>
      <c r="C954" s="67"/>
      <c r="D954" s="67"/>
      <c r="E954" s="67"/>
      <c r="F954" s="67"/>
      <c r="G954" s="67" t="s">
        <v>283</v>
      </c>
      <c r="H954" s="67">
        <v>44013</v>
      </c>
      <c r="I954" s="6" t="s">
        <v>1561</v>
      </c>
      <c r="J954" s="9">
        <v>5278600829</v>
      </c>
      <c r="K954" s="68">
        <v>44012</v>
      </c>
      <c r="L954" s="68" t="s">
        <v>230</v>
      </c>
      <c r="M954" s="68">
        <v>45747</v>
      </c>
      <c r="N954" s="69">
        <f t="shared" si="39"/>
        <v>1</v>
      </c>
      <c r="O954" s="69" t="str">
        <f t="shared" si="40"/>
        <v>N/A</v>
      </c>
      <c r="P954" s="70">
        <v>7</v>
      </c>
      <c r="Q954" s="70"/>
      <c r="R954" s="70">
        <v>8</v>
      </c>
      <c r="S954" s="68">
        <f t="shared" si="41"/>
        <v>45721</v>
      </c>
      <c r="T954" s="68"/>
      <c r="U954" s="68"/>
      <c r="V954" s="68"/>
      <c r="W954" s="68">
        <v>45721</v>
      </c>
      <c r="X954" s="10"/>
      <c r="Y954" s="65" t="str">
        <f t="shared" si="42"/>
        <v/>
      </c>
      <c r="Z954" s="11" t="str">
        <f t="shared" si="43"/>
        <v/>
      </c>
      <c r="AA954" s="11" t="str">
        <f t="shared" si="44"/>
        <v/>
      </c>
      <c r="AB954" s="73">
        <f t="shared" si="45"/>
        <v>1</v>
      </c>
      <c r="AC954" s="11" t="str">
        <f t="shared" si="46"/>
        <v/>
      </c>
      <c r="AD954" s="11" t="str">
        <f t="shared" si="47"/>
        <v/>
      </c>
      <c r="AE954" s="11" t="str">
        <f t="shared" si="48"/>
        <v/>
      </c>
      <c r="AF954" s="73">
        <f t="shared" si="49"/>
        <v>1.0009539999999999</v>
      </c>
      <c r="AG954" s="11" t="str">
        <f t="shared" si="50"/>
        <v/>
      </c>
      <c r="AH954" s="11" t="str">
        <f t="shared" si="51"/>
        <v/>
      </c>
    </row>
    <row r="955" spans="1:34" ht="14.25" customHeight="1">
      <c r="A955" s="11">
        <v>940</v>
      </c>
      <c r="B955" s="66"/>
      <c r="C955" s="67"/>
      <c r="D955" s="67"/>
      <c r="E955" s="67"/>
      <c r="F955" s="67"/>
      <c r="G955" s="67" t="s">
        <v>35</v>
      </c>
      <c r="H955" s="67">
        <v>44524</v>
      </c>
      <c r="I955" s="6" t="s">
        <v>1562</v>
      </c>
      <c r="J955" s="9">
        <v>5278701859</v>
      </c>
      <c r="K955" s="68">
        <v>44500</v>
      </c>
      <c r="L955" s="68">
        <v>46022</v>
      </c>
      <c r="M955" s="68">
        <v>46203</v>
      </c>
      <c r="N955" s="69">
        <f t="shared" si="39"/>
        <v>41</v>
      </c>
      <c r="O955" s="69">
        <f t="shared" si="40"/>
        <v>-12</v>
      </c>
      <c r="P955" s="70">
        <v>9</v>
      </c>
      <c r="Q955" s="70">
        <v>62</v>
      </c>
      <c r="R955" s="70">
        <v>50</v>
      </c>
      <c r="S955" s="68" t="str">
        <f t="shared" si="41"/>
        <v/>
      </c>
      <c r="T955" s="68"/>
      <c r="U955" s="68"/>
      <c r="V955" s="68"/>
      <c r="W955" s="9"/>
      <c r="X955" s="10"/>
      <c r="Y955" s="71">
        <f t="shared" si="42"/>
        <v>62</v>
      </c>
      <c r="Z955" s="73">
        <f t="shared" si="43"/>
        <v>50</v>
      </c>
      <c r="AA955" s="11" t="str">
        <f t="shared" si="44"/>
        <v/>
      </c>
      <c r="AB955" s="73">
        <f t="shared" si="45"/>
        <v>41</v>
      </c>
      <c r="AC955" s="11" t="str">
        <f t="shared" si="46"/>
        <v/>
      </c>
      <c r="AD955" s="73">
        <f t="shared" si="47"/>
        <v>-12</v>
      </c>
      <c r="AE955" s="11" t="str">
        <f t="shared" si="48"/>
        <v/>
      </c>
      <c r="AF955" s="73">
        <f t="shared" si="49"/>
        <v>41.000954999999998</v>
      </c>
      <c r="AG955" s="11" t="str">
        <f t="shared" si="50"/>
        <v/>
      </c>
      <c r="AH955" s="73">
        <f t="shared" si="51"/>
        <v>-11.999045000000001</v>
      </c>
    </row>
    <row r="956" spans="1:34" ht="14.25" customHeight="1">
      <c r="A956" s="11">
        <v>941</v>
      </c>
      <c r="B956" s="66"/>
      <c r="C956" s="67"/>
      <c r="D956" s="67"/>
      <c r="E956" s="67"/>
      <c r="F956" s="67"/>
      <c r="G956" s="67" t="s">
        <v>35</v>
      </c>
      <c r="H956" s="67">
        <v>45590</v>
      </c>
      <c r="I956" s="6" t="s">
        <v>1563</v>
      </c>
      <c r="J956" s="9">
        <v>5278702988</v>
      </c>
      <c r="K956" s="68">
        <v>45565</v>
      </c>
      <c r="L956" s="68">
        <v>46022</v>
      </c>
      <c r="M956" s="68">
        <v>46203</v>
      </c>
      <c r="N956" s="69">
        <f t="shared" si="39"/>
        <v>-2</v>
      </c>
      <c r="O956" s="69">
        <f t="shared" si="40"/>
        <v>-2</v>
      </c>
      <c r="P956" s="70">
        <v>2</v>
      </c>
      <c r="Q956" s="70">
        <v>2</v>
      </c>
      <c r="R956" s="70">
        <v>0</v>
      </c>
      <c r="S956" s="68" t="str">
        <f t="shared" si="41"/>
        <v/>
      </c>
      <c r="T956" s="68"/>
      <c r="U956" s="68"/>
      <c r="V956" s="68"/>
      <c r="W956" s="9"/>
      <c r="X956" s="10"/>
      <c r="Y956" s="71">
        <f t="shared" si="42"/>
        <v>2</v>
      </c>
      <c r="Z956" s="73">
        <f t="shared" si="43"/>
        <v>0</v>
      </c>
      <c r="AA956" s="11" t="str">
        <f t="shared" si="44"/>
        <v/>
      </c>
      <c r="AB956" s="73">
        <f t="shared" si="45"/>
        <v>-2</v>
      </c>
      <c r="AC956" s="11" t="str">
        <f t="shared" si="46"/>
        <v/>
      </c>
      <c r="AD956" s="73">
        <f t="shared" si="47"/>
        <v>-2</v>
      </c>
      <c r="AE956" s="11" t="str">
        <f t="shared" si="48"/>
        <v/>
      </c>
      <c r="AF956" s="73">
        <f t="shared" si="49"/>
        <v>-1.999044</v>
      </c>
      <c r="AG956" s="11" t="str">
        <f t="shared" si="50"/>
        <v/>
      </c>
      <c r="AH956" s="73">
        <f t="shared" si="51"/>
        <v>-1.999044</v>
      </c>
    </row>
    <row r="957" spans="1:34" ht="14.25" customHeight="1">
      <c r="A957" s="11">
        <v>942</v>
      </c>
      <c r="B957" s="66"/>
      <c r="C957" s="67"/>
      <c r="D957" s="67"/>
      <c r="E957" s="67"/>
      <c r="F957" s="67"/>
      <c r="G957" s="67" t="s">
        <v>24</v>
      </c>
      <c r="H957" s="67">
        <v>43509</v>
      </c>
      <c r="I957" s="6" t="s">
        <v>1564</v>
      </c>
      <c r="J957" s="9">
        <v>5278801079</v>
      </c>
      <c r="K957" s="68">
        <v>43496</v>
      </c>
      <c r="L957" s="68" t="s">
        <v>230</v>
      </c>
      <c r="M957" s="68">
        <v>44773</v>
      </c>
      <c r="N957" s="69">
        <f t="shared" si="39"/>
        <v>-1</v>
      </c>
      <c r="O957" s="69" t="str">
        <f t="shared" si="40"/>
        <v>N/A</v>
      </c>
      <c r="P957" s="70">
        <v>1</v>
      </c>
      <c r="Q957" s="70"/>
      <c r="R957" s="70">
        <v>0</v>
      </c>
      <c r="S957" s="68">
        <f t="shared" si="41"/>
        <v>44753</v>
      </c>
      <c r="T957" s="68">
        <v>44753</v>
      </c>
      <c r="U957" s="68"/>
      <c r="V957" s="68"/>
      <c r="W957" s="9"/>
      <c r="X957" s="10"/>
      <c r="Y957" s="65" t="str">
        <f t="shared" si="42"/>
        <v/>
      </c>
      <c r="Z957" s="11" t="str">
        <f t="shared" si="43"/>
        <v/>
      </c>
      <c r="AA957" s="11" t="str">
        <f t="shared" si="44"/>
        <v/>
      </c>
      <c r="AB957" s="73">
        <f t="shared" si="45"/>
        <v>-1</v>
      </c>
      <c r="AC957" s="11" t="str">
        <f t="shared" si="46"/>
        <v/>
      </c>
      <c r="AD957" s="11" t="str">
        <f t="shared" si="47"/>
        <v/>
      </c>
      <c r="AE957" s="11" t="str">
        <f t="shared" si="48"/>
        <v/>
      </c>
      <c r="AF957" s="73">
        <f t="shared" si="49"/>
        <v>-0.99904300000000001</v>
      </c>
      <c r="AG957" s="11" t="str">
        <f t="shared" si="50"/>
        <v/>
      </c>
      <c r="AH957" s="11" t="str">
        <f t="shared" si="51"/>
        <v/>
      </c>
    </row>
    <row r="958" spans="1:34" ht="14.25" customHeight="1">
      <c r="A958" s="11">
        <v>943</v>
      </c>
      <c r="B958" s="66"/>
      <c r="C958" s="67"/>
      <c r="D958" s="67"/>
      <c r="E958" s="67"/>
      <c r="F958" s="67"/>
      <c r="G958" s="67" t="s">
        <v>35</v>
      </c>
      <c r="H958" s="67">
        <v>45280</v>
      </c>
      <c r="I958" s="6" t="s">
        <v>1565</v>
      </c>
      <c r="J958" s="9">
        <v>5288600986</v>
      </c>
      <c r="K958" s="68">
        <v>45260</v>
      </c>
      <c r="L958" s="68">
        <v>46022</v>
      </c>
      <c r="M958" s="68">
        <v>46203</v>
      </c>
      <c r="N958" s="69">
        <f t="shared" si="39"/>
        <v>6</v>
      </c>
      <c r="O958" s="69">
        <f t="shared" si="40"/>
        <v>2</v>
      </c>
      <c r="P958" s="70">
        <v>34</v>
      </c>
      <c r="Q958" s="70">
        <v>38</v>
      </c>
      <c r="R958" s="70">
        <v>40</v>
      </c>
      <c r="S958" s="68" t="str">
        <f t="shared" si="41"/>
        <v/>
      </c>
      <c r="T958" s="68"/>
      <c r="U958" s="68"/>
      <c r="V958" s="68"/>
      <c r="W958" s="9"/>
      <c r="X958" s="10"/>
      <c r="Y958" s="71">
        <f t="shared" si="42"/>
        <v>38</v>
      </c>
      <c r="Z958" s="73">
        <f t="shared" si="43"/>
        <v>40</v>
      </c>
      <c r="AA958" s="11" t="str">
        <f t="shared" si="44"/>
        <v/>
      </c>
      <c r="AB958" s="73">
        <f t="shared" si="45"/>
        <v>6</v>
      </c>
      <c r="AC958" s="11" t="str">
        <f t="shared" si="46"/>
        <v/>
      </c>
      <c r="AD958" s="73">
        <f t="shared" si="47"/>
        <v>2</v>
      </c>
      <c r="AE958" s="11" t="str">
        <f t="shared" si="48"/>
        <v/>
      </c>
      <c r="AF958" s="73">
        <f t="shared" si="49"/>
        <v>6.0009579999999998</v>
      </c>
      <c r="AG958" s="11" t="str">
        <f t="shared" si="50"/>
        <v/>
      </c>
      <c r="AH958" s="73">
        <f t="shared" si="51"/>
        <v>2.0009579999999998</v>
      </c>
    </row>
    <row r="959" spans="1:34" ht="14.25" customHeight="1">
      <c r="A959" s="11">
        <v>944</v>
      </c>
      <c r="B959" s="66" t="s">
        <v>35</v>
      </c>
      <c r="C959" s="67">
        <v>45261</v>
      </c>
      <c r="D959" s="67"/>
      <c r="E959" s="67"/>
      <c r="F959" s="67"/>
      <c r="G959" s="67"/>
      <c r="H959" s="67"/>
      <c r="I959" s="6" t="s">
        <v>1566</v>
      </c>
      <c r="J959" s="9">
        <v>5288802881</v>
      </c>
      <c r="K959" s="68">
        <v>45260</v>
      </c>
      <c r="L959" s="68">
        <v>46022</v>
      </c>
      <c r="M959" s="68">
        <v>46203</v>
      </c>
      <c r="N959" s="69">
        <f t="shared" si="39"/>
        <v>-2</v>
      </c>
      <c r="O959" s="69">
        <f t="shared" si="40"/>
        <v>-1</v>
      </c>
      <c r="P959" s="70">
        <v>2</v>
      </c>
      <c r="Q959" s="70">
        <v>1</v>
      </c>
      <c r="R959" s="70">
        <v>0</v>
      </c>
      <c r="S959" s="68" t="str">
        <f t="shared" si="41"/>
        <v/>
      </c>
      <c r="T959" s="68"/>
      <c r="U959" s="68"/>
      <c r="V959" s="68"/>
      <c r="W959" s="9"/>
      <c r="X959" s="10"/>
      <c r="Y959" s="71">
        <f t="shared" si="42"/>
        <v>1</v>
      </c>
      <c r="Z959" s="73">
        <f t="shared" si="43"/>
        <v>0</v>
      </c>
      <c r="AA959" s="73">
        <f t="shared" si="44"/>
        <v>-2</v>
      </c>
      <c r="AB959" s="11" t="str">
        <f t="shared" si="45"/>
        <v/>
      </c>
      <c r="AC959" s="73">
        <f t="shared" si="46"/>
        <v>-1</v>
      </c>
      <c r="AD959" s="11" t="str">
        <f t="shared" si="47"/>
        <v/>
      </c>
      <c r="AE959" s="73">
        <f t="shared" si="48"/>
        <v>-1.9990410000000001</v>
      </c>
      <c r="AF959" s="11" t="str">
        <f t="shared" si="49"/>
        <v/>
      </c>
      <c r="AG959" s="73">
        <f t="shared" si="50"/>
        <v>-0.99904099999999996</v>
      </c>
      <c r="AH959" s="11" t="str">
        <f t="shared" si="51"/>
        <v/>
      </c>
    </row>
    <row r="960" spans="1:34" ht="14.25" customHeight="1">
      <c r="A960" s="11">
        <v>945</v>
      </c>
      <c r="B960" s="66"/>
      <c r="C960" s="67"/>
      <c r="D960" s="67"/>
      <c r="E960" s="67"/>
      <c r="F960" s="67"/>
      <c r="G960" s="67" t="s">
        <v>35</v>
      </c>
      <c r="H960" s="67">
        <v>44102</v>
      </c>
      <c r="I960" s="6" t="s">
        <v>1567</v>
      </c>
      <c r="J960" s="9">
        <v>5298101455</v>
      </c>
      <c r="K960" s="68">
        <v>44074</v>
      </c>
      <c r="L960" s="68">
        <v>46022</v>
      </c>
      <c r="M960" s="68">
        <v>46203</v>
      </c>
      <c r="N960" s="69">
        <f t="shared" si="39"/>
        <v>15</v>
      </c>
      <c r="O960" s="69">
        <f t="shared" si="40"/>
        <v>2</v>
      </c>
      <c r="P960" s="70">
        <v>2</v>
      </c>
      <c r="Q960" s="70">
        <v>15</v>
      </c>
      <c r="R960" s="70">
        <v>17</v>
      </c>
      <c r="S960" s="68" t="str">
        <f t="shared" si="41"/>
        <v/>
      </c>
      <c r="T960" s="68"/>
      <c r="U960" s="68"/>
      <c r="V960" s="68"/>
      <c r="W960" s="9"/>
      <c r="X960" s="10"/>
      <c r="Y960" s="71">
        <f t="shared" si="42"/>
        <v>15</v>
      </c>
      <c r="Z960" s="73">
        <f t="shared" si="43"/>
        <v>17</v>
      </c>
      <c r="AA960" s="11" t="str">
        <f t="shared" si="44"/>
        <v/>
      </c>
      <c r="AB960" s="73">
        <f t="shared" si="45"/>
        <v>15</v>
      </c>
      <c r="AC960" s="11" t="str">
        <f t="shared" si="46"/>
        <v/>
      </c>
      <c r="AD960" s="73">
        <f t="shared" si="47"/>
        <v>2</v>
      </c>
      <c r="AE960" s="11" t="str">
        <f t="shared" si="48"/>
        <v/>
      </c>
      <c r="AF960" s="73">
        <f t="shared" si="49"/>
        <v>15.000959999999999</v>
      </c>
      <c r="AG960" s="11" t="str">
        <f t="shared" si="50"/>
        <v/>
      </c>
      <c r="AH960" s="73">
        <f t="shared" si="51"/>
        <v>2.0009600000000001</v>
      </c>
    </row>
    <row r="961" spans="1:34" ht="14.25" customHeight="1">
      <c r="A961" s="11">
        <v>946</v>
      </c>
      <c r="B961" s="66"/>
      <c r="C961" s="67"/>
      <c r="D961" s="67"/>
      <c r="E961" s="67"/>
      <c r="F961" s="67"/>
      <c r="G961" s="67" t="s">
        <v>35</v>
      </c>
      <c r="H961" s="67">
        <v>44279</v>
      </c>
      <c r="I961" s="6" t="s">
        <v>1568</v>
      </c>
      <c r="J961" s="9">
        <v>5298600295</v>
      </c>
      <c r="K961" s="68">
        <v>44255</v>
      </c>
      <c r="L961" s="68">
        <v>46022</v>
      </c>
      <c r="M961" s="68">
        <v>46203</v>
      </c>
      <c r="N961" s="69">
        <f t="shared" si="39"/>
        <v>-9</v>
      </c>
      <c r="O961" s="69">
        <f t="shared" si="40"/>
        <v>-3</v>
      </c>
      <c r="P961" s="70">
        <v>9</v>
      </c>
      <c r="Q961" s="70">
        <v>3</v>
      </c>
      <c r="R961" s="70">
        <v>0</v>
      </c>
      <c r="S961" s="68" t="str">
        <f t="shared" si="41"/>
        <v/>
      </c>
      <c r="T961" s="68"/>
      <c r="U961" s="68"/>
      <c r="V961" s="68"/>
      <c r="W961" s="9"/>
      <c r="X961" s="10"/>
      <c r="Y961" s="71">
        <f t="shared" si="42"/>
        <v>3</v>
      </c>
      <c r="Z961" s="73">
        <f t="shared" si="43"/>
        <v>0</v>
      </c>
      <c r="AA961" s="11" t="str">
        <f t="shared" si="44"/>
        <v/>
      </c>
      <c r="AB961" s="73">
        <f t="shared" si="45"/>
        <v>-9</v>
      </c>
      <c r="AC961" s="11" t="str">
        <f t="shared" si="46"/>
        <v/>
      </c>
      <c r="AD961" s="73">
        <f t="shared" si="47"/>
        <v>-3</v>
      </c>
      <c r="AE961" s="11" t="str">
        <f t="shared" si="48"/>
        <v/>
      </c>
      <c r="AF961" s="73">
        <f t="shared" si="49"/>
        <v>-8.9990389999999998</v>
      </c>
      <c r="AG961" s="11" t="str">
        <f t="shared" si="50"/>
        <v/>
      </c>
      <c r="AH961" s="73">
        <f t="shared" si="51"/>
        <v>-2.9990389999999998</v>
      </c>
    </row>
    <row r="962" spans="1:34" ht="14.25" customHeight="1">
      <c r="A962" s="11">
        <v>947</v>
      </c>
      <c r="B962" s="66"/>
      <c r="C962" s="67"/>
      <c r="D962" s="67"/>
      <c r="E962" s="67"/>
      <c r="F962" s="67"/>
      <c r="G962" s="67" t="s">
        <v>35</v>
      </c>
      <c r="H962" s="67">
        <v>45371</v>
      </c>
      <c r="I962" s="6" t="s">
        <v>1569</v>
      </c>
      <c r="J962" s="9">
        <v>5298603026</v>
      </c>
      <c r="K962" s="68">
        <v>45351</v>
      </c>
      <c r="L962" s="68">
        <v>46022</v>
      </c>
      <c r="M962" s="68">
        <v>46203</v>
      </c>
      <c r="N962" s="69">
        <f t="shared" si="39"/>
        <v>6</v>
      </c>
      <c r="O962" s="69">
        <f t="shared" si="40"/>
        <v>0</v>
      </c>
      <c r="P962" s="70">
        <v>0</v>
      </c>
      <c r="Q962" s="70">
        <v>6</v>
      </c>
      <c r="R962" s="70">
        <v>6</v>
      </c>
      <c r="S962" s="68" t="str">
        <f t="shared" si="41"/>
        <v/>
      </c>
      <c r="T962" s="68"/>
      <c r="U962" s="68"/>
      <c r="V962" s="68"/>
      <c r="W962" s="9"/>
      <c r="X962" s="10"/>
      <c r="Y962" s="71">
        <f t="shared" si="42"/>
        <v>6</v>
      </c>
      <c r="Z962" s="73">
        <f t="shared" si="43"/>
        <v>6</v>
      </c>
      <c r="AA962" s="11" t="str">
        <f t="shared" si="44"/>
        <v/>
      </c>
      <c r="AB962" s="73">
        <f t="shared" si="45"/>
        <v>6</v>
      </c>
      <c r="AC962" s="11" t="str">
        <f t="shared" si="46"/>
        <v/>
      </c>
      <c r="AD962" s="73">
        <f t="shared" si="47"/>
        <v>0</v>
      </c>
      <c r="AE962" s="11" t="str">
        <f t="shared" si="48"/>
        <v/>
      </c>
      <c r="AF962" s="73">
        <f t="shared" si="49"/>
        <v>6.0009620000000004</v>
      </c>
      <c r="AG962" s="11" t="str">
        <f t="shared" si="50"/>
        <v/>
      </c>
      <c r="AH962" s="73">
        <f t="shared" si="51"/>
        <v>9.6199999999999996E-4</v>
      </c>
    </row>
    <row r="963" spans="1:34" ht="14.25" customHeight="1">
      <c r="A963" s="11">
        <v>948</v>
      </c>
      <c r="B963" s="66"/>
      <c r="C963" s="67"/>
      <c r="D963" s="67"/>
      <c r="E963" s="67"/>
      <c r="F963" s="67"/>
      <c r="G963" s="67" t="s">
        <v>35</v>
      </c>
      <c r="H963" s="67">
        <v>45162</v>
      </c>
      <c r="I963" s="6" t="s">
        <v>1570</v>
      </c>
      <c r="J963" s="9">
        <v>5298802017</v>
      </c>
      <c r="K963" s="68">
        <v>45138</v>
      </c>
      <c r="L963" s="68">
        <v>46022</v>
      </c>
      <c r="M963" s="68">
        <v>46203</v>
      </c>
      <c r="N963" s="69">
        <f t="shared" si="39"/>
        <v>0</v>
      </c>
      <c r="O963" s="69">
        <f t="shared" si="40"/>
        <v>0</v>
      </c>
      <c r="P963" s="70">
        <v>3</v>
      </c>
      <c r="Q963" s="70">
        <v>3</v>
      </c>
      <c r="R963" s="70">
        <v>3</v>
      </c>
      <c r="S963" s="68" t="str">
        <f t="shared" si="41"/>
        <v/>
      </c>
      <c r="T963" s="68"/>
      <c r="U963" s="68"/>
      <c r="V963" s="68"/>
      <c r="W963" s="9"/>
      <c r="X963" s="10"/>
      <c r="Y963" s="71">
        <f t="shared" si="42"/>
        <v>3</v>
      </c>
      <c r="Z963" s="73">
        <f t="shared" si="43"/>
        <v>3</v>
      </c>
      <c r="AA963" s="11" t="str">
        <f t="shared" si="44"/>
        <v/>
      </c>
      <c r="AB963" s="73">
        <f t="shared" si="45"/>
        <v>0</v>
      </c>
      <c r="AC963" s="11" t="str">
        <f t="shared" si="46"/>
        <v/>
      </c>
      <c r="AD963" s="73">
        <f t="shared" si="47"/>
        <v>0</v>
      </c>
      <c r="AE963" s="11" t="str">
        <f t="shared" si="48"/>
        <v/>
      </c>
      <c r="AF963" s="73">
        <f t="shared" si="49"/>
        <v>9.6299999999999999E-4</v>
      </c>
      <c r="AG963" s="11" t="str">
        <f t="shared" si="50"/>
        <v/>
      </c>
      <c r="AH963" s="73">
        <f t="shared" si="51"/>
        <v>9.6299999999999999E-4</v>
      </c>
    </row>
    <row r="964" spans="1:34" ht="14.25" customHeight="1">
      <c r="A964" s="11">
        <v>949</v>
      </c>
      <c r="B964" s="66"/>
      <c r="C964" s="67"/>
      <c r="D964" s="67"/>
      <c r="E964" s="67"/>
      <c r="F964" s="67"/>
      <c r="G964" s="67" t="s">
        <v>35</v>
      </c>
      <c r="H964" s="67">
        <v>45209</v>
      </c>
      <c r="I964" s="6" t="s">
        <v>1571</v>
      </c>
      <c r="J964" s="94">
        <v>5300702250</v>
      </c>
      <c r="K964" s="68">
        <v>45930</v>
      </c>
      <c r="L964" s="68">
        <v>46022</v>
      </c>
      <c r="M964" s="68">
        <v>46203</v>
      </c>
      <c r="N964" s="69">
        <f t="shared" si="39"/>
        <v>0</v>
      </c>
      <c r="O964" s="69">
        <f t="shared" si="40"/>
        <v>0</v>
      </c>
      <c r="P964" s="78">
        <v>0</v>
      </c>
      <c r="Q964" s="78">
        <v>0</v>
      </c>
      <c r="R964" s="78">
        <v>0</v>
      </c>
      <c r="S964" s="68" t="str">
        <f t="shared" si="41"/>
        <v/>
      </c>
      <c r="T964" s="68"/>
      <c r="U964" s="95"/>
      <c r="V964" s="68"/>
      <c r="W964" s="6"/>
      <c r="X964" s="93" t="s">
        <v>1149</v>
      </c>
      <c r="Y964" s="71">
        <f t="shared" si="42"/>
        <v>0</v>
      </c>
      <c r="Z964" s="73">
        <f t="shared" si="43"/>
        <v>0</v>
      </c>
      <c r="AA964" s="11" t="str">
        <f t="shared" si="44"/>
        <v/>
      </c>
      <c r="AB964" s="73">
        <f t="shared" si="45"/>
        <v>0</v>
      </c>
      <c r="AC964" s="11" t="str">
        <f t="shared" si="46"/>
        <v/>
      </c>
      <c r="AD964" s="73">
        <f t="shared" si="47"/>
        <v>0</v>
      </c>
      <c r="AE964" s="11" t="str">
        <f t="shared" si="48"/>
        <v/>
      </c>
      <c r="AF964" s="73">
        <f t="shared" si="49"/>
        <v>9.6400000000000001E-4</v>
      </c>
      <c r="AG964" s="11" t="str">
        <f t="shared" si="50"/>
        <v/>
      </c>
      <c r="AH964" s="73">
        <f t="shared" si="51"/>
        <v>9.6400000000000001E-4</v>
      </c>
    </row>
    <row r="965" spans="1:34" ht="14.25" customHeight="1">
      <c r="A965" s="11">
        <v>950</v>
      </c>
      <c r="B965" s="66" t="s">
        <v>35</v>
      </c>
      <c r="C965" s="67"/>
      <c r="D965" s="67"/>
      <c r="E965" s="67">
        <v>46113</v>
      </c>
      <c r="F965" s="67"/>
      <c r="G965" s="67" t="s">
        <v>35</v>
      </c>
      <c r="H965" s="67">
        <v>45786</v>
      </c>
      <c r="I965" s="6" t="s">
        <v>1572</v>
      </c>
      <c r="J965" s="9">
        <v>5308103297</v>
      </c>
      <c r="K965" s="68">
        <v>45777</v>
      </c>
      <c r="L965" s="68">
        <v>46022</v>
      </c>
      <c r="M965" s="68">
        <v>46203</v>
      </c>
      <c r="N965" s="69">
        <f t="shared" si="39"/>
        <v>4</v>
      </c>
      <c r="O965" s="69">
        <f t="shared" si="40"/>
        <v>2</v>
      </c>
      <c r="P965" s="70">
        <v>5</v>
      </c>
      <c r="Q965" s="70">
        <v>7</v>
      </c>
      <c r="R965" s="70">
        <v>9</v>
      </c>
      <c r="S965" s="68" t="str">
        <f t="shared" si="41"/>
        <v/>
      </c>
      <c r="T965" s="68"/>
      <c r="U965" s="68"/>
      <c r="V965" s="68"/>
      <c r="W965" s="9"/>
      <c r="X965" s="10"/>
      <c r="Y965" s="71">
        <f t="shared" si="42"/>
        <v>7</v>
      </c>
      <c r="Z965" s="73">
        <f t="shared" si="43"/>
        <v>9</v>
      </c>
      <c r="AA965" s="73">
        <f t="shared" si="44"/>
        <v>4</v>
      </c>
      <c r="AB965" s="73">
        <f t="shared" si="45"/>
        <v>4</v>
      </c>
      <c r="AC965" s="73">
        <f t="shared" si="46"/>
        <v>2</v>
      </c>
      <c r="AD965" s="73">
        <f t="shared" si="47"/>
        <v>2</v>
      </c>
      <c r="AE965" s="73">
        <f t="shared" si="48"/>
        <v>4.0009649999999999</v>
      </c>
      <c r="AF965" s="73">
        <f t="shared" si="49"/>
        <v>4.0009649999999999</v>
      </c>
      <c r="AG965" s="73">
        <f t="shared" si="50"/>
        <v>2.0009649999999999</v>
      </c>
      <c r="AH965" s="73">
        <f t="shared" si="51"/>
        <v>2.0009649999999999</v>
      </c>
    </row>
    <row r="966" spans="1:34" ht="14.25" customHeight="1">
      <c r="A966" s="11">
        <v>951</v>
      </c>
      <c r="B966" s="66"/>
      <c r="C966" s="67"/>
      <c r="D966" s="67"/>
      <c r="E966" s="67"/>
      <c r="F966" s="67"/>
      <c r="G966" s="67" t="s">
        <v>283</v>
      </c>
      <c r="H966" s="67">
        <v>43749</v>
      </c>
      <c r="I966" s="6" t="s">
        <v>1573</v>
      </c>
      <c r="J966" s="9">
        <v>5308601391</v>
      </c>
      <c r="K966" s="68">
        <v>43738</v>
      </c>
      <c r="L966" s="68" t="s">
        <v>230</v>
      </c>
      <c r="M966" s="68">
        <v>45747</v>
      </c>
      <c r="N966" s="69">
        <f t="shared" si="39"/>
        <v>4</v>
      </c>
      <c r="O966" s="69" t="str">
        <f t="shared" si="40"/>
        <v>N/A</v>
      </c>
      <c r="P966" s="70">
        <v>1</v>
      </c>
      <c r="Q966" s="70"/>
      <c r="R966" s="70">
        <v>5</v>
      </c>
      <c r="S966" s="68">
        <f t="shared" si="41"/>
        <v>45721</v>
      </c>
      <c r="T966" s="68"/>
      <c r="U966" s="68"/>
      <c r="V966" s="68"/>
      <c r="W966" s="68">
        <v>45721</v>
      </c>
      <c r="X966" s="10"/>
      <c r="Y966" s="65" t="str">
        <f t="shared" si="42"/>
        <v/>
      </c>
      <c r="Z966" s="11" t="str">
        <f t="shared" si="43"/>
        <v/>
      </c>
      <c r="AA966" s="11" t="str">
        <f t="shared" si="44"/>
        <v/>
      </c>
      <c r="AB966" s="73">
        <f t="shared" si="45"/>
        <v>4</v>
      </c>
      <c r="AC966" s="11" t="str">
        <f t="shared" si="46"/>
        <v/>
      </c>
      <c r="AD966" s="11" t="str">
        <f t="shared" si="47"/>
        <v/>
      </c>
      <c r="AE966" s="11" t="str">
        <f t="shared" si="48"/>
        <v/>
      </c>
      <c r="AF966" s="73">
        <f t="shared" si="49"/>
        <v>4.000966</v>
      </c>
      <c r="AG966" s="11" t="str">
        <f t="shared" si="50"/>
        <v/>
      </c>
      <c r="AH966" s="11" t="str">
        <f t="shared" si="51"/>
        <v/>
      </c>
    </row>
    <row r="967" spans="1:34" ht="14.25" customHeight="1">
      <c r="A967" s="11">
        <v>952</v>
      </c>
      <c r="B967" s="66"/>
      <c r="C967" s="67"/>
      <c r="D967" s="67"/>
      <c r="E967" s="67"/>
      <c r="F967" s="67"/>
      <c r="G967" s="67" t="s">
        <v>35</v>
      </c>
      <c r="H967" s="67">
        <v>45379</v>
      </c>
      <c r="I967" s="6" t="s">
        <v>1574</v>
      </c>
      <c r="J967" s="9">
        <v>5318701197</v>
      </c>
      <c r="K967" s="68">
        <v>45351</v>
      </c>
      <c r="L967" s="68">
        <v>46022</v>
      </c>
      <c r="M967" s="68">
        <v>46203</v>
      </c>
      <c r="N967" s="69">
        <f t="shared" si="39"/>
        <v>1</v>
      </c>
      <c r="O967" s="69">
        <f t="shared" si="40"/>
        <v>-2</v>
      </c>
      <c r="P967" s="70">
        <v>25</v>
      </c>
      <c r="Q967" s="70">
        <v>28</v>
      </c>
      <c r="R967" s="70">
        <v>26</v>
      </c>
      <c r="S967" s="68" t="str">
        <f t="shared" si="41"/>
        <v/>
      </c>
      <c r="T967" s="68"/>
      <c r="U967" s="68"/>
      <c r="V967" s="68"/>
      <c r="W967" s="9"/>
      <c r="X967" s="10"/>
      <c r="Y967" s="71">
        <f t="shared" si="42"/>
        <v>28</v>
      </c>
      <c r="Z967" s="73">
        <f t="shared" si="43"/>
        <v>26</v>
      </c>
      <c r="AA967" s="11" t="str">
        <f t="shared" si="44"/>
        <v/>
      </c>
      <c r="AB967" s="73">
        <f t="shared" si="45"/>
        <v>1</v>
      </c>
      <c r="AC967" s="11" t="str">
        <f t="shared" si="46"/>
        <v/>
      </c>
      <c r="AD967" s="73">
        <f t="shared" si="47"/>
        <v>-2</v>
      </c>
      <c r="AE967" s="11" t="str">
        <f t="shared" si="48"/>
        <v/>
      </c>
      <c r="AF967" s="73">
        <f t="shared" si="49"/>
        <v>1.0009669999999999</v>
      </c>
      <c r="AG967" s="11" t="str">
        <f t="shared" si="50"/>
        <v/>
      </c>
      <c r="AH967" s="73">
        <f t="shared" si="51"/>
        <v>-1.9990330000000001</v>
      </c>
    </row>
    <row r="968" spans="1:34" ht="14.25" customHeight="1">
      <c r="A968" s="11">
        <v>953</v>
      </c>
      <c r="B968" s="66" t="s">
        <v>35</v>
      </c>
      <c r="C968" s="67"/>
      <c r="D968" s="67"/>
      <c r="E968" s="67">
        <v>45944</v>
      </c>
      <c r="F968" s="67"/>
      <c r="G968" s="67" t="s">
        <v>35</v>
      </c>
      <c r="H968" s="67">
        <v>45785</v>
      </c>
      <c r="I968" s="6" t="s">
        <v>1575</v>
      </c>
      <c r="J968" s="9">
        <v>5328802750</v>
      </c>
      <c r="K968" s="68">
        <v>45777</v>
      </c>
      <c r="L968" s="68">
        <v>46022</v>
      </c>
      <c r="M968" s="68">
        <v>46203</v>
      </c>
      <c r="N968" s="69">
        <f t="shared" si="39"/>
        <v>0</v>
      </c>
      <c r="O968" s="69">
        <f t="shared" si="40"/>
        <v>1</v>
      </c>
      <c r="P968" s="70">
        <v>5</v>
      </c>
      <c r="Q968" s="70">
        <v>4</v>
      </c>
      <c r="R968" s="70">
        <v>5</v>
      </c>
      <c r="S968" s="68" t="str">
        <f t="shared" si="41"/>
        <v/>
      </c>
      <c r="T968" s="68"/>
      <c r="U968" s="68"/>
      <c r="V968" s="68"/>
      <c r="W968" s="9"/>
      <c r="X968" s="10"/>
      <c r="Y968" s="71">
        <f t="shared" si="42"/>
        <v>4</v>
      </c>
      <c r="Z968" s="73">
        <f t="shared" si="43"/>
        <v>5</v>
      </c>
      <c r="AA968" s="73">
        <f t="shared" si="44"/>
        <v>0</v>
      </c>
      <c r="AB968" s="73">
        <f t="shared" si="45"/>
        <v>0</v>
      </c>
      <c r="AC968" s="73">
        <f t="shared" si="46"/>
        <v>1</v>
      </c>
      <c r="AD968" s="73">
        <f t="shared" si="47"/>
        <v>1</v>
      </c>
      <c r="AE968" s="73">
        <f t="shared" si="48"/>
        <v>9.68E-4</v>
      </c>
      <c r="AF968" s="73">
        <f t="shared" si="49"/>
        <v>9.68E-4</v>
      </c>
      <c r="AG968" s="73">
        <f t="shared" si="50"/>
        <v>1.0009680000000001</v>
      </c>
      <c r="AH968" s="73">
        <f t="shared" si="51"/>
        <v>1.0009680000000001</v>
      </c>
    </row>
    <row r="969" spans="1:34" ht="14.25" customHeight="1">
      <c r="A969" s="11">
        <v>954</v>
      </c>
      <c r="B969" s="66"/>
      <c r="C969" s="67"/>
      <c r="D969" s="67"/>
      <c r="E969" s="67"/>
      <c r="F969" s="67"/>
      <c r="G969" s="67" t="s">
        <v>35</v>
      </c>
      <c r="H969" s="67">
        <v>44699</v>
      </c>
      <c r="I969" s="6" t="s">
        <v>1576</v>
      </c>
      <c r="J969" s="9">
        <v>5338801171</v>
      </c>
      <c r="K969" s="68">
        <v>44681</v>
      </c>
      <c r="L969" s="68">
        <v>46022</v>
      </c>
      <c r="M969" s="68">
        <v>46203</v>
      </c>
      <c r="N969" s="69">
        <f t="shared" si="39"/>
        <v>1</v>
      </c>
      <c r="O969" s="69">
        <f t="shared" si="40"/>
        <v>1</v>
      </c>
      <c r="P969" s="70">
        <v>3</v>
      </c>
      <c r="Q969" s="70">
        <v>3</v>
      </c>
      <c r="R969" s="70">
        <v>4</v>
      </c>
      <c r="S969" s="68" t="str">
        <f t="shared" si="41"/>
        <v/>
      </c>
      <c r="T969" s="68"/>
      <c r="U969" s="68"/>
      <c r="V969" s="68"/>
      <c r="W969" s="9"/>
      <c r="X969" s="10"/>
      <c r="Y969" s="71">
        <f t="shared" si="42"/>
        <v>3</v>
      </c>
      <c r="Z969" s="73">
        <f t="shared" si="43"/>
        <v>4</v>
      </c>
      <c r="AA969" s="11" t="str">
        <f t="shared" si="44"/>
        <v/>
      </c>
      <c r="AB969" s="73">
        <f t="shared" si="45"/>
        <v>1</v>
      </c>
      <c r="AC969" s="11" t="str">
        <f t="shared" si="46"/>
        <v/>
      </c>
      <c r="AD969" s="73">
        <f t="shared" si="47"/>
        <v>1</v>
      </c>
      <c r="AE969" s="11" t="str">
        <f t="shared" si="48"/>
        <v/>
      </c>
      <c r="AF969" s="73">
        <f t="shared" si="49"/>
        <v>1.000969</v>
      </c>
      <c r="AG969" s="11" t="str">
        <f t="shared" si="50"/>
        <v/>
      </c>
      <c r="AH969" s="73">
        <f t="shared" si="51"/>
        <v>1.000969</v>
      </c>
    </row>
    <row r="970" spans="1:34" ht="14.25" customHeight="1">
      <c r="A970" s="11">
        <v>955</v>
      </c>
      <c r="B970" s="66"/>
      <c r="C970" s="67"/>
      <c r="D970" s="67"/>
      <c r="E970" s="67"/>
      <c r="F970" s="67"/>
      <c r="G970" s="67" t="s">
        <v>35</v>
      </c>
      <c r="H970" s="67">
        <v>44126</v>
      </c>
      <c r="I970" s="6" t="s">
        <v>1577</v>
      </c>
      <c r="J970" s="9">
        <v>5348601296</v>
      </c>
      <c r="K970" s="68">
        <v>44104</v>
      </c>
      <c r="L970" s="68">
        <v>46022</v>
      </c>
      <c r="M970" s="68">
        <v>46203</v>
      </c>
      <c r="N970" s="69">
        <f t="shared" si="39"/>
        <v>-14</v>
      </c>
      <c r="O970" s="69">
        <f t="shared" si="40"/>
        <v>0</v>
      </c>
      <c r="P970" s="70">
        <v>14</v>
      </c>
      <c r="Q970" s="70">
        <v>0</v>
      </c>
      <c r="R970" s="70">
        <v>0</v>
      </c>
      <c r="S970" s="68" t="str">
        <f t="shared" si="41"/>
        <v/>
      </c>
      <c r="T970" s="68"/>
      <c r="U970" s="68"/>
      <c r="V970" s="68"/>
      <c r="W970" s="9"/>
      <c r="X970" s="10"/>
      <c r="Y970" s="71">
        <f t="shared" si="42"/>
        <v>0</v>
      </c>
      <c r="Z970" s="73">
        <f t="shared" si="43"/>
        <v>0</v>
      </c>
      <c r="AA970" s="11" t="str">
        <f t="shared" si="44"/>
        <v/>
      </c>
      <c r="AB970" s="73">
        <f t="shared" si="45"/>
        <v>-14</v>
      </c>
      <c r="AC970" s="11" t="str">
        <f t="shared" si="46"/>
        <v/>
      </c>
      <c r="AD970" s="73">
        <f t="shared" si="47"/>
        <v>0</v>
      </c>
      <c r="AE970" s="11" t="str">
        <f t="shared" si="48"/>
        <v/>
      </c>
      <c r="AF970" s="73">
        <f t="shared" si="49"/>
        <v>-13.999029999999999</v>
      </c>
      <c r="AG970" s="11" t="str">
        <f t="shared" si="50"/>
        <v/>
      </c>
      <c r="AH970" s="73">
        <f t="shared" si="51"/>
        <v>9.7000000000000005E-4</v>
      </c>
    </row>
    <row r="971" spans="1:34" ht="14.25" customHeight="1">
      <c r="A971" s="11">
        <v>956</v>
      </c>
      <c r="B971" s="66"/>
      <c r="C971" s="67"/>
      <c r="D971" s="67"/>
      <c r="E971" s="67"/>
      <c r="F971" s="67"/>
      <c r="G971" s="67" t="s">
        <v>35</v>
      </c>
      <c r="H971" s="67">
        <v>44566</v>
      </c>
      <c r="I971" s="6" t="s">
        <v>1578</v>
      </c>
      <c r="J971" s="9">
        <v>5348800175</v>
      </c>
      <c r="K971" s="68">
        <v>44561</v>
      </c>
      <c r="L971" s="68">
        <v>46022</v>
      </c>
      <c r="M971" s="68">
        <v>46203</v>
      </c>
      <c r="N971" s="69">
        <f t="shared" si="39"/>
        <v>-57</v>
      </c>
      <c r="O971" s="69">
        <f t="shared" si="40"/>
        <v>-1</v>
      </c>
      <c r="P971" s="70">
        <v>58</v>
      </c>
      <c r="Q971" s="70">
        <v>2</v>
      </c>
      <c r="R971" s="70">
        <v>1</v>
      </c>
      <c r="S971" s="68" t="str">
        <f t="shared" si="41"/>
        <v/>
      </c>
      <c r="T971" s="68"/>
      <c r="U971" s="68"/>
      <c r="V971" s="68"/>
      <c r="W971" s="9"/>
      <c r="X971" s="10"/>
      <c r="Y971" s="71">
        <f t="shared" si="42"/>
        <v>2</v>
      </c>
      <c r="Z971" s="73">
        <f t="shared" si="43"/>
        <v>1</v>
      </c>
      <c r="AA971" s="11" t="str">
        <f t="shared" si="44"/>
        <v/>
      </c>
      <c r="AB971" s="73">
        <f t="shared" si="45"/>
        <v>-57</v>
      </c>
      <c r="AC971" s="11" t="str">
        <f t="shared" si="46"/>
        <v/>
      </c>
      <c r="AD971" s="73">
        <f t="shared" si="47"/>
        <v>-1</v>
      </c>
      <c r="AE971" s="11" t="str">
        <f t="shared" si="48"/>
        <v/>
      </c>
      <c r="AF971" s="73">
        <f t="shared" si="49"/>
        <v>-56.999029</v>
      </c>
      <c r="AG971" s="11" t="str">
        <f t="shared" si="50"/>
        <v/>
      </c>
      <c r="AH971" s="73">
        <f t="shared" si="51"/>
        <v>-0.99902899999999994</v>
      </c>
    </row>
    <row r="972" spans="1:34" ht="14.25" customHeight="1">
      <c r="A972" s="11">
        <v>957</v>
      </c>
      <c r="B972" s="66"/>
      <c r="C972" s="67"/>
      <c r="D972" s="67"/>
      <c r="E972" s="67"/>
      <c r="F972" s="67"/>
      <c r="G972" s="67" t="s">
        <v>35</v>
      </c>
      <c r="H972" s="67">
        <v>45565</v>
      </c>
      <c r="I972" s="6" t="s">
        <v>1579</v>
      </c>
      <c r="J972" s="9">
        <v>5358600887</v>
      </c>
      <c r="K972" s="68">
        <v>45535</v>
      </c>
      <c r="L972" s="68">
        <v>46022</v>
      </c>
      <c r="M972" s="68">
        <v>46203</v>
      </c>
      <c r="N972" s="69">
        <f t="shared" si="39"/>
        <v>-77</v>
      </c>
      <c r="O972" s="69">
        <f t="shared" si="40"/>
        <v>-97</v>
      </c>
      <c r="P972" s="70">
        <v>124</v>
      </c>
      <c r="Q972" s="70">
        <v>144</v>
      </c>
      <c r="R972" s="70">
        <v>47</v>
      </c>
      <c r="S972" s="68" t="str">
        <f t="shared" si="41"/>
        <v/>
      </c>
      <c r="T972" s="68"/>
      <c r="U972" s="68"/>
      <c r="V972" s="68"/>
      <c r="W972" s="9"/>
      <c r="X972" s="10"/>
      <c r="Y972" s="71">
        <f t="shared" si="42"/>
        <v>144</v>
      </c>
      <c r="Z972" s="73">
        <f t="shared" si="43"/>
        <v>47</v>
      </c>
      <c r="AA972" s="11" t="str">
        <f t="shared" si="44"/>
        <v/>
      </c>
      <c r="AB972" s="73">
        <f t="shared" si="45"/>
        <v>-77</v>
      </c>
      <c r="AC972" s="11" t="str">
        <f t="shared" si="46"/>
        <v/>
      </c>
      <c r="AD972" s="73">
        <f t="shared" si="47"/>
        <v>-97</v>
      </c>
      <c r="AE972" s="11" t="str">
        <f t="shared" si="48"/>
        <v/>
      </c>
      <c r="AF972" s="73">
        <f t="shared" si="49"/>
        <v>-76.999027999999996</v>
      </c>
      <c r="AG972" s="11" t="str">
        <f t="shared" si="50"/>
        <v/>
      </c>
      <c r="AH972" s="73">
        <f t="shared" si="51"/>
        <v>-96.999027999999996</v>
      </c>
    </row>
    <row r="973" spans="1:34" ht="14.25" customHeight="1">
      <c r="A973" s="11">
        <v>958</v>
      </c>
      <c r="B973" s="66"/>
      <c r="C973" s="67"/>
      <c r="D973" s="67"/>
      <c r="E973" s="67"/>
      <c r="F973" s="67"/>
      <c r="G973" s="124" t="s">
        <v>24</v>
      </c>
      <c r="H973" s="67">
        <v>45838</v>
      </c>
      <c r="I973" s="6" t="s">
        <v>1580</v>
      </c>
      <c r="J973" s="9">
        <v>5358803137</v>
      </c>
      <c r="K973" s="68">
        <v>45808</v>
      </c>
      <c r="L973" s="68">
        <v>46022</v>
      </c>
      <c r="M973" s="68">
        <v>46203</v>
      </c>
      <c r="N973" s="69">
        <f t="shared" si="39"/>
        <v>-9</v>
      </c>
      <c r="O973" s="69">
        <f t="shared" si="40"/>
        <v>-9</v>
      </c>
      <c r="P973" s="70">
        <v>9</v>
      </c>
      <c r="Q973" s="70">
        <v>9</v>
      </c>
      <c r="R973" s="70">
        <v>0</v>
      </c>
      <c r="S973" s="68">
        <f t="shared" si="41"/>
        <v>46183</v>
      </c>
      <c r="T973" s="68">
        <v>46183</v>
      </c>
      <c r="U973" s="68"/>
      <c r="V973" s="68"/>
      <c r="W973" s="9"/>
      <c r="X973" s="10"/>
      <c r="Y973" s="71">
        <f t="shared" si="42"/>
        <v>9</v>
      </c>
      <c r="Z973" s="73">
        <f t="shared" si="43"/>
        <v>0</v>
      </c>
      <c r="AA973" s="11" t="str">
        <f t="shared" si="44"/>
        <v/>
      </c>
      <c r="AB973" s="73">
        <f t="shared" si="45"/>
        <v>-9</v>
      </c>
      <c r="AC973" s="11" t="str">
        <f t="shared" si="46"/>
        <v/>
      </c>
      <c r="AD973" s="73">
        <f t="shared" si="47"/>
        <v>-9</v>
      </c>
      <c r="AE973" s="11" t="str">
        <f t="shared" si="48"/>
        <v/>
      </c>
      <c r="AF973" s="73">
        <f t="shared" si="49"/>
        <v>-8.9990269999999999</v>
      </c>
      <c r="AG973" s="11" t="str">
        <f t="shared" si="50"/>
        <v/>
      </c>
      <c r="AH973" s="73">
        <f t="shared" si="51"/>
        <v>-8.9990269999999999</v>
      </c>
    </row>
    <row r="974" spans="1:34" ht="14.25" customHeight="1">
      <c r="A974" s="11">
        <v>959</v>
      </c>
      <c r="B974" s="66" t="s">
        <v>24</v>
      </c>
      <c r="C974" s="67">
        <v>44046</v>
      </c>
      <c r="D974" s="67"/>
      <c r="E974" s="67"/>
      <c r="F974" s="67"/>
      <c r="G974" s="67"/>
      <c r="H974" s="67"/>
      <c r="I974" s="6" t="s">
        <v>1581</v>
      </c>
      <c r="J974" s="9">
        <v>5368601346</v>
      </c>
      <c r="K974" s="68">
        <v>44043</v>
      </c>
      <c r="L974" s="68" t="s">
        <v>230</v>
      </c>
      <c r="M974" s="68">
        <v>45199</v>
      </c>
      <c r="N974" s="69">
        <f t="shared" si="39"/>
        <v>-29</v>
      </c>
      <c r="O974" s="69" t="str">
        <f t="shared" si="40"/>
        <v>N/A</v>
      </c>
      <c r="P974" s="70">
        <v>29</v>
      </c>
      <c r="Q974" s="70"/>
      <c r="R974" s="70">
        <v>0</v>
      </c>
      <c r="S974" s="68">
        <f t="shared" si="41"/>
        <v>45190</v>
      </c>
      <c r="T974" s="68">
        <v>45190</v>
      </c>
      <c r="U974" s="68"/>
      <c r="V974" s="68"/>
      <c r="W974" s="9"/>
      <c r="X974" s="10"/>
      <c r="Y974" s="65" t="str">
        <f t="shared" si="42"/>
        <v/>
      </c>
      <c r="Z974" s="11" t="str">
        <f t="shared" si="43"/>
        <v/>
      </c>
      <c r="AA974" s="73">
        <f t="shared" si="44"/>
        <v>-29</v>
      </c>
      <c r="AB974" s="11" t="str">
        <f t="shared" si="45"/>
        <v/>
      </c>
      <c r="AC974" s="11" t="str">
        <f t="shared" si="46"/>
        <v/>
      </c>
      <c r="AD974" s="11" t="str">
        <f t="shared" si="47"/>
        <v/>
      </c>
      <c r="AE974" s="73">
        <f t="shared" si="48"/>
        <v>-28.999026000000001</v>
      </c>
      <c r="AF974" s="11" t="str">
        <f t="shared" si="49"/>
        <v/>
      </c>
      <c r="AG974" s="11" t="str">
        <f t="shared" si="50"/>
        <v/>
      </c>
      <c r="AH974" s="11" t="str">
        <f t="shared" si="51"/>
        <v/>
      </c>
    </row>
    <row r="975" spans="1:34" ht="14.25" customHeight="1">
      <c r="A975" s="11">
        <v>960</v>
      </c>
      <c r="B975" s="66" t="s">
        <v>35</v>
      </c>
      <c r="C975" s="67"/>
      <c r="D975" s="67">
        <v>46094</v>
      </c>
      <c r="E975" s="67"/>
      <c r="F975" s="67"/>
      <c r="G975" s="67"/>
      <c r="H975" s="67"/>
      <c r="I975" s="6" t="s">
        <v>1582</v>
      </c>
      <c r="J975" s="37">
        <v>5368703133</v>
      </c>
      <c r="K975" s="68">
        <v>46081</v>
      </c>
      <c r="L975" s="68" t="s">
        <v>230</v>
      </c>
      <c r="M975" s="68">
        <v>46203</v>
      </c>
      <c r="N975" s="69">
        <f t="shared" si="39"/>
        <v>6</v>
      </c>
      <c r="O975" s="69">
        <f t="shared" si="40"/>
        <v>6</v>
      </c>
      <c r="P975" s="70">
        <v>15</v>
      </c>
      <c r="Q975" s="70"/>
      <c r="R975" s="70">
        <v>21</v>
      </c>
      <c r="S975" s="68" t="str">
        <f t="shared" si="41"/>
        <v/>
      </c>
      <c r="T975" s="68"/>
      <c r="U975" s="95"/>
      <c r="V975" s="68"/>
      <c r="W975" s="6"/>
      <c r="X975" s="10"/>
      <c r="Y975" s="71">
        <f t="shared" si="42"/>
        <v>15</v>
      </c>
      <c r="Z975" s="73">
        <f t="shared" si="43"/>
        <v>21</v>
      </c>
      <c r="AA975" s="73">
        <f t="shared" si="44"/>
        <v>6</v>
      </c>
      <c r="AB975" s="11" t="str">
        <f t="shared" si="45"/>
        <v/>
      </c>
      <c r="AC975" s="73">
        <f t="shared" si="46"/>
        <v>6</v>
      </c>
      <c r="AD975" s="11" t="str">
        <f t="shared" si="47"/>
        <v/>
      </c>
      <c r="AE975" s="73">
        <f t="shared" si="48"/>
        <v>6.0009750000000004</v>
      </c>
      <c r="AF975" s="11" t="str">
        <f t="shared" si="49"/>
        <v/>
      </c>
      <c r="AG975" s="73">
        <f t="shared" si="50"/>
        <v>6.0009750000000004</v>
      </c>
      <c r="AH975" s="11" t="str">
        <f t="shared" si="51"/>
        <v/>
      </c>
    </row>
    <row r="976" spans="1:34" ht="14.25" customHeight="1">
      <c r="A976" s="11">
        <v>961</v>
      </c>
      <c r="B976" s="66"/>
      <c r="C976" s="67"/>
      <c r="D976" s="67"/>
      <c r="E976" s="67"/>
      <c r="F976" s="67"/>
      <c r="G976" s="67" t="s">
        <v>24</v>
      </c>
      <c r="H976" s="67">
        <v>43994</v>
      </c>
      <c r="I976" s="6" t="s">
        <v>1583</v>
      </c>
      <c r="J976" s="9">
        <v>5378601131</v>
      </c>
      <c r="K976" s="68">
        <v>43982</v>
      </c>
      <c r="L976" s="68" t="s">
        <v>230</v>
      </c>
      <c r="M976" s="68">
        <v>44561</v>
      </c>
      <c r="N976" s="69">
        <f t="shared" si="39"/>
        <v>-1</v>
      </c>
      <c r="O976" s="69" t="str">
        <f t="shared" si="40"/>
        <v>N/A</v>
      </c>
      <c r="P976" s="70">
        <v>1</v>
      </c>
      <c r="Q976" s="70"/>
      <c r="R976" s="70">
        <v>0</v>
      </c>
      <c r="S976" s="68">
        <f t="shared" si="41"/>
        <v>44558</v>
      </c>
      <c r="T976" s="68">
        <v>44558</v>
      </c>
      <c r="U976" s="68"/>
      <c r="V976" s="68"/>
      <c r="W976" s="9"/>
      <c r="X976" s="10"/>
      <c r="Y976" s="65" t="str">
        <f t="shared" si="42"/>
        <v/>
      </c>
      <c r="Z976" s="11" t="str">
        <f t="shared" si="43"/>
        <v/>
      </c>
      <c r="AA976" s="11" t="str">
        <f t="shared" si="44"/>
        <v/>
      </c>
      <c r="AB976" s="73">
        <f t="shared" si="45"/>
        <v>-1</v>
      </c>
      <c r="AC976" s="11" t="str">
        <f t="shared" si="46"/>
        <v/>
      </c>
      <c r="AD976" s="11" t="str">
        <f t="shared" si="47"/>
        <v/>
      </c>
      <c r="AE976" s="11" t="str">
        <f t="shared" si="48"/>
        <v/>
      </c>
      <c r="AF976" s="73">
        <f t="shared" si="49"/>
        <v>-0.99902400000000002</v>
      </c>
      <c r="AG976" s="11" t="str">
        <f t="shared" si="50"/>
        <v/>
      </c>
      <c r="AH976" s="11" t="str">
        <f t="shared" si="51"/>
        <v/>
      </c>
    </row>
    <row r="977" spans="1:34" ht="14.25" customHeight="1">
      <c r="A977" s="11">
        <v>962</v>
      </c>
      <c r="B977" s="66" t="s">
        <v>35</v>
      </c>
      <c r="C977" s="67">
        <v>45748</v>
      </c>
      <c r="D977" s="67"/>
      <c r="E977" s="67">
        <v>45748</v>
      </c>
      <c r="F977" s="67"/>
      <c r="G977" s="67" t="s">
        <v>35</v>
      </c>
      <c r="H977" s="67">
        <v>45639</v>
      </c>
      <c r="I977" s="6" t="s">
        <v>1584</v>
      </c>
      <c r="J977" s="9">
        <v>5388602040</v>
      </c>
      <c r="K977" s="68">
        <v>45626</v>
      </c>
      <c r="L977" s="68">
        <v>46022</v>
      </c>
      <c r="M977" s="68">
        <v>46203</v>
      </c>
      <c r="N977" s="69">
        <f t="shared" si="39"/>
        <v>8</v>
      </c>
      <c r="O977" s="69">
        <f t="shared" si="40"/>
        <v>5</v>
      </c>
      <c r="P977" s="70">
        <v>21</v>
      </c>
      <c r="Q977" s="70">
        <v>24</v>
      </c>
      <c r="R977" s="70">
        <v>29</v>
      </c>
      <c r="S977" s="68" t="str">
        <f t="shared" si="41"/>
        <v/>
      </c>
      <c r="T977" s="68"/>
      <c r="U977" s="68"/>
      <c r="V977" s="68"/>
      <c r="W977" s="9"/>
      <c r="X977" s="10"/>
      <c r="Y977" s="71">
        <f t="shared" si="42"/>
        <v>24</v>
      </c>
      <c r="Z977" s="73">
        <f t="shared" si="43"/>
        <v>29</v>
      </c>
      <c r="AA977" s="73">
        <f t="shared" si="44"/>
        <v>8</v>
      </c>
      <c r="AB977" s="73">
        <f t="shared" si="45"/>
        <v>8</v>
      </c>
      <c r="AC977" s="73">
        <f t="shared" si="46"/>
        <v>5</v>
      </c>
      <c r="AD977" s="73">
        <f t="shared" si="47"/>
        <v>5</v>
      </c>
      <c r="AE977" s="73">
        <f t="shared" si="48"/>
        <v>8.0009770000000007</v>
      </c>
      <c r="AF977" s="73">
        <f t="shared" si="49"/>
        <v>8.0009770000000007</v>
      </c>
      <c r="AG977" s="73">
        <f t="shared" si="50"/>
        <v>5.0009769999999998</v>
      </c>
      <c r="AH977" s="73">
        <f t="shared" si="51"/>
        <v>5.0009769999999998</v>
      </c>
    </row>
    <row r="978" spans="1:34" ht="14.25" customHeight="1">
      <c r="A978" s="11">
        <v>963</v>
      </c>
      <c r="B978" s="66"/>
      <c r="C978" s="67"/>
      <c r="D978" s="67"/>
      <c r="E978" s="67"/>
      <c r="F978" s="67"/>
      <c r="G978" s="67" t="s">
        <v>35</v>
      </c>
      <c r="H978" s="67">
        <v>45688</v>
      </c>
      <c r="I978" s="6" t="s">
        <v>1585</v>
      </c>
      <c r="J978" s="9">
        <v>5398700775</v>
      </c>
      <c r="K978" s="68">
        <v>45657</v>
      </c>
      <c r="L978" s="68">
        <v>46022</v>
      </c>
      <c r="M978" s="68">
        <v>46203</v>
      </c>
      <c r="N978" s="69">
        <f t="shared" si="39"/>
        <v>-27</v>
      </c>
      <c r="O978" s="69">
        <f t="shared" si="40"/>
        <v>14</v>
      </c>
      <c r="P978" s="70">
        <v>105</v>
      </c>
      <c r="Q978" s="70">
        <v>64</v>
      </c>
      <c r="R978" s="70">
        <v>78</v>
      </c>
      <c r="S978" s="68" t="str">
        <f t="shared" si="41"/>
        <v/>
      </c>
      <c r="T978" s="68"/>
      <c r="U978" s="68"/>
      <c r="V978" s="68"/>
      <c r="W978" s="9"/>
      <c r="X978" s="10"/>
      <c r="Y978" s="71">
        <f t="shared" si="42"/>
        <v>64</v>
      </c>
      <c r="Z978" s="73">
        <f t="shared" si="43"/>
        <v>78</v>
      </c>
      <c r="AA978" s="11" t="str">
        <f t="shared" si="44"/>
        <v/>
      </c>
      <c r="AB978" s="73">
        <f t="shared" si="45"/>
        <v>-27</v>
      </c>
      <c r="AC978" s="11" t="str">
        <f t="shared" si="46"/>
        <v/>
      </c>
      <c r="AD978" s="73">
        <f t="shared" si="47"/>
        <v>14</v>
      </c>
      <c r="AE978" s="11" t="str">
        <f t="shared" si="48"/>
        <v/>
      </c>
      <c r="AF978" s="73">
        <f t="shared" si="49"/>
        <v>-26.999022</v>
      </c>
      <c r="AG978" s="11" t="str">
        <f t="shared" si="50"/>
        <v/>
      </c>
      <c r="AH978" s="73">
        <f t="shared" si="51"/>
        <v>14.000978</v>
      </c>
    </row>
    <row r="979" spans="1:34" ht="14.25" customHeight="1">
      <c r="A979" s="11">
        <v>964</v>
      </c>
      <c r="B979" s="66"/>
      <c r="C979" s="67"/>
      <c r="D979" s="67"/>
      <c r="E979" s="67"/>
      <c r="F979" s="67"/>
      <c r="G979" s="67" t="s">
        <v>35</v>
      </c>
      <c r="H979" s="67">
        <v>45650</v>
      </c>
      <c r="I979" s="6" t="s">
        <v>1586</v>
      </c>
      <c r="J979" s="9">
        <v>5408603571</v>
      </c>
      <c r="K979" s="68">
        <v>45626</v>
      </c>
      <c r="L979" s="68">
        <v>46022</v>
      </c>
      <c r="M979" s="68">
        <v>46203</v>
      </c>
      <c r="N979" s="69">
        <f t="shared" si="39"/>
        <v>1</v>
      </c>
      <c r="O979" s="69">
        <f t="shared" si="40"/>
        <v>0</v>
      </c>
      <c r="P979" s="70">
        <v>0</v>
      </c>
      <c r="Q979" s="70">
        <v>1</v>
      </c>
      <c r="R979" s="70">
        <v>1</v>
      </c>
      <c r="S979" s="68" t="str">
        <f t="shared" si="41"/>
        <v/>
      </c>
      <c r="T979" s="68"/>
      <c r="U979" s="68"/>
      <c r="V979" s="68"/>
      <c r="W979" s="9"/>
      <c r="X979" s="10"/>
      <c r="Y979" s="71">
        <f t="shared" si="42"/>
        <v>1</v>
      </c>
      <c r="Z979" s="73">
        <f t="shared" si="43"/>
        <v>1</v>
      </c>
      <c r="AA979" s="11" t="str">
        <f t="shared" si="44"/>
        <v/>
      </c>
      <c r="AB979" s="73">
        <f t="shared" si="45"/>
        <v>1</v>
      </c>
      <c r="AC979" s="11" t="str">
        <f t="shared" si="46"/>
        <v/>
      </c>
      <c r="AD979" s="73">
        <f t="shared" si="47"/>
        <v>0</v>
      </c>
      <c r="AE979" s="11" t="str">
        <f t="shared" si="48"/>
        <v/>
      </c>
      <c r="AF979" s="73">
        <f t="shared" si="49"/>
        <v>1.0009790000000001</v>
      </c>
      <c r="AG979" s="11" t="str">
        <f t="shared" si="50"/>
        <v/>
      </c>
      <c r="AH979" s="73">
        <f t="shared" si="51"/>
        <v>9.7900000000000005E-4</v>
      </c>
    </row>
    <row r="980" spans="1:34" ht="14.25" customHeight="1">
      <c r="A980" s="11">
        <v>965</v>
      </c>
      <c r="B980" s="66" t="s">
        <v>35</v>
      </c>
      <c r="C980" s="67"/>
      <c r="D980" s="67"/>
      <c r="E980" s="67"/>
      <c r="F980" s="67">
        <v>46122</v>
      </c>
      <c r="G980" s="67"/>
      <c r="H980" s="67"/>
      <c r="I980" s="6" t="s">
        <v>1587</v>
      </c>
      <c r="J980" s="37">
        <v>5408703734</v>
      </c>
      <c r="K980" s="68">
        <v>46112</v>
      </c>
      <c r="L980" s="68" t="s">
        <v>230</v>
      </c>
      <c r="M980" s="68">
        <v>46203</v>
      </c>
      <c r="N980" s="69">
        <f t="shared" si="39"/>
        <v>1</v>
      </c>
      <c r="O980" s="69">
        <f t="shared" si="40"/>
        <v>1</v>
      </c>
      <c r="P980" s="70">
        <v>4</v>
      </c>
      <c r="Q980" s="70"/>
      <c r="R980" s="70">
        <v>5</v>
      </c>
      <c r="S980" s="68" t="str">
        <f t="shared" si="41"/>
        <v/>
      </c>
      <c r="T980" s="68"/>
      <c r="U980" s="95"/>
      <c r="V980" s="68"/>
      <c r="W980" s="6"/>
      <c r="X980" s="93"/>
      <c r="Y980" s="71">
        <f t="shared" si="42"/>
        <v>4</v>
      </c>
      <c r="Z980" s="73">
        <f t="shared" si="43"/>
        <v>5</v>
      </c>
      <c r="AA980" s="73">
        <f t="shared" si="44"/>
        <v>1</v>
      </c>
      <c r="AB980" s="11" t="str">
        <f t="shared" si="45"/>
        <v/>
      </c>
      <c r="AC980" s="73">
        <f t="shared" si="46"/>
        <v>1</v>
      </c>
      <c r="AD980" s="11" t="str">
        <f t="shared" si="47"/>
        <v/>
      </c>
      <c r="AE980" s="73">
        <f t="shared" si="48"/>
        <v>1.00098</v>
      </c>
      <c r="AF980" s="11" t="str">
        <f t="shared" si="49"/>
        <v/>
      </c>
      <c r="AG980" s="73">
        <f t="shared" si="50"/>
        <v>1.00098</v>
      </c>
      <c r="AH980" s="11" t="str">
        <f t="shared" si="51"/>
        <v/>
      </c>
    </row>
    <row r="981" spans="1:34" ht="14.25" customHeight="1">
      <c r="A981" s="11">
        <v>966</v>
      </c>
      <c r="B981" s="66" t="s">
        <v>35</v>
      </c>
      <c r="C981" s="67">
        <v>45352</v>
      </c>
      <c r="D981" s="67"/>
      <c r="E981" s="67"/>
      <c r="F981" s="67"/>
      <c r="G981" s="67"/>
      <c r="H981" s="67"/>
      <c r="I981" s="6" t="s">
        <v>1588</v>
      </c>
      <c r="J981" s="9">
        <v>5418603012</v>
      </c>
      <c r="K981" s="68">
        <v>45351</v>
      </c>
      <c r="L981" s="68">
        <v>46022</v>
      </c>
      <c r="M981" s="68">
        <v>46203</v>
      </c>
      <c r="N981" s="69">
        <f t="shared" si="39"/>
        <v>9</v>
      </c>
      <c r="O981" s="69">
        <f t="shared" si="40"/>
        <v>0</v>
      </c>
      <c r="P981" s="70">
        <v>0</v>
      </c>
      <c r="Q981" s="70">
        <v>9</v>
      </c>
      <c r="R981" s="70">
        <v>9</v>
      </c>
      <c r="S981" s="68" t="str">
        <f t="shared" si="41"/>
        <v/>
      </c>
      <c r="T981" s="68"/>
      <c r="U981" s="68"/>
      <c r="V981" s="68"/>
      <c r="W981" s="9"/>
      <c r="X981" s="10"/>
      <c r="Y981" s="71">
        <f t="shared" si="42"/>
        <v>9</v>
      </c>
      <c r="Z981" s="73">
        <f t="shared" si="43"/>
        <v>9</v>
      </c>
      <c r="AA981" s="73">
        <f t="shared" si="44"/>
        <v>9</v>
      </c>
      <c r="AB981" s="11" t="str">
        <f t="shared" si="45"/>
        <v/>
      </c>
      <c r="AC981" s="73">
        <f t="shared" si="46"/>
        <v>0</v>
      </c>
      <c r="AD981" s="11" t="str">
        <f t="shared" si="47"/>
        <v/>
      </c>
      <c r="AE981" s="73">
        <f t="shared" si="48"/>
        <v>9.0009809999999995</v>
      </c>
      <c r="AF981" s="11" t="str">
        <f t="shared" si="49"/>
        <v/>
      </c>
      <c r="AG981" s="73">
        <f t="shared" si="50"/>
        <v>9.810000000000001E-4</v>
      </c>
      <c r="AH981" s="11" t="str">
        <f t="shared" si="51"/>
        <v/>
      </c>
    </row>
    <row r="982" spans="1:34" ht="14.25" customHeight="1">
      <c r="A982" s="11">
        <v>967</v>
      </c>
      <c r="B982" s="66" t="s">
        <v>35</v>
      </c>
      <c r="C982" s="67">
        <v>45839</v>
      </c>
      <c r="D982" s="67"/>
      <c r="E982" s="67"/>
      <c r="F982" s="67"/>
      <c r="G982" s="67"/>
      <c r="H982" s="67"/>
      <c r="I982" s="6" t="s">
        <v>1589</v>
      </c>
      <c r="J982" s="9">
        <v>5418802453</v>
      </c>
      <c r="K982" s="68">
        <v>45838</v>
      </c>
      <c r="L982" s="68">
        <v>46022</v>
      </c>
      <c r="M982" s="68">
        <v>46203</v>
      </c>
      <c r="N982" s="69">
        <f t="shared" si="39"/>
        <v>-4</v>
      </c>
      <c r="O982" s="69">
        <f t="shared" si="40"/>
        <v>-4</v>
      </c>
      <c r="P982" s="70">
        <v>12</v>
      </c>
      <c r="Q982" s="70">
        <v>12</v>
      </c>
      <c r="R982" s="70">
        <v>8</v>
      </c>
      <c r="S982" s="68" t="str">
        <f t="shared" si="41"/>
        <v/>
      </c>
      <c r="T982" s="68"/>
      <c r="U982" s="68"/>
      <c r="V982" s="68"/>
      <c r="W982" s="9"/>
      <c r="X982" s="10"/>
      <c r="Y982" s="71">
        <f t="shared" si="42"/>
        <v>12</v>
      </c>
      <c r="Z982" s="73">
        <f t="shared" si="43"/>
        <v>8</v>
      </c>
      <c r="AA982" s="73">
        <f t="shared" si="44"/>
        <v>-4</v>
      </c>
      <c r="AB982" s="11" t="str">
        <f t="shared" si="45"/>
        <v/>
      </c>
      <c r="AC982" s="73">
        <f t="shared" si="46"/>
        <v>-4</v>
      </c>
      <c r="AD982" s="11" t="str">
        <f t="shared" si="47"/>
        <v/>
      </c>
      <c r="AE982" s="73">
        <f t="shared" si="48"/>
        <v>-3.999018</v>
      </c>
      <c r="AF982" s="11" t="str">
        <f t="shared" si="49"/>
        <v/>
      </c>
      <c r="AG982" s="73">
        <f t="shared" si="50"/>
        <v>-3.999018</v>
      </c>
      <c r="AH982" s="11" t="str">
        <f t="shared" si="51"/>
        <v/>
      </c>
    </row>
    <row r="983" spans="1:34" ht="14.25" customHeight="1">
      <c r="A983" s="11">
        <v>968</v>
      </c>
      <c r="B983" s="66" t="s">
        <v>35</v>
      </c>
      <c r="C983" s="67">
        <v>43374</v>
      </c>
      <c r="D983" s="67">
        <v>43328</v>
      </c>
      <c r="E983" s="67"/>
      <c r="F983" s="67"/>
      <c r="G983" s="67"/>
      <c r="H983" s="67"/>
      <c r="I983" s="6" t="s">
        <v>1590</v>
      </c>
      <c r="J983" s="9">
        <v>5438700755</v>
      </c>
      <c r="K983" s="68">
        <v>43312</v>
      </c>
      <c r="L983" s="68">
        <v>46022</v>
      </c>
      <c r="M983" s="68">
        <v>46203</v>
      </c>
      <c r="N983" s="69">
        <f t="shared" si="39"/>
        <v>40</v>
      </c>
      <c r="O983" s="69">
        <f t="shared" si="40"/>
        <v>0</v>
      </c>
      <c r="P983" s="70">
        <v>8</v>
      </c>
      <c r="Q983" s="70">
        <v>48</v>
      </c>
      <c r="R983" s="70">
        <v>48</v>
      </c>
      <c r="S983" s="68" t="str">
        <f t="shared" si="41"/>
        <v/>
      </c>
      <c r="T983" s="68"/>
      <c r="U983" s="68"/>
      <c r="V983" s="68"/>
      <c r="W983" s="9"/>
      <c r="X983" s="10"/>
      <c r="Y983" s="71">
        <f t="shared" si="42"/>
        <v>48</v>
      </c>
      <c r="Z983" s="73">
        <f t="shared" si="43"/>
        <v>48</v>
      </c>
      <c r="AA983" s="73">
        <f t="shared" si="44"/>
        <v>40</v>
      </c>
      <c r="AB983" s="11" t="str">
        <f t="shared" si="45"/>
        <v/>
      </c>
      <c r="AC983" s="73">
        <f t="shared" si="46"/>
        <v>0</v>
      </c>
      <c r="AD983" s="11" t="str">
        <f t="shared" si="47"/>
        <v/>
      </c>
      <c r="AE983" s="73">
        <f t="shared" si="48"/>
        <v>40.000982999999998</v>
      </c>
      <c r="AF983" s="11" t="str">
        <f t="shared" si="49"/>
        <v/>
      </c>
      <c r="AG983" s="73">
        <f t="shared" si="50"/>
        <v>9.8299999999999993E-4</v>
      </c>
      <c r="AH983" s="11" t="str">
        <f t="shared" si="51"/>
        <v/>
      </c>
    </row>
    <row r="984" spans="1:34" ht="14.25" customHeight="1">
      <c r="A984" s="11">
        <v>969</v>
      </c>
      <c r="B984" s="66" t="s">
        <v>24</v>
      </c>
      <c r="C984" s="67">
        <v>42835</v>
      </c>
      <c r="D984" s="67">
        <v>42916</v>
      </c>
      <c r="E984" s="67"/>
      <c r="F984" s="67"/>
      <c r="G984" s="67" t="s">
        <v>24</v>
      </c>
      <c r="H984" s="67">
        <v>42919</v>
      </c>
      <c r="I984" s="6" t="s">
        <v>1591</v>
      </c>
      <c r="J984" s="9">
        <v>5448600576</v>
      </c>
      <c r="K984" s="68">
        <v>42825</v>
      </c>
      <c r="L984" s="68" t="s">
        <v>230</v>
      </c>
      <c r="M984" s="68">
        <v>45291</v>
      </c>
      <c r="N984" s="69">
        <f t="shared" si="39"/>
        <v>0</v>
      </c>
      <c r="O984" s="69" t="str">
        <f t="shared" si="40"/>
        <v>N/A</v>
      </c>
      <c r="P984" s="70">
        <v>0</v>
      </c>
      <c r="Q984" s="70"/>
      <c r="R984" s="70">
        <v>0</v>
      </c>
      <c r="S984" s="68">
        <f t="shared" si="41"/>
        <v>45291</v>
      </c>
      <c r="T984" s="68">
        <v>45291</v>
      </c>
      <c r="U984" s="68">
        <v>44196</v>
      </c>
      <c r="V984" s="92">
        <v>45560</v>
      </c>
      <c r="W984" s="9"/>
      <c r="X984" s="10"/>
      <c r="Y984" s="65" t="str">
        <f t="shared" si="42"/>
        <v/>
      </c>
      <c r="Z984" s="11" t="str">
        <f t="shared" si="43"/>
        <v/>
      </c>
      <c r="AA984" s="73">
        <f t="shared" si="44"/>
        <v>0</v>
      </c>
      <c r="AB984" s="73">
        <f t="shared" si="45"/>
        <v>0</v>
      </c>
      <c r="AC984" s="11" t="str">
        <f t="shared" si="46"/>
        <v/>
      </c>
      <c r="AD984" s="11" t="str">
        <f t="shared" si="47"/>
        <v/>
      </c>
      <c r="AE984" s="73">
        <f t="shared" si="48"/>
        <v>9.8400000000000007E-4</v>
      </c>
      <c r="AF984" s="73">
        <f t="shared" si="49"/>
        <v>9.8400000000000007E-4</v>
      </c>
      <c r="AG984" s="11" t="str">
        <f t="shared" si="50"/>
        <v/>
      </c>
      <c r="AH984" s="11" t="str">
        <f t="shared" si="51"/>
        <v/>
      </c>
    </row>
    <row r="985" spans="1:34" ht="14.25" customHeight="1">
      <c r="A985" s="11">
        <v>970</v>
      </c>
      <c r="B985" s="66"/>
      <c r="C985" s="67"/>
      <c r="D985" s="67"/>
      <c r="E985" s="67"/>
      <c r="F985" s="67"/>
      <c r="G985" s="67" t="s">
        <v>35</v>
      </c>
      <c r="H985" s="67">
        <v>44841</v>
      </c>
      <c r="I985" s="6" t="s">
        <v>1592</v>
      </c>
      <c r="J985" s="9">
        <v>5458102441</v>
      </c>
      <c r="K985" s="68">
        <v>44834</v>
      </c>
      <c r="L985" s="68">
        <v>46022</v>
      </c>
      <c r="M985" s="68">
        <v>46203</v>
      </c>
      <c r="N985" s="69">
        <f t="shared" si="39"/>
        <v>2</v>
      </c>
      <c r="O985" s="69">
        <f t="shared" si="40"/>
        <v>-3</v>
      </c>
      <c r="P985" s="70">
        <v>0</v>
      </c>
      <c r="Q985" s="70">
        <v>5</v>
      </c>
      <c r="R985" s="70">
        <v>2</v>
      </c>
      <c r="S985" s="68" t="str">
        <f t="shared" si="41"/>
        <v/>
      </c>
      <c r="T985" s="68"/>
      <c r="U985" s="68"/>
      <c r="V985" s="68"/>
      <c r="W985" s="9"/>
      <c r="X985" s="10"/>
      <c r="Y985" s="71">
        <f t="shared" si="42"/>
        <v>5</v>
      </c>
      <c r="Z985" s="73">
        <f t="shared" si="43"/>
        <v>2</v>
      </c>
      <c r="AA985" s="11" t="str">
        <f t="shared" si="44"/>
        <v/>
      </c>
      <c r="AB985" s="73">
        <f t="shared" si="45"/>
        <v>2</v>
      </c>
      <c r="AC985" s="11" t="str">
        <f t="shared" si="46"/>
        <v/>
      </c>
      <c r="AD985" s="73">
        <f t="shared" si="47"/>
        <v>-3</v>
      </c>
      <c r="AE985" s="11" t="str">
        <f t="shared" si="48"/>
        <v/>
      </c>
      <c r="AF985" s="73">
        <f t="shared" si="49"/>
        <v>2.000985</v>
      </c>
      <c r="AG985" s="11" t="str">
        <f t="shared" si="50"/>
        <v/>
      </c>
      <c r="AH985" s="73">
        <f t="shared" si="51"/>
        <v>-2.999015</v>
      </c>
    </row>
    <row r="986" spans="1:34" ht="14.25" customHeight="1">
      <c r="A986" s="11">
        <v>971</v>
      </c>
      <c r="B986" s="66"/>
      <c r="C986" s="67"/>
      <c r="D986" s="67"/>
      <c r="E986" s="67"/>
      <c r="F986" s="67"/>
      <c r="G986" s="67" t="s">
        <v>35</v>
      </c>
      <c r="H986" s="67">
        <v>45869</v>
      </c>
      <c r="I986" s="6" t="s">
        <v>1593</v>
      </c>
      <c r="J986" s="94">
        <v>5458700839</v>
      </c>
      <c r="K986" s="68">
        <v>45838</v>
      </c>
      <c r="L986" s="68">
        <v>46022</v>
      </c>
      <c r="M986" s="68">
        <v>46203</v>
      </c>
      <c r="N986" s="69">
        <f t="shared" si="39"/>
        <v>22</v>
      </c>
      <c r="O986" s="69">
        <f t="shared" si="40"/>
        <v>10</v>
      </c>
      <c r="P986" s="70">
        <v>30</v>
      </c>
      <c r="Q986" s="70">
        <v>42</v>
      </c>
      <c r="R986" s="70">
        <v>52</v>
      </c>
      <c r="S986" s="68" t="str">
        <f t="shared" si="41"/>
        <v/>
      </c>
      <c r="T986" s="68"/>
      <c r="U986" s="95"/>
      <c r="V986" s="68"/>
      <c r="W986" s="6"/>
      <c r="X986" s="10"/>
      <c r="Y986" s="71">
        <f t="shared" si="42"/>
        <v>42</v>
      </c>
      <c r="Z986" s="73">
        <f t="shared" si="43"/>
        <v>52</v>
      </c>
      <c r="AA986" s="11" t="str">
        <f t="shared" si="44"/>
        <v/>
      </c>
      <c r="AB986" s="73">
        <f t="shared" si="45"/>
        <v>22</v>
      </c>
      <c r="AC986" s="11" t="str">
        <f t="shared" si="46"/>
        <v/>
      </c>
      <c r="AD986" s="73">
        <f t="shared" si="47"/>
        <v>10</v>
      </c>
      <c r="AE986" s="11" t="str">
        <f t="shared" si="48"/>
        <v/>
      </c>
      <c r="AF986" s="73">
        <f t="shared" si="49"/>
        <v>22.000986000000001</v>
      </c>
      <c r="AG986" s="11" t="str">
        <f t="shared" si="50"/>
        <v/>
      </c>
      <c r="AH986" s="73">
        <f t="shared" si="51"/>
        <v>10.000985999999999</v>
      </c>
    </row>
    <row r="987" spans="1:34" ht="14.25" customHeight="1">
      <c r="A987" s="11">
        <v>972</v>
      </c>
      <c r="B987" s="66" t="s">
        <v>35</v>
      </c>
      <c r="C987" s="67">
        <v>45839</v>
      </c>
      <c r="D987" s="67">
        <v>45275</v>
      </c>
      <c r="E987" s="67"/>
      <c r="F987" s="67"/>
      <c r="G987" s="67" t="s">
        <v>35</v>
      </c>
      <c r="H987" s="67">
        <v>44742</v>
      </c>
      <c r="I987" s="6" t="s">
        <v>1594</v>
      </c>
      <c r="J987" s="9">
        <v>5468102949</v>
      </c>
      <c r="K987" s="68">
        <v>44712</v>
      </c>
      <c r="L987" s="68">
        <v>46022</v>
      </c>
      <c r="M987" s="68">
        <v>46203</v>
      </c>
      <c r="N987" s="69">
        <f t="shared" si="39"/>
        <v>2</v>
      </c>
      <c r="O987" s="69">
        <f t="shared" si="40"/>
        <v>-3</v>
      </c>
      <c r="P987" s="70">
        <v>0</v>
      </c>
      <c r="Q987" s="70">
        <v>5</v>
      </c>
      <c r="R987" s="70">
        <v>2</v>
      </c>
      <c r="S987" s="68" t="str">
        <f t="shared" si="41"/>
        <v/>
      </c>
      <c r="T987" s="68"/>
      <c r="U987" s="68"/>
      <c r="V987" s="68"/>
      <c r="W987" s="9"/>
      <c r="X987" s="10"/>
      <c r="Y987" s="71">
        <f t="shared" si="42"/>
        <v>5</v>
      </c>
      <c r="Z987" s="73">
        <f t="shared" si="43"/>
        <v>2</v>
      </c>
      <c r="AA987" s="73">
        <f t="shared" si="44"/>
        <v>2</v>
      </c>
      <c r="AB987" s="73">
        <f t="shared" si="45"/>
        <v>2</v>
      </c>
      <c r="AC987" s="73">
        <f t="shared" si="46"/>
        <v>-3</v>
      </c>
      <c r="AD987" s="73">
        <f t="shared" si="47"/>
        <v>-3</v>
      </c>
      <c r="AE987" s="73">
        <f t="shared" si="48"/>
        <v>2.0009869999999998</v>
      </c>
      <c r="AF987" s="73">
        <f t="shared" si="49"/>
        <v>2.0009869999999998</v>
      </c>
      <c r="AG987" s="73">
        <f t="shared" si="50"/>
        <v>-2.9990130000000002</v>
      </c>
      <c r="AH987" s="73">
        <f t="shared" si="51"/>
        <v>-2.9990130000000002</v>
      </c>
    </row>
    <row r="988" spans="1:34" ht="14.25" customHeight="1">
      <c r="A988" s="11">
        <v>973</v>
      </c>
      <c r="B988" s="66" t="s">
        <v>35</v>
      </c>
      <c r="C988" s="67">
        <v>45170</v>
      </c>
      <c r="D988" s="67">
        <v>44393</v>
      </c>
      <c r="E988" s="67"/>
      <c r="F988" s="67"/>
      <c r="G988" s="67"/>
      <c r="H988" s="67"/>
      <c r="I988" s="6" t="s">
        <v>1595</v>
      </c>
      <c r="J988" s="9">
        <v>5478602189</v>
      </c>
      <c r="K988" s="68">
        <v>44377</v>
      </c>
      <c r="L988" s="68">
        <v>46022</v>
      </c>
      <c r="M988" s="68">
        <v>46203</v>
      </c>
      <c r="N988" s="69">
        <f t="shared" si="39"/>
        <v>18</v>
      </c>
      <c r="O988" s="69">
        <f t="shared" si="40"/>
        <v>-1</v>
      </c>
      <c r="P988" s="70">
        <v>6</v>
      </c>
      <c r="Q988" s="70">
        <v>25</v>
      </c>
      <c r="R988" s="70">
        <v>24</v>
      </c>
      <c r="S988" s="68" t="str">
        <f t="shared" si="41"/>
        <v/>
      </c>
      <c r="T988" s="68"/>
      <c r="U988" s="68"/>
      <c r="V988" s="68"/>
      <c r="W988" s="9"/>
      <c r="X988" s="10"/>
      <c r="Y988" s="71">
        <f t="shared" si="42"/>
        <v>25</v>
      </c>
      <c r="Z988" s="73">
        <f t="shared" si="43"/>
        <v>24</v>
      </c>
      <c r="AA988" s="73">
        <f t="shared" si="44"/>
        <v>18</v>
      </c>
      <c r="AB988" s="11" t="str">
        <f t="shared" si="45"/>
        <v/>
      </c>
      <c r="AC988" s="73">
        <f t="shared" si="46"/>
        <v>-1</v>
      </c>
      <c r="AD988" s="11" t="str">
        <f t="shared" si="47"/>
        <v/>
      </c>
      <c r="AE988" s="73">
        <f t="shared" si="48"/>
        <v>18.000988</v>
      </c>
      <c r="AF988" s="11" t="str">
        <f t="shared" si="49"/>
        <v/>
      </c>
      <c r="AG988" s="73">
        <f t="shared" si="50"/>
        <v>-0.99901200000000001</v>
      </c>
      <c r="AH988" s="11" t="str">
        <f t="shared" si="51"/>
        <v/>
      </c>
    </row>
    <row r="989" spans="1:34" ht="14.25" customHeight="1">
      <c r="A989" s="11">
        <v>974</v>
      </c>
      <c r="B989" s="66"/>
      <c r="C989" s="67"/>
      <c r="D989" s="67"/>
      <c r="E989" s="67"/>
      <c r="F989" s="67"/>
      <c r="G989" s="67" t="s">
        <v>35</v>
      </c>
      <c r="H989" s="67">
        <v>45560</v>
      </c>
      <c r="I989" s="6" t="s">
        <v>1596</v>
      </c>
      <c r="J989" s="9">
        <v>5478603403</v>
      </c>
      <c r="K989" s="68">
        <v>45535</v>
      </c>
      <c r="L989" s="68">
        <v>46022</v>
      </c>
      <c r="M989" s="68">
        <v>46203</v>
      </c>
      <c r="N989" s="69">
        <f t="shared" si="39"/>
        <v>2</v>
      </c>
      <c r="O989" s="69">
        <f t="shared" si="40"/>
        <v>-2</v>
      </c>
      <c r="P989" s="70">
        <v>2</v>
      </c>
      <c r="Q989" s="70">
        <v>6</v>
      </c>
      <c r="R989" s="70">
        <v>4</v>
      </c>
      <c r="S989" s="68" t="str">
        <f t="shared" si="41"/>
        <v/>
      </c>
      <c r="T989" s="68"/>
      <c r="U989" s="68"/>
      <c r="V989" s="68"/>
      <c r="W989" s="9"/>
      <c r="X989" s="10"/>
      <c r="Y989" s="71">
        <f t="shared" si="42"/>
        <v>6</v>
      </c>
      <c r="Z989" s="73">
        <f t="shared" si="43"/>
        <v>4</v>
      </c>
      <c r="AA989" s="11" t="str">
        <f t="shared" si="44"/>
        <v/>
      </c>
      <c r="AB989" s="73">
        <f t="shared" si="45"/>
        <v>2</v>
      </c>
      <c r="AC989" s="11" t="str">
        <f t="shared" si="46"/>
        <v/>
      </c>
      <c r="AD989" s="73">
        <f t="shared" si="47"/>
        <v>-2</v>
      </c>
      <c r="AE989" s="11" t="str">
        <f t="shared" si="48"/>
        <v/>
      </c>
      <c r="AF989" s="73">
        <f t="shared" si="49"/>
        <v>2.0009890000000001</v>
      </c>
      <c r="AG989" s="11" t="str">
        <f t="shared" si="50"/>
        <v/>
      </c>
      <c r="AH989" s="73">
        <f t="shared" si="51"/>
        <v>-1.9990110000000001</v>
      </c>
    </row>
    <row r="990" spans="1:34" ht="14.25" customHeight="1">
      <c r="A990" s="11">
        <v>975</v>
      </c>
      <c r="B990" s="66"/>
      <c r="C990" s="67"/>
      <c r="D990" s="67"/>
      <c r="E990" s="67"/>
      <c r="F990" s="67"/>
      <c r="G990" s="67" t="s">
        <v>35</v>
      </c>
      <c r="H990" s="67">
        <v>44706</v>
      </c>
      <c r="I990" s="6" t="s">
        <v>1597</v>
      </c>
      <c r="J990" s="9">
        <v>5488101437</v>
      </c>
      <c r="K990" s="68">
        <v>44681</v>
      </c>
      <c r="L990" s="68">
        <v>46022</v>
      </c>
      <c r="M990" s="68">
        <v>46203</v>
      </c>
      <c r="N990" s="69">
        <f t="shared" si="39"/>
        <v>141</v>
      </c>
      <c r="O990" s="69">
        <f t="shared" si="40"/>
        <v>17</v>
      </c>
      <c r="P990" s="70">
        <v>37</v>
      </c>
      <c r="Q990" s="70">
        <v>161</v>
      </c>
      <c r="R990" s="70">
        <v>178</v>
      </c>
      <c r="S990" s="68" t="str">
        <f t="shared" si="41"/>
        <v/>
      </c>
      <c r="T990" s="68"/>
      <c r="U990" s="68"/>
      <c r="V990" s="68"/>
      <c r="W990" s="9"/>
      <c r="X990" s="10"/>
      <c r="Y990" s="71">
        <f t="shared" si="42"/>
        <v>161</v>
      </c>
      <c r="Z990" s="73">
        <f t="shared" si="43"/>
        <v>178</v>
      </c>
      <c r="AA990" s="11" t="str">
        <f t="shared" si="44"/>
        <v/>
      </c>
      <c r="AB990" s="73">
        <f t="shared" si="45"/>
        <v>141</v>
      </c>
      <c r="AC990" s="11" t="str">
        <f t="shared" si="46"/>
        <v/>
      </c>
      <c r="AD990" s="73">
        <f t="shared" si="47"/>
        <v>17</v>
      </c>
      <c r="AE990" s="11" t="str">
        <f t="shared" si="48"/>
        <v/>
      </c>
      <c r="AF990" s="73">
        <f t="shared" si="49"/>
        <v>141.00099</v>
      </c>
      <c r="AG990" s="11" t="str">
        <f t="shared" si="50"/>
        <v/>
      </c>
      <c r="AH990" s="73">
        <f t="shared" si="51"/>
        <v>17.000990000000002</v>
      </c>
    </row>
    <row r="991" spans="1:34" ht="14.25" customHeight="1">
      <c r="A991" s="11">
        <v>976</v>
      </c>
      <c r="B991" s="66"/>
      <c r="C991" s="67"/>
      <c r="D991" s="67"/>
      <c r="E991" s="67"/>
      <c r="F991" s="67"/>
      <c r="G991" s="67" t="s">
        <v>35</v>
      </c>
      <c r="H991" s="67">
        <v>44510</v>
      </c>
      <c r="I991" s="6" t="s">
        <v>1598</v>
      </c>
      <c r="J991" s="9">
        <v>5488101548</v>
      </c>
      <c r="K991" s="68">
        <v>44500</v>
      </c>
      <c r="L991" s="68">
        <v>46022</v>
      </c>
      <c r="M991" s="68">
        <v>46203</v>
      </c>
      <c r="N991" s="69">
        <f t="shared" si="39"/>
        <v>5</v>
      </c>
      <c r="O991" s="69">
        <f t="shared" si="40"/>
        <v>0</v>
      </c>
      <c r="P991" s="70">
        <v>4</v>
      </c>
      <c r="Q991" s="70">
        <v>9</v>
      </c>
      <c r="R991" s="70">
        <v>9</v>
      </c>
      <c r="S991" s="68" t="str">
        <f t="shared" si="41"/>
        <v/>
      </c>
      <c r="T991" s="68"/>
      <c r="U991" s="68"/>
      <c r="V991" s="68"/>
      <c r="W991" s="9"/>
      <c r="X991" s="10"/>
      <c r="Y991" s="71">
        <f t="shared" si="42"/>
        <v>9</v>
      </c>
      <c r="Z991" s="73">
        <f t="shared" si="43"/>
        <v>9</v>
      </c>
      <c r="AA991" s="11" t="str">
        <f t="shared" si="44"/>
        <v/>
      </c>
      <c r="AB991" s="73">
        <f t="shared" si="45"/>
        <v>5</v>
      </c>
      <c r="AC991" s="11" t="str">
        <f t="shared" si="46"/>
        <v/>
      </c>
      <c r="AD991" s="73">
        <f t="shared" si="47"/>
        <v>0</v>
      </c>
      <c r="AE991" s="11" t="str">
        <f t="shared" si="48"/>
        <v/>
      </c>
      <c r="AF991" s="73">
        <f t="shared" si="49"/>
        <v>5.000991</v>
      </c>
      <c r="AG991" s="11" t="str">
        <f t="shared" si="50"/>
        <v/>
      </c>
      <c r="AH991" s="73">
        <f t="shared" si="51"/>
        <v>9.9099999999999991E-4</v>
      </c>
    </row>
    <row r="992" spans="1:34" ht="14.25" customHeight="1">
      <c r="A992" s="11">
        <v>977</v>
      </c>
      <c r="B992" s="66"/>
      <c r="C992" s="67"/>
      <c r="D992" s="67"/>
      <c r="E992" s="67"/>
      <c r="F992" s="67"/>
      <c r="G992" s="67" t="s">
        <v>35</v>
      </c>
      <c r="H992" s="67">
        <v>44795</v>
      </c>
      <c r="I992" s="6" t="s">
        <v>1599</v>
      </c>
      <c r="J992" s="9">
        <v>5488801891</v>
      </c>
      <c r="K992" s="68">
        <v>44773</v>
      </c>
      <c r="L992" s="68">
        <v>46022</v>
      </c>
      <c r="M992" s="68">
        <v>46203</v>
      </c>
      <c r="N992" s="69">
        <f t="shared" si="39"/>
        <v>-47</v>
      </c>
      <c r="O992" s="69">
        <f t="shared" si="40"/>
        <v>0</v>
      </c>
      <c r="P992" s="70">
        <v>49</v>
      </c>
      <c r="Q992" s="70">
        <v>2</v>
      </c>
      <c r="R992" s="70">
        <v>2</v>
      </c>
      <c r="S992" s="68" t="str">
        <f t="shared" si="41"/>
        <v/>
      </c>
      <c r="T992" s="68"/>
      <c r="U992" s="68"/>
      <c r="V992" s="68"/>
      <c r="W992" s="9"/>
      <c r="X992" s="10"/>
      <c r="Y992" s="71">
        <f t="shared" si="42"/>
        <v>2</v>
      </c>
      <c r="Z992" s="73">
        <f t="shared" si="43"/>
        <v>2</v>
      </c>
      <c r="AA992" s="11" t="str">
        <f t="shared" si="44"/>
        <v/>
      </c>
      <c r="AB992" s="73">
        <f t="shared" si="45"/>
        <v>-47</v>
      </c>
      <c r="AC992" s="11" t="str">
        <f t="shared" si="46"/>
        <v/>
      </c>
      <c r="AD992" s="73">
        <f t="shared" si="47"/>
        <v>0</v>
      </c>
      <c r="AE992" s="11" t="str">
        <f t="shared" si="48"/>
        <v/>
      </c>
      <c r="AF992" s="73">
        <f t="shared" si="49"/>
        <v>-46.999008000000003</v>
      </c>
      <c r="AG992" s="11" t="str">
        <f t="shared" si="50"/>
        <v/>
      </c>
      <c r="AH992" s="73">
        <f t="shared" si="51"/>
        <v>9.9200000000000004E-4</v>
      </c>
    </row>
    <row r="993" spans="1:34" ht="14.25" customHeight="1">
      <c r="A993" s="11">
        <v>978</v>
      </c>
      <c r="B993" s="66" t="s">
        <v>35</v>
      </c>
      <c r="C993" s="67">
        <v>44147</v>
      </c>
      <c r="D993" s="67"/>
      <c r="E993" s="67"/>
      <c r="F993" s="67"/>
      <c r="G993" s="67"/>
      <c r="H993" s="67"/>
      <c r="I993" s="6" t="s">
        <v>1600</v>
      </c>
      <c r="J993" s="9">
        <v>5498101876</v>
      </c>
      <c r="K993" s="68">
        <v>44135</v>
      </c>
      <c r="L993" s="68">
        <v>46022</v>
      </c>
      <c r="M993" s="68">
        <v>46203</v>
      </c>
      <c r="N993" s="69">
        <f t="shared" si="39"/>
        <v>18</v>
      </c>
      <c r="O993" s="69">
        <f t="shared" si="40"/>
        <v>0</v>
      </c>
      <c r="P993" s="70">
        <v>0</v>
      </c>
      <c r="Q993" s="70">
        <v>18</v>
      </c>
      <c r="R993" s="70">
        <v>18</v>
      </c>
      <c r="S993" s="68" t="str">
        <f t="shared" si="41"/>
        <v/>
      </c>
      <c r="T993" s="68"/>
      <c r="U993" s="68"/>
      <c r="V993" s="68"/>
      <c r="W993" s="9"/>
      <c r="X993" s="10"/>
      <c r="Y993" s="71">
        <f t="shared" si="42"/>
        <v>18</v>
      </c>
      <c r="Z993" s="73">
        <f t="shared" si="43"/>
        <v>18</v>
      </c>
      <c r="AA993" s="73">
        <f t="shared" si="44"/>
        <v>18</v>
      </c>
      <c r="AB993" s="11" t="str">
        <f t="shared" si="45"/>
        <v/>
      </c>
      <c r="AC993" s="73">
        <f t="shared" si="46"/>
        <v>0</v>
      </c>
      <c r="AD993" s="11" t="str">
        <f t="shared" si="47"/>
        <v/>
      </c>
      <c r="AE993" s="73">
        <f t="shared" si="48"/>
        <v>18.000993000000001</v>
      </c>
      <c r="AF993" s="11" t="str">
        <f t="shared" si="49"/>
        <v/>
      </c>
      <c r="AG993" s="73">
        <f t="shared" si="50"/>
        <v>9.9299999999999996E-4</v>
      </c>
      <c r="AH993" s="11" t="str">
        <f t="shared" si="51"/>
        <v/>
      </c>
    </row>
    <row r="994" spans="1:34" ht="14.25" customHeight="1">
      <c r="A994" s="11">
        <v>979</v>
      </c>
      <c r="B994" s="66" t="s">
        <v>35</v>
      </c>
      <c r="C994" s="67">
        <v>44713</v>
      </c>
      <c r="D994" s="67"/>
      <c r="E994" s="67"/>
      <c r="F994" s="67"/>
      <c r="G994" s="67"/>
      <c r="H994" s="67"/>
      <c r="I994" s="6" t="s">
        <v>1601</v>
      </c>
      <c r="J994" s="9">
        <v>5498102119</v>
      </c>
      <c r="K994" s="68">
        <v>44712</v>
      </c>
      <c r="L994" s="68">
        <v>46022</v>
      </c>
      <c r="M994" s="68">
        <v>46203</v>
      </c>
      <c r="N994" s="69">
        <f t="shared" si="39"/>
        <v>-6</v>
      </c>
      <c r="O994" s="69">
        <f t="shared" si="40"/>
        <v>0</v>
      </c>
      <c r="P994" s="70">
        <v>6</v>
      </c>
      <c r="Q994" s="70">
        <v>0</v>
      </c>
      <c r="R994" s="70">
        <v>0</v>
      </c>
      <c r="S994" s="68" t="str">
        <f t="shared" si="41"/>
        <v/>
      </c>
      <c r="T994" s="68"/>
      <c r="U994" s="68"/>
      <c r="V994" s="68"/>
      <c r="W994" s="9"/>
      <c r="X994" s="10" t="s">
        <v>1602</v>
      </c>
      <c r="Y994" s="71">
        <f t="shared" si="42"/>
        <v>0</v>
      </c>
      <c r="Z994" s="73">
        <f t="shared" si="43"/>
        <v>0</v>
      </c>
      <c r="AA994" s="73">
        <f t="shared" si="44"/>
        <v>-6</v>
      </c>
      <c r="AB994" s="11" t="str">
        <f t="shared" si="45"/>
        <v/>
      </c>
      <c r="AC994" s="73">
        <f t="shared" si="46"/>
        <v>0</v>
      </c>
      <c r="AD994" s="11" t="str">
        <f t="shared" si="47"/>
        <v/>
      </c>
      <c r="AE994" s="73">
        <f t="shared" si="48"/>
        <v>-5.9990059999999996</v>
      </c>
      <c r="AF994" s="11" t="str">
        <f t="shared" si="49"/>
        <v/>
      </c>
      <c r="AG994" s="73">
        <f t="shared" si="50"/>
        <v>9.9400000000000009E-4</v>
      </c>
      <c r="AH994" s="11" t="str">
        <f t="shared" si="51"/>
        <v/>
      </c>
    </row>
    <row r="995" spans="1:34" ht="14.25" customHeight="1">
      <c r="A995" s="11">
        <v>980</v>
      </c>
      <c r="B995" s="66"/>
      <c r="C995" s="67"/>
      <c r="D995" s="67"/>
      <c r="E995" s="67"/>
      <c r="F995" s="67"/>
      <c r="G995" s="67" t="s">
        <v>35</v>
      </c>
      <c r="H995" s="67">
        <v>44798</v>
      </c>
      <c r="I995" s="6" t="s">
        <v>1603</v>
      </c>
      <c r="J995" s="9">
        <v>5498700845</v>
      </c>
      <c r="K995" s="68">
        <v>44773</v>
      </c>
      <c r="L995" s="68">
        <v>46022</v>
      </c>
      <c r="M995" s="68">
        <v>46203</v>
      </c>
      <c r="N995" s="69">
        <f t="shared" si="39"/>
        <v>7</v>
      </c>
      <c r="O995" s="69">
        <f t="shared" si="40"/>
        <v>-3</v>
      </c>
      <c r="P995" s="70">
        <v>16</v>
      </c>
      <c r="Q995" s="70">
        <v>26</v>
      </c>
      <c r="R995" s="70">
        <v>23</v>
      </c>
      <c r="S995" s="68" t="str">
        <f t="shared" si="41"/>
        <v/>
      </c>
      <c r="T995" s="68"/>
      <c r="U995" s="68"/>
      <c r="V995" s="68"/>
      <c r="W995" s="9"/>
      <c r="X995" s="10"/>
      <c r="Y995" s="71">
        <f t="shared" si="42"/>
        <v>26</v>
      </c>
      <c r="Z995" s="73">
        <f t="shared" si="43"/>
        <v>23</v>
      </c>
      <c r="AA995" s="11" t="str">
        <f t="shared" si="44"/>
        <v/>
      </c>
      <c r="AB995" s="73">
        <f t="shared" si="45"/>
        <v>7</v>
      </c>
      <c r="AC995" s="11" t="str">
        <f t="shared" si="46"/>
        <v/>
      </c>
      <c r="AD995" s="73">
        <f t="shared" si="47"/>
        <v>-3</v>
      </c>
      <c r="AE995" s="11" t="str">
        <f t="shared" si="48"/>
        <v/>
      </c>
      <c r="AF995" s="73">
        <f t="shared" si="49"/>
        <v>7.0009949999999996</v>
      </c>
      <c r="AG995" s="11" t="str">
        <f t="shared" si="50"/>
        <v/>
      </c>
      <c r="AH995" s="73">
        <f t="shared" si="51"/>
        <v>-2.9990049999999999</v>
      </c>
    </row>
    <row r="996" spans="1:34" ht="14.25" customHeight="1">
      <c r="A996" s="11">
        <v>981</v>
      </c>
      <c r="B996" s="66"/>
      <c r="C996" s="67"/>
      <c r="D996" s="67"/>
      <c r="E996" s="67"/>
      <c r="F996" s="67"/>
      <c r="G996" s="67" t="s">
        <v>35</v>
      </c>
      <c r="H996" s="67">
        <v>45499</v>
      </c>
      <c r="I996" s="6" t="s">
        <v>1604</v>
      </c>
      <c r="J996" s="9">
        <v>5498703124</v>
      </c>
      <c r="K996" s="68">
        <v>45473</v>
      </c>
      <c r="L996" s="68">
        <v>46022</v>
      </c>
      <c r="M996" s="68">
        <v>46203</v>
      </c>
      <c r="N996" s="69">
        <f t="shared" si="39"/>
        <v>46</v>
      </c>
      <c r="O996" s="69">
        <f t="shared" si="40"/>
        <v>22</v>
      </c>
      <c r="P996" s="70">
        <v>4</v>
      </c>
      <c r="Q996" s="70">
        <v>28</v>
      </c>
      <c r="R996" s="70">
        <v>50</v>
      </c>
      <c r="S996" s="68" t="str">
        <f t="shared" si="41"/>
        <v/>
      </c>
      <c r="T996" s="68"/>
      <c r="U996" s="68"/>
      <c r="V996" s="68"/>
      <c r="W996" s="9"/>
      <c r="X996" s="10"/>
      <c r="Y996" s="71">
        <f t="shared" si="42"/>
        <v>28</v>
      </c>
      <c r="Z996" s="73">
        <f t="shared" si="43"/>
        <v>50</v>
      </c>
      <c r="AA996" s="11" t="str">
        <f t="shared" si="44"/>
        <v/>
      </c>
      <c r="AB996" s="73">
        <f t="shared" si="45"/>
        <v>46</v>
      </c>
      <c r="AC996" s="11" t="str">
        <f t="shared" si="46"/>
        <v/>
      </c>
      <c r="AD996" s="73">
        <f t="shared" si="47"/>
        <v>22</v>
      </c>
      <c r="AE996" s="11" t="str">
        <f t="shared" si="48"/>
        <v/>
      </c>
      <c r="AF996" s="73">
        <f t="shared" si="49"/>
        <v>46.000996000000001</v>
      </c>
      <c r="AG996" s="11" t="str">
        <f t="shared" si="50"/>
        <v/>
      </c>
      <c r="AH996" s="73">
        <f t="shared" si="51"/>
        <v>22.000996000000001</v>
      </c>
    </row>
    <row r="997" spans="1:34" ht="14.25" customHeight="1">
      <c r="A997" s="11">
        <v>982</v>
      </c>
      <c r="B997" s="66"/>
      <c r="C997" s="67"/>
      <c r="D997" s="67"/>
      <c r="E997" s="67"/>
      <c r="F997" s="67"/>
      <c r="G997" s="67" t="s">
        <v>24</v>
      </c>
      <c r="H997" s="67">
        <v>42648</v>
      </c>
      <c r="I997" s="6" t="s">
        <v>1605</v>
      </c>
      <c r="J997" s="9">
        <v>5510600382</v>
      </c>
      <c r="K997" s="68">
        <v>42643</v>
      </c>
      <c r="L997" s="68" t="s">
        <v>230</v>
      </c>
      <c r="M997" s="68">
        <v>42674</v>
      </c>
      <c r="N997" s="69">
        <f t="shared" si="39"/>
        <v>0</v>
      </c>
      <c r="O997" s="69" t="str">
        <f t="shared" si="40"/>
        <v>N/A</v>
      </c>
      <c r="P997" s="70">
        <v>0</v>
      </c>
      <c r="Q997" s="70"/>
      <c r="R997" s="70">
        <v>0</v>
      </c>
      <c r="S997" s="68">
        <f t="shared" si="41"/>
        <v>42667</v>
      </c>
      <c r="T997" s="68">
        <v>42667</v>
      </c>
      <c r="U997" s="68"/>
      <c r="V997" s="68"/>
      <c r="W997" s="9"/>
      <c r="X997" s="10"/>
      <c r="Y997" s="65" t="str">
        <f t="shared" si="42"/>
        <v/>
      </c>
      <c r="Z997" s="11" t="str">
        <f t="shared" si="43"/>
        <v/>
      </c>
      <c r="AA997" s="11" t="str">
        <f t="shared" si="44"/>
        <v/>
      </c>
      <c r="AB997" s="73">
        <f t="shared" si="45"/>
        <v>0</v>
      </c>
      <c r="AC997" s="11" t="str">
        <f t="shared" si="46"/>
        <v/>
      </c>
      <c r="AD997" s="11" t="str">
        <f t="shared" si="47"/>
        <v/>
      </c>
      <c r="AE997" s="11" t="str">
        <f t="shared" si="48"/>
        <v/>
      </c>
      <c r="AF997" s="73">
        <f t="shared" si="49"/>
        <v>9.9700000000000006E-4</v>
      </c>
      <c r="AG997" s="11" t="str">
        <f t="shared" si="50"/>
        <v/>
      </c>
      <c r="AH997" s="11" t="str">
        <f t="shared" si="51"/>
        <v/>
      </c>
    </row>
    <row r="998" spans="1:34" ht="14.25" customHeight="1">
      <c r="A998" s="11">
        <v>983</v>
      </c>
      <c r="B998" s="66"/>
      <c r="C998" s="67"/>
      <c r="D998" s="67"/>
      <c r="E998" s="67"/>
      <c r="F998" s="67"/>
      <c r="G998" s="67" t="s">
        <v>35</v>
      </c>
      <c r="H998" s="67">
        <v>45082</v>
      </c>
      <c r="I998" s="6" t="s">
        <v>1606</v>
      </c>
      <c r="J998" s="9">
        <v>5518800506</v>
      </c>
      <c r="K998" s="68">
        <v>45077</v>
      </c>
      <c r="L998" s="68">
        <v>46022</v>
      </c>
      <c r="M998" s="68">
        <v>46203</v>
      </c>
      <c r="N998" s="69">
        <f t="shared" si="39"/>
        <v>3</v>
      </c>
      <c r="O998" s="69">
        <f t="shared" si="40"/>
        <v>1</v>
      </c>
      <c r="P998" s="70">
        <v>21</v>
      </c>
      <c r="Q998" s="70">
        <v>23</v>
      </c>
      <c r="R998" s="70">
        <v>24</v>
      </c>
      <c r="S998" s="68" t="str">
        <f t="shared" si="41"/>
        <v/>
      </c>
      <c r="T998" s="68"/>
      <c r="U998" s="68"/>
      <c r="V998" s="68"/>
      <c r="W998" s="9"/>
      <c r="X998" s="10"/>
      <c r="Y998" s="71">
        <f t="shared" si="42"/>
        <v>23</v>
      </c>
      <c r="Z998" s="73">
        <f t="shared" si="43"/>
        <v>24</v>
      </c>
      <c r="AA998" s="11" t="str">
        <f t="shared" si="44"/>
        <v/>
      </c>
      <c r="AB998" s="73">
        <f t="shared" si="45"/>
        <v>3</v>
      </c>
      <c r="AC998" s="11" t="str">
        <f t="shared" si="46"/>
        <v/>
      </c>
      <c r="AD998" s="73">
        <f t="shared" si="47"/>
        <v>1</v>
      </c>
      <c r="AE998" s="11" t="str">
        <f t="shared" si="48"/>
        <v/>
      </c>
      <c r="AF998" s="73">
        <f t="shared" si="49"/>
        <v>3.0009980000000001</v>
      </c>
      <c r="AG998" s="11" t="str">
        <f t="shared" si="50"/>
        <v/>
      </c>
      <c r="AH998" s="73">
        <f t="shared" si="51"/>
        <v>1.0009980000000001</v>
      </c>
    </row>
    <row r="999" spans="1:34" ht="14.25" customHeight="1">
      <c r="A999" s="11">
        <v>984</v>
      </c>
      <c r="B999" s="66" t="s">
        <v>35</v>
      </c>
      <c r="C999" s="67">
        <v>43651</v>
      </c>
      <c r="D999" s="67">
        <v>43805</v>
      </c>
      <c r="E999" s="67"/>
      <c r="F999" s="67"/>
      <c r="G999" s="67"/>
      <c r="H999" s="67"/>
      <c r="I999" s="6" t="s">
        <v>1607</v>
      </c>
      <c r="J999" s="9">
        <v>5528700496</v>
      </c>
      <c r="K999" s="68">
        <v>43646</v>
      </c>
      <c r="L999" s="68">
        <v>46022</v>
      </c>
      <c r="M999" s="68">
        <v>46203</v>
      </c>
      <c r="N999" s="69">
        <f t="shared" si="39"/>
        <v>72</v>
      </c>
      <c r="O999" s="69">
        <f t="shared" si="40"/>
        <v>26</v>
      </c>
      <c r="P999" s="70">
        <v>10</v>
      </c>
      <c r="Q999" s="70">
        <v>56</v>
      </c>
      <c r="R999" s="70">
        <v>82</v>
      </c>
      <c r="S999" s="68" t="str">
        <f t="shared" si="41"/>
        <v/>
      </c>
      <c r="T999" s="68"/>
      <c r="U999" s="68"/>
      <c r="V999" s="68"/>
      <c r="W999" s="9"/>
      <c r="X999" s="10"/>
      <c r="Y999" s="71">
        <f t="shared" si="42"/>
        <v>56</v>
      </c>
      <c r="Z999" s="73">
        <f t="shared" si="43"/>
        <v>82</v>
      </c>
      <c r="AA999" s="73">
        <f t="shared" si="44"/>
        <v>72</v>
      </c>
      <c r="AB999" s="11" t="str">
        <f t="shared" si="45"/>
        <v/>
      </c>
      <c r="AC999" s="73">
        <f t="shared" si="46"/>
        <v>26</v>
      </c>
      <c r="AD999" s="11" t="str">
        <f t="shared" si="47"/>
        <v/>
      </c>
      <c r="AE999" s="73">
        <f t="shared" si="48"/>
        <v>72.000998999999993</v>
      </c>
      <c r="AF999" s="11" t="str">
        <f t="shared" si="49"/>
        <v/>
      </c>
      <c r="AG999" s="73">
        <f t="shared" si="50"/>
        <v>26.000999</v>
      </c>
      <c r="AH999" s="11" t="str">
        <f t="shared" si="51"/>
        <v/>
      </c>
    </row>
    <row r="1000" spans="1:34" ht="14.25" customHeight="1">
      <c r="A1000" s="11">
        <v>985</v>
      </c>
      <c r="B1000" s="66"/>
      <c r="C1000" s="67"/>
      <c r="D1000" s="67"/>
      <c r="E1000" s="67"/>
      <c r="F1000" s="67"/>
      <c r="G1000" s="67" t="s">
        <v>35</v>
      </c>
      <c r="H1000" s="67">
        <v>43983</v>
      </c>
      <c r="I1000" s="6" t="s">
        <v>1608</v>
      </c>
      <c r="J1000" s="9">
        <v>5528701613</v>
      </c>
      <c r="K1000" s="68">
        <v>43982</v>
      </c>
      <c r="L1000" s="68">
        <v>46022</v>
      </c>
      <c r="M1000" s="68">
        <v>46203</v>
      </c>
      <c r="N1000" s="69">
        <f t="shared" si="39"/>
        <v>19</v>
      </c>
      <c r="O1000" s="69">
        <f t="shared" si="40"/>
        <v>2</v>
      </c>
      <c r="P1000" s="70">
        <v>2</v>
      </c>
      <c r="Q1000" s="70">
        <v>19</v>
      </c>
      <c r="R1000" s="70">
        <v>21</v>
      </c>
      <c r="S1000" s="68" t="str">
        <f t="shared" si="41"/>
        <v/>
      </c>
      <c r="T1000" s="68"/>
      <c r="U1000" s="68"/>
      <c r="V1000" s="68"/>
      <c r="W1000" s="9"/>
      <c r="X1000" s="10"/>
      <c r="Y1000" s="71">
        <f t="shared" si="42"/>
        <v>19</v>
      </c>
      <c r="Z1000" s="73">
        <f t="shared" si="43"/>
        <v>21</v>
      </c>
      <c r="AA1000" s="11" t="str">
        <f t="shared" si="44"/>
        <v/>
      </c>
      <c r="AB1000" s="73">
        <f t="shared" si="45"/>
        <v>19</v>
      </c>
      <c r="AC1000" s="11" t="str">
        <f t="shared" si="46"/>
        <v/>
      </c>
      <c r="AD1000" s="73">
        <f t="shared" si="47"/>
        <v>2</v>
      </c>
      <c r="AE1000" s="11" t="str">
        <f t="shared" si="48"/>
        <v/>
      </c>
      <c r="AF1000" s="73">
        <f t="shared" si="49"/>
        <v>19.001000000000001</v>
      </c>
      <c r="AG1000" s="11" t="str">
        <f t="shared" si="50"/>
        <v/>
      </c>
      <c r="AH1000" s="73">
        <f t="shared" si="51"/>
        <v>2.0009999999999999</v>
      </c>
    </row>
    <row r="1001" spans="1:34" ht="14.25" customHeight="1">
      <c r="A1001" s="11">
        <v>986</v>
      </c>
      <c r="B1001" s="66"/>
      <c r="C1001" s="67"/>
      <c r="D1001" s="67"/>
      <c r="E1001" s="67"/>
      <c r="F1001" s="67"/>
      <c r="G1001" s="67" t="s">
        <v>35</v>
      </c>
      <c r="H1001" s="67">
        <v>44825</v>
      </c>
      <c r="I1001" s="6" t="s">
        <v>1609</v>
      </c>
      <c r="J1001" s="9">
        <v>5548602396</v>
      </c>
      <c r="K1001" s="68">
        <v>44804</v>
      </c>
      <c r="L1001" s="68">
        <v>46022</v>
      </c>
      <c r="M1001" s="68">
        <v>46203</v>
      </c>
      <c r="N1001" s="69">
        <f t="shared" si="39"/>
        <v>5</v>
      </c>
      <c r="O1001" s="69">
        <f t="shared" si="40"/>
        <v>1</v>
      </c>
      <c r="P1001" s="70">
        <v>16</v>
      </c>
      <c r="Q1001" s="70">
        <v>20</v>
      </c>
      <c r="R1001" s="70">
        <v>21</v>
      </c>
      <c r="S1001" s="68" t="str">
        <f t="shared" si="41"/>
        <v/>
      </c>
      <c r="T1001" s="68"/>
      <c r="U1001" s="68"/>
      <c r="V1001" s="68"/>
      <c r="W1001" s="9"/>
      <c r="X1001" s="10"/>
      <c r="Y1001" s="71">
        <f t="shared" si="42"/>
        <v>20</v>
      </c>
      <c r="Z1001" s="73">
        <f t="shared" si="43"/>
        <v>21</v>
      </c>
      <c r="AA1001" s="11" t="str">
        <f t="shared" si="44"/>
        <v/>
      </c>
      <c r="AB1001" s="73">
        <f t="shared" si="45"/>
        <v>5</v>
      </c>
      <c r="AC1001" s="11" t="str">
        <f t="shared" si="46"/>
        <v/>
      </c>
      <c r="AD1001" s="73">
        <f t="shared" si="47"/>
        <v>1</v>
      </c>
      <c r="AE1001" s="11" t="str">
        <f t="shared" si="48"/>
        <v/>
      </c>
      <c r="AF1001" s="73">
        <f t="shared" si="49"/>
        <v>5.0010009999999996</v>
      </c>
      <c r="AG1001" s="11" t="str">
        <f t="shared" si="50"/>
        <v/>
      </c>
      <c r="AH1001" s="73">
        <f t="shared" si="51"/>
        <v>1.001001</v>
      </c>
    </row>
    <row r="1002" spans="1:34" ht="14.25" customHeight="1">
      <c r="A1002" s="11">
        <v>987</v>
      </c>
      <c r="B1002" s="66"/>
      <c r="C1002" s="67"/>
      <c r="D1002" s="67"/>
      <c r="E1002" s="67"/>
      <c r="F1002" s="67"/>
      <c r="G1002" s="67" t="s">
        <v>35</v>
      </c>
      <c r="H1002" s="67">
        <v>45296</v>
      </c>
      <c r="I1002" s="6" t="s">
        <v>1610</v>
      </c>
      <c r="J1002" s="9">
        <v>5548603075</v>
      </c>
      <c r="K1002" s="68">
        <v>45291</v>
      </c>
      <c r="L1002" s="68">
        <v>46022</v>
      </c>
      <c r="M1002" s="68">
        <v>46203</v>
      </c>
      <c r="N1002" s="69">
        <f t="shared" si="39"/>
        <v>7</v>
      </c>
      <c r="O1002" s="69">
        <f t="shared" si="40"/>
        <v>1</v>
      </c>
      <c r="P1002" s="70">
        <v>2</v>
      </c>
      <c r="Q1002" s="70">
        <v>8</v>
      </c>
      <c r="R1002" s="70">
        <v>9</v>
      </c>
      <c r="S1002" s="68" t="str">
        <f t="shared" si="41"/>
        <v/>
      </c>
      <c r="T1002" s="68"/>
      <c r="U1002" s="68"/>
      <c r="V1002" s="68"/>
      <c r="W1002" s="9"/>
      <c r="X1002" s="10"/>
      <c r="Y1002" s="71">
        <f t="shared" si="42"/>
        <v>8</v>
      </c>
      <c r="Z1002" s="73">
        <f t="shared" si="43"/>
        <v>9</v>
      </c>
      <c r="AA1002" s="11" t="str">
        <f t="shared" si="44"/>
        <v/>
      </c>
      <c r="AB1002" s="73">
        <f t="shared" si="45"/>
        <v>7</v>
      </c>
      <c r="AC1002" s="11" t="str">
        <f t="shared" si="46"/>
        <v/>
      </c>
      <c r="AD1002" s="73">
        <f t="shared" si="47"/>
        <v>1</v>
      </c>
      <c r="AE1002" s="11" t="str">
        <f t="shared" si="48"/>
        <v/>
      </c>
      <c r="AF1002" s="73">
        <f t="shared" si="49"/>
        <v>7.0010019999999997</v>
      </c>
      <c r="AG1002" s="11" t="str">
        <f t="shared" si="50"/>
        <v/>
      </c>
      <c r="AH1002" s="73">
        <f t="shared" si="51"/>
        <v>1.0010019999999999</v>
      </c>
    </row>
    <row r="1003" spans="1:34" ht="14.25" customHeight="1">
      <c r="A1003" s="11">
        <v>988</v>
      </c>
      <c r="B1003" s="66"/>
      <c r="C1003" s="67"/>
      <c r="D1003" s="67"/>
      <c r="E1003" s="67"/>
      <c r="F1003" s="67"/>
      <c r="G1003" s="67" t="s">
        <v>35</v>
      </c>
      <c r="H1003" s="67">
        <v>44174</v>
      </c>
      <c r="I1003" s="6" t="s">
        <v>1611</v>
      </c>
      <c r="J1003" s="9">
        <v>5558601070</v>
      </c>
      <c r="K1003" s="68">
        <v>44165</v>
      </c>
      <c r="L1003" s="68">
        <v>46022</v>
      </c>
      <c r="M1003" s="68">
        <v>46203</v>
      </c>
      <c r="N1003" s="69">
        <f t="shared" si="39"/>
        <v>2</v>
      </c>
      <c r="O1003" s="69">
        <f t="shared" si="40"/>
        <v>1</v>
      </c>
      <c r="P1003" s="70">
        <v>3</v>
      </c>
      <c r="Q1003" s="70">
        <v>4</v>
      </c>
      <c r="R1003" s="70">
        <v>5</v>
      </c>
      <c r="S1003" s="68" t="str">
        <f t="shared" si="41"/>
        <v/>
      </c>
      <c r="T1003" s="68"/>
      <c r="U1003" s="68"/>
      <c r="V1003" s="68"/>
      <c r="W1003" s="9"/>
      <c r="X1003" s="10"/>
      <c r="Y1003" s="71">
        <f t="shared" si="42"/>
        <v>4</v>
      </c>
      <c r="Z1003" s="73">
        <f t="shared" si="43"/>
        <v>5</v>
      </c>
      <c r="AA1003" s="11" t="str">
        <f t="shared" si="44"/>
        <v/>
      </c>
      <c r="AB1003" s="73">
        <f t="shared" si="45"/>
        <v>2</v>
      </c>
      <c r="AC1003" s="11" t="str">
        <f t="shared" si="46"/>
        <v/>
      </c>
      <c r="AD1003" s="73">
        <f t="shared" si="47"/>
        <v>1</v>
      </c>
      <c r="AE1003" s="11" t="str">
        <f t="shared" si="48"/>
        <v/>
      </c>
      <c r="AF1003" s="73">
        <f t="shared" si="49"/>
        <v>2.0010029999999999</v>
      </c>
      <c r="AG1003" s="11" t="str">
        <f t="shared" si="50"/>
        <v/>
      </c>
      <c r="AH1003" s="73">
        <f t="shared" si="51"/>
        <v>1.0010030000000001</v>
      </c>
    </row>
    <row r="1004" spans="1:34" ht="14.25" customHeight="1">
      <c r="A1004" s="11">
        <v>989</v>
      </c>
      <c r="B1004" s="66"/>
      <c r="C1004" s="67"/>
      <c r="D1004" s="67"/>
      <c r="E1004" s="67"/>
      <c r="F1004" s="67"/>
      <c r="G1004" s="67" t="s">
        <v>24</v>
      </c>
      <c r="H1004" s="67">
        <v>43557</v>
      </c>
      <c r="I1004" s="6" t="s">
        <v>1612</v>
      </c>
      <c r="J1004" s="9">
        <v>5568700649</v>
      </c>
      <c r="K1004" s="68">
        <v>43555</v>
      </c>
      <c r="L1004" s="68" t="s">
        <v>230</v>
      </c>
      <c r="M1004" s="68">
        <v>45900</v>
      </c>
      <c r="N1004" s="69">
        <f t="shared" si="39"/>
        <v>-34</v>
      </c>
      <c r="O1004" s="69" t="str">
        <f t="shared" si="40"/>
        <v>N/A</v>
      </c>
      <c r="P1004" s="70">
        <v>34</v>
      </c>
      <c r="Q1004" s="70"/>
      <c r="R1004" s="70">
        <v>0</v>
      </c>
      <c r="S1004" s="68">
        <f t="shared" si="41"/>
        <v>45895</v>
      </c>
      <c r="T1004" s="68">
        <v>45895</v>
      </c>
      <c r="U1004" s="68"/>
      <c r="V1004" s="68"/>
      <c r="W1004" s="9"/>
      <c r="X1004" s="10"/>
      <c r="Y1004" s="65" t="str">
        <f t="shared" si="42"/>
        <v/>
      </c>
      <c r="Z1004" s="11" t="str">
        <f t="shared" si="43"/>
        <v/>
      </c>
      <c r="AA1004" s="11" t="str">
        <f t="shared" si="44"/>
        <v/>
      </c>
      <c r="AB1004" s="73">
        <f t="shared" si="45"/>
        <v>-34</v>
      </c>
      <c r="AC1004" s="11" t="str">
        <f t="shared" si="46"/>
        <v/>
      </c>
      <c r="AD1004" s="11" t="str">
        <f t="shared" si="47"/>
        <v/>
      </c>
      <c r="AE1004" s="11" t="str">
        <f t="shared" si="48"/>
        <v/>
      </c>
      <c r="AF1004" s="73">
        <f t="shared" si="49"/>
        <v>-33.998995999999998</v>
      </c>
      <c r="AG1004" s="11" t="str">
        <f t="shared" si="50"/>
        <v/>
      </c>
      <c r="AH1004" s="11" t="str">
        <f t="shared" si="51"/>
        <v/>
      </c>
    </row>
    <row r="1005" spans="1:34" ht="14.25" customHeight="1">
      <c r="A1005" s="11">
        <v>990</v>
      </c>
      <c r="B1005" s="66"/>
      <c r="C1005" s="67"/>
      <c r="D1005" s="67"/>
      <c r="E1005" s="67"/>
      <c r="F1005" s="67"/>
      <c r="G1005" s="67" t="s">
        <v>35</v>
      </c>
      <c r="H1005" s="67">
        <v>43928</v>
      </c>
      <c r="I1005" s="6" t="s">
        <v>1613</v>
      </c>
      <c r="J1005" s="9">
        <v>5578801371</v>
      </c>
      <c r="K1005" s="68">
        <v>43921</v>
      </c>
      <c r="L1005" s="68">
        <v>46022</v>
      </c>
      <c r="M1005" s="68">
        <v>46203</v>
      </c>
      <c r="N1005" s="69">
        <f t="shared" si="39"/>
        <v>3</v>
      </c>
      <c r="O1005" s="69">
        <f t="shared" si="40"/>
        <v>2</v>
      </c>
      <c r="P1005" s="70">
        <v>2</v>
      </c>
      <c r="Q1005" s="70">
        <v>3</v>
      </c>
      <c r="R1005" s="70">
        <v>5</v>
      </c>
      <c r="S1005" s="68" t="str">
        <f t="shared" si="41"/>
        <v/>
      </c>
      <c r="T1005" s="68"/>
      <c r="U1005" s="68"/>
      <c r="V1005" s="68"/>
      <c r="W1005" s="9"/>
      <c r="X1005" s="10"/>
      <c r="Y1005" s="71">
        <f t="shared" si="42"/>
        <v>3</v>
      </c>
      <c r="Z1005" s="73">
        <f t="shared" si="43"/>
        <v>5</v>
      </c>
      <c r="AA1005" s="11" t="str">
        <f t="shared" si="44"/>
        <v/>
      </c>
      <c r="AB1005" s="73">
        <f t="shared" si="45"/>
        <v>3</v>
      </c>
      <c r="AC1005" s="11" t="str">
        <f t="shared" si="46"/>
        <v/>
      </c>
      <c r="AD1005" s="73">
        <f t="shared" si="47"/>
        <v>2</v>
      </c>
      <c r="AE1005" s="11" t="str">
        <f t="shared" si="48"/>
        <v/>
      </c>
      <c r="AF1005" s="73">
        <f t="shared" si="49"/>
        <v>3.0010050000000001</v>
      </c>
      <c r="AG1005" s="11" t="str">
        <f t="shared" si="50"/>
        <v/>
      </c>
      <c r="AH1005" s="73">
        <f t="shared" si="51"/>
        <v>2.0010050000000001</v>
      </c>
    </row>
    <row r="1006" spans="1:34" ht="14.25" customHeight="1">
      <c r="A1006" s="11">
        <v>991</v>
      </c>
      <c r="B1006" s="66"/>
      <c r="C1006" s="67"/>
      <c r="D1006" s="67"/>
      <c r="E1006" s="67"/>
      <c r="F1006" s="67"/>
      <c r="G1006" s="67" t="s">
        <v>35</v>
      </c>
      <c r="H1006" s="67">
        <v>44834</v>
      </c>
      <c r="I1006" s="6" t="s">
        <v>1614</v>
      </c>
      <c r="J1006" s="9">
        <v>5588602044</v>
      </c>
      <c r="K1006" s="68">
        <v>44804</v>
      </c>
      <c r="L1006" s="68">
        <v>46022</v>
      </c>
      <c r="M1006" s="68">
        <v>46203</v>
      </c>
      <c r="N1006" s="69">
        <f t="shared" si="39"/>
        <v>2</v>
      </c>
      <c r="O1006" s="69">
        <f t="shared" si="40"/>
        <v>-1</v>
      </c>
      <c r="P1006" s="70">
        <v>4</v>
      </c>
      <c r="Q1006" s="70">
        <v>7</v>
      </c>
      <c r="R1006" s="70">
        <v>6</v>
      </c>
      <c r="S1006" s="68" t="str">
        <f t="shared" si="41"/>
        <v/>
      </c>
      <c r="T1006" s="68"/>
      <c r="U1006" s="68"/>
      <c r="V1006" s="68"/>
      <c r="W1006" s="9"/>
      <c r="X1006" s="10"/>
      <c r="Y1006" s="71">
        <f t="shared" si="42"/>
        <v>7</v>
      </c>
      <c r="Z1006" s="73">
        <f t="shared" si="43"/>
        <v>6</v>
      </c>
      <c r="AA1006" s="11" t="str">
        <f t="shared" si="44"/>
        <v/>
      </c>
      <c r="AB1006" s="73">
        <f t="shared" si="45"/>
        <v>2</v>
      </c>
      <c r="AC1006" s="11" t="str">
        <f t="shared" si="46"/>
        <v/>
      </c>
      <c r="AD1006" s="73">
        <f t="shared" si="47"/>
        <v>-1</v>
      </c>
      <c r="AE1006" s="11" t="str">
        <f t="shared" si="48"/>
        <v/>
      </c>
      <c r="AF1006" s="73">
        <f t="shared" si="49"/>
        <v>2.0010059999999998</v>
      </c>
      <c r="AG1006" s="11" t="str">
        <f t="shared" si="50"/>
        <v/>
      </c>
      <c r="AH1006" s="73">
        <f t="shared" si="51"/>
        <v>-0.99899400000000005</v>
      </c>
    </row>
    <row r="1007" spans="1:34" ht="14.25" customHeight="1">
      <c r="A1007" s="11">
        <v>992</v>
      </c>
      <c r="B1007" s="66" t="s">
        <v>35</v>
      </c>
      <c r="C1007" s="67">
        <v>45748</v>
      </c>
      <c r="D1007" s="67"/>
      <c r="E1007" s="67">
        <v>45748</v>
      </c>
      <c r="F1007" s="67"/>
      <c r="G1007" s="67"/>
      <c r="H1007" s="67"/>
      <c r="I1007" s="6" t="s">
        <v>1615</v>
      </c>
      <c r="J1007" s="9">
        <v>5588602189</v>
      </c>
      <c r="K1007" s="68">
        <v>45747</v>
      </c>
      <c r="L1007" s="68">
        <v>46022</v>
      </c>
      <c r="M1007" s="68">
        <v>46203</v>
      </c>
      <c r="N1007" s="69">
        <f t="shared" si="39"/>
        <v>5</v>
      </c>
      <c r="O1007" s="69">
        <f t="shared" si="40"/>
        <v>2</v>
      </c>
      <c r="P1007" s="70">
        <v>9</v>
      </c>
      <c r="Q1007" s="70">
        <v>12</v>
      </c>
      <c r="R1007" s="70">
        <v>14</v>
      </c>
      <c r="S1007" s="68" t="str">
        <f t="shared" si="41"/>
        <v/>
      </c>
      <c r="T1007" s="68"/>
      <c r="U1007" s="68"/>
      <c r="V1007" s="68"/>
      <c r="W1007" s="9"/>
      <c r="X1007" s="10"/>
      <c r="Y1007" s="71">
        <f t="shared" si="42"/>
        <v>12</v>
      </c>
      <c r="Z1007" s="73">
        <f t="shared" si="43"/>
        <v>14</v>
      </c>
      <c r="AA1007" s="73">
        <f t="shared" si="44"/>
        <v>5</v>
      </c>
      <c r="AB1007" s="11" t="str">
        <f t="shared" si="45"/>
        <v/>
      </c>
      <c r="AC1007" s="73">
        <f t="shared" si="46"/>
        <v>2</v>
      </c>
      <c r="AD1007" s="11" t="str">
        <f t="shared" si="47"/>
        <v/>
      </c>
      <c r="AE1007" s="73">
        <f t="shared" si="48"/>
        <v>5.0010070000000004</v>
      </c>
      <c r="AF1007" s="11" t="str">
        <f t="shared" si="49"/>
        <v/>
      </c>
      <c r="AG1007" s="73">
        <f t="shared" si="50"/>
        <v>2.001007</v>
      </c>
      <c r="AH1007" s="11" t="str">
        <f t="shared" si="51"/>
        <v/>
      </c>
    </row>
    <row r="1008" spans="1:34" ht="14.25" customHeight="1">
      <c r="A1008" s="11">
        <v>993</v>
      </c>
      <c r="B1008" s="66" t="s">
        <v>35</v>
      </c>
      <c r="C1008" s="67">
        <v>42887</v>
      </c>
      <c r="D1008" s="67"/>
      <c r="E1008" s="67"/>
      <c r="F1008" s="67"/>
      <c r="G1008" s="67" t="s">
        <v>35</v>
      </c>
      <c r="H1008" s="67">
        <v>43454</v>
      </c>
      <c r="I1008" s="6" t="s">
        <v>1616</v>
      </c>
      <c r="J1008" s="9">
        <v>5598600700</v>
      </c>
      <c r="K1008" s="68">
        <v>42886</v>
      </c>
      <c r="L1008" s="68">
        <v>46022</v>
      </c>
      <c r="M1008" s="68">
        <v>46203</v>
      </c>
      <c r="N1008" s="69">
        <f t="shared" si="39"/>
        <v>5</v>
      </c>
      <c r="O1008" s="69">
        <f t="shared" si="40"/>
        <v>0</v>
      </c>
      <c r="P1008" s="70">
        <v>0</v>
      </c>
      <c r="Q1008" s="70">
        <v>5</v>
      </c>
      <c r="R1008" s="70">
        <v>5</v>
      </c>
      <c r="S1008" s="68" t="str">
        <f t="shared" si="41"/>
        <v/>
      </c>
      <c r="T1008" s="68"/>
      <c r="U1008" s="68"/>
      <c r="V1008" s="68"/>
      <c r="W1008" s="9"/>
      <c r="X1008" s="10"/>
      <c r="Y1008" s="71">
        <f t="shared" si="42"/>
        <v>5</v>
      </c>
      <c r="Z1008" s="73">
        <f t="shared" si="43"/>
        <v>5</v>
      </c>
      <c r="AA1008" s="73">
        <f t="shared" si="44"/>
        <v>5</v>
      </c>
      <c r="AB1008" s="73">
        <f t="shared" si="45"/>
        <v>5</v>
      </c>
      <c r="AC1008" s="73">
        <f t="shared" si="46"/>
        <v>0</v>
      </c>
      <c r="AD1008" s="73">
        <f t="shared" si="47"/>
        <v>0</v>
      </c>
      <c r="AE1008" s="73">
        <f t="shared" si="48"/>
        <v>5.0010079999999997</v>
      </c>
      <c r="AF1008" s="73">
        <f t="shared" si="49"/>
        <v>5.0010079999999997</v>
      </c>
      <c r="AG1008" s="73">
        <f t="shared" si="50"/>
        <v>1.008E-3</v>
      </c>
      <c r="AH1008" s="73">
        <f t="shared" si="51"/>
        <v>1.008E-3</v>
      </c>
    </row>
    <row r="1009" spans="1:34" ht="14.25" customHeight="1">
      <c r="A1009" s="11">
        <v>994</v>
      </c>
      <c r="B1009" s="66"/>
      <c r="C1009" s="67"/>
      <c r="D1009" s="67"/>
      <c r="E1009" s="67"/>
      <c r="F1009" s="67"/>
      <c r="G1009" s="67" t="s">
        <v>35</v>
      </c>
      <c r="H1009" s="67">
        <v>45621</v>
      </c>
      <c r="I1009" s="6" t="s">
        <v>1617</v>
      </c>
      <c r="J1009" s="9">
        <v>5608103056</v>
      </c>
      <c r="K1009" s="68">
        <v>45596</v>
      </c>
      <c r="L1009" s="68">
        <v>46022</v>
      </c>
      <c r="M1009" s="68">
        <v>46203</v>
      </c>
      <c r="N1009" s="69">
        <f t="shared" si="39"/>
        <v>5</v>
      </c>
      <c r="O1009" s="69">
        <f t="shared" si="40"/>
        <v>3</v>
      </c>
      <c r="P1009" s="70">
        <v>3</v>
      </c>
      <c r="Q1009" s="70">
        <v>5</v>
      </c>
      <c r="R1009" s="70">
        <v>8</v>
      </c>
      <c r="S1009" s="68" t="str">
        <f t="shared" si="41"/>
        <v/>
      </c>
      <c r="T1009" s="68"/>
      <c r="U1009" s="68"/>
      <c r="V1009" s="68"/>
      <c r="W1009" s="9"/>
      <c r="X1009" s="10"/>
      <c r="Y1009" s="71">
        <f t="shared" si="42"/>
        <v>5</v>
      </c>
      <c r="Z1009" s="73">
        <f t="shared" si="43"/>
        <v>8</v>
      </c>
      <c r="AA1009" s="11" t="str">
        <f t="shared" si="44"/>
        <v/>
      </c>
      <c r="AB1009" s="73">
        <f t="shared" si="45"/>
        <v>5</v>
      </c>
      <c r="AC1009" s="11" t="str">
        <f t="shared" si="46"/>
        <v/>
      </c>
      <c r="AD1009" s="73">
        <f t="shared" si="47"/>
        <v>3</v>
      </c>
      <c r="AE1009" s="11" t="str">
        <f t="shared" si="48"/>
        <v/>
      </c>
      <c r="AF1009" s="73">
        <f t="shared" si="49"/>
        <v>5.0010089999999998</v>
      </c>
      <c r="AG1009" s="11" t="str">
        <f t="shared" si="50"/>
        <v/>
      </c>
      <c r="AH1009" s="73">
        <f t="shared" si="51"/>
        <v>3.0010089999999998</v>
      </c>
    </row>
    <row r="1010" spans="1:34" ht="14.25" customHeight="1">
      <c r="A1010" s="11">
        <v>995</v>
      </c>
      <c r="B1010" s="66"/>
      <c r="C1010" s="67"/>
      <c r="D1010" s="67"/>
      <c r="E1010" s="67"/>
      <c r="F1010" s="67"/>
      <c r="G1010" s="67" t="s">
        <v>35</v>
      </c>
      <c r="H1010" s="67">
        <v>45588</v>
      </c>
      <c r="I1010" s="6" t="s">
        <v>1618</v>
      </c>
      <c r="J1010" s="9">
        <v>5608103449</v>
      </c>
      <c r="K1010" s="68">
        <v>45565</v>
      </c>
      <c r="L1010" s="68">
        <v>46022</v>
      </c>
      <c r="M1010" s="68">
        <v>46203</v>
      </c>
      <c r="N1010" s="69">
        <f t="shared" si="39"/>
        <v>8</v>
      </c>
      <c r="O1010" s="69">
        <f t="shared" si="40"/>
        <v>4</v>
      </c>
      <c r="P1010" s="70">
        <v>0</v>
      </c>
      <c r="Q1010" s="70">
        <v>4</v>
      </c>
      <c r="R1010" s="70">
        <v>8</v>
      </c>
      <c r="S1010" s="68" t="str">
        <f t="shared" si="41"/>
        <v/>
      </c>
      <c r="T1010" s="68"/>
      <c r="U1010" s="68"/>
      <c r="V1010" s="68"/>
      <c r="W1010" s="9"/>
      <c r="X1010" s="10"/>
      <c r="Y1010" s="71">
        <f t="shared" si="42"/>
        <v>4</v>
      </c>
      <c r="Z1010" s="73">
        <f t="shared" si="43"/>
        <v>8</v>
      </c>
      <c r="AA1010" s="11" t="str">
        <f t="shared" si="44"/>
        <v/>
      </c>
      <c r="AB1010" s="73">
        <f t="shared" si="45"/>
        <v>8</v>
      </c>
      <c r="AC1010" s="11" t="str">
        <f t="shared" si="46"/>
        <v/>
      </c>
      <c r="AD1010" s="73">
        <f t="shared" si="47"/>
        <v>4</v>
      </c>
      <c r="AE1010" s="11" t="str">
        <f t="shared" si="48"/>
        <v/>
      </c>
      <c r="AF1010" s="73">
        <f t="shared" si="49"/>
        <v>8.0010100000000008</v>
      </c>
      <c r="AG1010" s="11" t="str">
        <f t="shared" si="50"/>
        <v/>
      </c>
      <c r="AH1010" s="73">
        <f t="shared" si="51"/>
        <v>4.00101</v>
      </c>
    </row>
    <row r="1011" spans="1:34" ht="14.25" customHeight="1">
      <c r="A1011" s="11">
        <v>996</v>
      </c>
      <c r="B1011" s="66" t="s">
        <v>35</v>
      </c>
      <c r="C1011" s="67">
        <v>43374</v>
      </c>
      <c r="D1011" s="67"/>
      <c r="E1011" s="67"/>
      <c r="F1011" s="67"/>
      <c r="G1011" s="67"/>
      <c r="H1011" s="67"/>
      <c r="I1011" s="6" t="s">
        <v>1619</v>
      </c>
      <c r="J1011" s="9">
        <v>5608600485</v>
      </c>
      <c r="K1011" s="68">
        <v>43373</v>
      </c>
      <c r="L1011" s="68">
        <v>46022</v>
      </c>
      <c r="M1011" s="68">
        <v>46203</v>
      </c>
      <c r="N1011" s="69">
        <f t="shared" si="39"/>
        <v>4</v>
      </c>
      <c r="O1011" s="69">
        <f t="shared" si="40"/>
        <v>0</v>
      </c>
      <c r="P1011" s="70">
        <v>2</v>
      </c>
      <c r="Q1011" s="70">
        <v>6</v>
      </c>
      <c r="R1011" s="70">
        <v>6</v>
      </c>
      <c r="S1011" s="68" t="str">
        <f t="shared" si="41"/>
        <v/>
      </c>
      <c r="T1011" s="68"/>
      <c r="U1011" s="68"/>
      <c r="V1011" s="68"/>
      <c r="W1011" s="9"/>
      <c r="X1011" s="10"/>
      <c r="Y1011" s="71">
        <f t="shared" si="42"/>
        <v>6</v>
      </c>
      <c r="Z1011" s="73">
        <f t="shared" si="43"/>
        <v>6</v>
      </c>
      <c r="AA1011" s="73">
        <f t="shared" si="44"/>
        <v>4</v>
      </c>
      <c r="AB1011" s="11" t="str">
        <f t="shared" si="45"/>
        <v/>
      </c>
      <c r="AC1011" s="73">
        <f t="shared" si="46"/>
        <v>0</v>
      </c>
      <c r="AD1011" s="11" t="str">
        <f t="shared" si="47"/>
        <v/>
      </c>
      <c r="AE1011" s="73">
        <f t="shared" si="48"/>
        <v>4.0010110000000001</v>
      </c>
      <c r="AF1011" s="11" t="str">
        <f t="shared" si="49"/>
        <v/>
      </c>
      <c r="AG1011" s="73">
        <f t="shared" si="50"/>
        <v>1.011E-3</v>
      </c>
      <c r="AH1011" s="11" t="str">
        <f t="shared" si="51"/>
        <v/>
      </c>
    </row>
    <row r="1012" spans="1:34" ht="14.25" customHeight="1">
      <c r="A1012" s="11">
        <v>997</v>
      </c>
      <c r="B1012" s="66"/>
      <c r="C1012" s="67"/>
      <c r="D1012" s="67"/>
      <c r="E1012" s="67"/>
      <c r="F1012" s="67"/>
      <c r="G1012" s="67" t="s">
        <v>283</v>
      </c>
      <c r="H1012" s="67">
        <v>43454</v>
      </c>
      <c r="I1012" s="6" t="s">
        <v>1620</v>
      </c>
      <c r="J1012" s="9">
        <v>5618100765</v>
      </c>
      <c r="K1012" s="68">
        <v>43434</v>
      </c>
      <c r="L1012" s="68" t="s">
        <v>230</v>
      </c>
      <c r="M1012" s="68">
        <v>45747</v>
      </c>
      <c r="N1012" s="69">
        <f t="shared" si="39"/>
        <v>10</v>
      </c>
      <c r="O1012" s="69" t="str">
        <f t="shared" si="40"/>
        <v>N/A</v>
      </c>
      <c r="P1012" s="70">
        <v>2</v>
      </c>
      <c r="Q1012" s="70"/>
      <c r="R1012" s="70">
        <v>12</v>
      </c>
      <c r="S1012" s="68">
        <f t="shared" si="41"/>
        <v>45721</v>
      </c>
      <c r="T1012" s="68"/>
      <c r="U1012" s="68"/>
      <c r="V1012" s="68"/>
      <c r="W1012" s="68">
        <v>45721</v>
      </c>
      <c r="X1012" s="10"/>
      <c r="Y1012" s="65" t="str">
        <f t="shared" si="42"/>
        <v/>
      </c>
      <c r="Z1012" s="11" t="str">
        <f t="shared" si="43"/>
        <v/>
      </c>
      <c r="AA1012" s="11" t="str">
        <f t="shared" si="44"/>
        <v/>
      </c>
      <c r="AB1012" s="73">
        <f t="shared" si="45"/>
        <v>10</v>
      </c>
      <c r="AC1012" s="11" t="str">
        <f t="shared" si="46"/>
        <v/>
      </c>
      <c r="AD1012" s="11" t="str">
        <f t="shared" si="47"/>
        <v/>
      </c>
      <c r="AE1012" s="11" t="str">
        <f t="shared" si="48"/>
        <v/>
      </c>
      <c r="AF1012" s="73">
        <f t="shared" si="49"/>
        <v>10.001011999999999</v>
      </c>
      <c r="AG1012" s="11" t="str">
        <f t="shared" si="50"/>
        <v/>
      </c>
      <c r="AH1012" s="11" t="str">
        <f t="shared" si="51"/>
        <v/>
      </c>
    </row>
    <row r="1013" spans="1:34" ht="14.25" customHeight="1">
      <c r="A1013" s="11">
        <v>998</v>
      </c>
      <c r="B1013" s="66"/>
      <c r="C1013" s="67"/>
      <c r="D1013" s="67"/>
      <c r="E1013" s="67"/>
      <c r="F1013" s="67"/>
      <c r="G1013" s="67" t="s">
        <v>35</v>
      </c>
      <c r="H1013" s="67">
        <v>43522</v>
      </c>
      <c r="I1013" s="6" t="s">
        <v>1621</v>
      </c>
      <c r="J1013" s="9">
        <v>5618801138</v>
      </c>
      <c r="K1013" s="68">
        <v>43496</v>
      </c>
      <c r="L1013" s="68">
        <v>46022</v>
      </c>
      <c r="M1013" s="68">
        <v>46203</v>
      </c>
      <c r="N1013" s="69">
        <f t="shared" si="39"/>
        <v>-19</v>
      </c>
      <c r="O1013" s="69">
        <f t="shared" si="40"/>
        <v>-4</v>
      </c>
      <c r="P1013" s="70">
        <v>28</v>
      </c>
      <c r="Q1013" s="70">
        <v>13</v>
      </c>
      <c r="R1013" s="70">
        <v>9</v>
      </c>
      <c r="S1013" s="68" t="str">
        <f t="shared" si="41"/>
        <v/>
      </c>
      <c r="T1013" s="68"/>
      <c r="U1013" s="68"/>
      <c r="V1013" s="68"/>
      <c r="W1013" s="9"/>
      <c r="X1013" s="10"/>
      <c r="Y1013" s="71">
        <f t="shared" si="42"/>
        <v>13</v>
      </c>
      <c r="Z1013" s="73">
        <f t="shared" si="43"/>
        <v>9</v>
      </c>
      <c r="AA1013" s="11" t="str">
        <f t="shared" si="44"/>
        <v/>
      </c>
      <c r="AB1013" s="73">
        <f t="shared" si="45"/>
        <v>-19</v>
      </c>
      <c r="AC1013" s="11" t="str">
        <f t="shared" si="46"/>
        <v/>
      </c>
      <c r="AD1013" s="73">
        <f t="shared" si="47"/>
        <v>-4</v>
      </c>
      <c r="AE1013" s="11" t="str">
        <f t="shared" si="48"/>
        <v/>
      </c>
      <c r="AF1013" s="73">
        <f t="shared" si="49"/>
        <v>-18.998987</v>
      </c>
      <c r="AG1013" s="11" t="str">
        <f t="shared" si="50"/>
        <v/>
      </c>
      <c r="AH1013" s="73">
        <f t="shared" si="51"/>
        <v>-3.9989870000000001</v>
      </c>
    </row>
    <row r="1014" spans="1:34" ht="14.25" customHeight="1">
      <c r="A1014" s="11">
        <v>999</v>
      </c>
      <c r="B1014" s="66"/>
      <c r="C1014" s="67"/>
      <c r="D1014" s="67"/>
      <c r="E1014" s="67"/>
      <c r="F1014" s="67"/>
      <c r="G1014" s="67" t="s">
        <v>35</v>
      </c>
      <c r="H1014" s="67">
        <v>45576</v>
      </c>
      <c r="I1014" s="6" t="s">
        <v>1622</v>
      </c>
      <c r="J1014" s="9">
        <v>5618802044</v>
      </c>
      <c r="K1014" s="68">
        <v>45565</v>
      </c>
      <c r="L1014" s="68">
        <v>46022</v>
      </c>
      <c r="M1014" s="68">
        <v>46203</v>
      </c>
      <c r="N1014" s="69">
        <f t="shared" si="39"/>
        <v>-2</v>
      </c>
      <c r="O1014" s="69">
        <f t="shared" si="40"/>
        <v>-1</v>
      </c>
      <c r="P1014" s="70">
        <v>8</v>
      </c>
      <c r="Q1014" s="70">
        <v>7</v>
      </c>
      <c r="R1014" s="70">
        <v>6</v>
      </c>
      <c r="S1014" s="68" t="str">
        <f t="shared" si="41"/>
        <v/>
      </c>
      <c r="T1014" s="68"/>
      <c r="U1014" s="68"/>
      <c r="V1014" s="68"/>
      <c r="W1014" s="9"/>
      <c r="X1014" s="10"/>
      <c r="Y1014" s="71">
        <f t="shared" si="42"/>
        <v>7</v>
      </c>
      <c r="Z1014" s="73">
        <f t="shared" si="43"/>
        <v>6</v>
      </c>
      <c r="AA1014" s="11" t="str">
        <f t="shared" si="44"/>
        <v/>
      </c>
      <c r="AB1014" s="73">
        <f t="shared" si="45"/>
        <v>-2</v>
      </c>
      <c r="AC1014" s="11" t="str">
        <f t="shared" si="46"/>
        <v/>
      </c>
      <c r="AD1014" s="73">
        <f t="shared" si="47"/>
        <v>-1</v>
      </c>
      <c r="AE1014" s="11" t="str">
        <f t="shared" si="48"/>
        <v/>
      </c>
      <c r="AF1014" s="73">
        <f t="shared" si="49"/>
        <v>-1.9989859999999999</v>
      </c>
      <c r="AG1014" s="11" t="str">
        <f t="shared" si="50"/>
        <v/>
      </c>
      <c r="AH1014" s="73">
        <f t="shared" si="51"/>
        <v>-0.99898600000000004</v>
      </c>
    </row>
    <row r="1015" spans="1:34" ht="14.25" customHeight="1">
      <c r="A1015" s="11">
        <v>1000</v>
      </c>
      <c r="B1015" s="66"/>
      <c r="C1015" s="67"/>
      <c r="D1015" s="67"/>
      <c r="E1015" s="67"/>
      <c r="F1015" s="67"/>
      <c r="G1015" s="67" t="s">
        <v>35</v>
      </c>
      <c r="H1015" s="67">
        <v>45698</v>
      </c>
      <c r="I1015" s="6" t="s">
        <v>1623</v>
      </c>
      <c r="J1015" s="9">
        <v>5618803645</v>
      </c>
      <c r="K1015" s="68">
        <v>45688</v>
      </c>
      <c r="L1015" s="68">
        <v>46022</v>
      </c>
      <c r="M1015" s="68">
        <v>46203</v>
      </c>
      <c r="N1015" s="69">
        <f t="shared" si="39"/>
        <v>1</v>
      </c>
      <c r="O1015" s="69">
        <f t="shared" si="40"/>
        <v>-1</v>
      </c>
      <c r="P1015" s="70">
        <v>0</v>
      </c>
      <c r="Q1015" s="70">
        <v>2</v>
      </c>
      <c r="R1015" s="70">
        <v>1</v>
      </c>
      <c r="S1015" s="68" t="str">
        <f t="shared" si="41"/>
        <v/>
      </c>
      <c r="T1015" s="68"/>
      <c r="U1015" s="68"/>
      <c r="V1015" s="68"/>
      <c r="W1015" s="9"/>
      <c r="X1015" s="10"/>
      <c r="Y1015" s="71">
        <f t="shared" si="42"/>
        <v>2</v>
      </c>
      <c r="Z1015" s="73">
        <f t="shared" si="43"/>
        <v>1</v>
      </c>
      <c r="AA1015" s="11" t="str">
        <f t="shared" si="44"/>
        <v/>
      </c>
      <c r="AB1015" s="73">
        <f t="shared" si="45"/>
        <v>1</v>
      </c>
      <c r="AC1015" s="11" t="str">
        <f t="shared" si="46"/>
        <v/>
      </c>
      <c r="AD1015" s="73">
        <f t="shared" si="47"/>
        <v>-1</v>
      </c>
      <c r="AE1015" s="11" t="str">
        <f t="shared" si="48"/>
        <v/>
      </c>
      <c r="AF1015" s="73">
        <f t="shared" si="49"/>
        <v>1.001015</v>
      </c>
      <c r="AG1015" s="11" t="str">
        <f t="shared" si="50"/>
        <v/>
      </c>
      <c r="AH1015" s="73">
        <f t="shared" si="51"/>
        <v>-0.99898500000000001</v>
      </c>
    </row>
    <row r="1016" spans="1:34" ht="14.25" customHeight="1">
      <c r="A1016" s="11">
        <v>1001</v>
      </c>
      <c r="B1016" s="66"/>
      <c r="C1016" s="67"/>
      <c r="D1016" s="67"/>
      <c r="E1016" s="67"/>
      <c r="F1016" s="67"/>
      <c r="G1016" s="67" t="s">
        <v>35</v>
      </c>
      <c r="H1016" s="67">
        <v>45281</v>
      </c>
      <c r="I1016" s="6" t="s">
        <v>1624</v>
      </c>
      <c r="J1016" s="9">
        <v>5638800794</v>
      </c>
      <c r="K1016" s="68">
        <v>45260</v>
      </c>
      <c r="L1016" s="68">
        <v>46022</v>
      </c>
      <c r="M1016" s="68">
        <v>46203</v>
      </c>
      <c r="N1016" s="69">
        <f t="shared" si="39"/>
        <v>-4</v>
      </c>
      <c r="O1016" s="69">
        <f t="shared" si="40"/>
        <v>-11</v>
      </c>
      <c r="P1016" s="70">
        <v>11</v>
      </c>
      <c r="Q1016" s="70">
        <v>18</v>
      </c>
      <c r="R1016" s="70">
        <v>7</v>
      </c>
      <c r="S1016" s="68" t="str">
        <f t="shared" si="41"/>
        <v/>
      </c>
      <c r="T1016" s="68"/>
      <c r="U1016" s="68"/>
      <c r="V1016" s="68"/>
      <c r="W1016" s="9"/>
      <c r="X1016" s="10"/>
      <c r="Y1016" s="71">
        <f t="shared" si="42"/>
        <v>18</v>
      </c>
      <c r="Z1016" s="73">
        <f t="shared" si="43"/>
        <v>7</v>
      </c>
      <c r="AA1016" s="11" t="str">
        <f t="shared" si="44"/>
        <v/>
      </c>
      <c r="AB1016" s="73">
        <f t="shared" si="45"/>
        <v>-4</v>
      </c>
      <c r="AC1016" s="11" t="str">
        <f t="shared" si="46"/>
        <v/>
      </c>
      <c r="AD1016" s="73">
        <f t="shared" si="47"/>
        <v>-11</v>
      </c>
      <c r="AE1016" s="11" t="str">
        <f t="shared" si="48"/>
        <v/>
      </c>
      <c r="AF1016" s="73">
        <f t="shared" si="49"/>
        <v>-3.9989840000000001</v>
      </c>
      <c r="AG1016" s="11" t="str">
        <f t="shared" si="50"/>
        <v/>
      </c>
      <c r="AH1016" s="73">
        <f t="shared" si="51"/>
        <v>-10.998984</v>
      </c>
    </row>
    <row r="1017" spans="1:34" ht="14.25" customHeight="1">
      <c r="A1017" s="11">
        <v>1002</v>
      </c>
      <c r="B1017" s="66" t="s">
        <v>35</v>
      </c>
      <c r="C1017" s="67"/>
      <c r="D1017" s="67"/>
      <c r="E1017" s="67"/>
      <c r="F1017" s="67">
        <v>45757</v>
      </c>
      <c r="G1017" s="67"/>
      <c r="H1017" s="67"/>
      <c r="I1017" s="6" t="s">
        <v>1625</v>
      </c>
      <c r="J1017" s="37">
        <v>5638802981</v>
      </c>
      <c r="K1017" s="68">
        <v>45747</v>
      </c>
      <c r="L1017" s="68">
        <v>46022</v>
      </c>
      <c r="M1017" s="68">
        <v>46203</v>
      </c>
      <c r="N1017" s="69">
        <f t="shared" si="39"/>
        <v>10</v>
      </c>
      <c r="O1017" s="69">
        <f t="shared" si="40"/>
        <v>7</v>
      </c>
      <c r="P1017" s="70">
        <v>10</v>
      </c>
      <c r="Q1017" s="70">
        <v>13</v>
      </c>
      <c r="R1017" s="70">
        <v>20</v>
      </c>
      <c r="S1017" s="68" t="str">
        <f t="shared" si="41"/>
        <v/>
      </c>
      <c r="T1017" s="68"/>
      <c r="U1017" s="95"/>
      <c r="V1017" s="68"/>
      <c r="W1017" s="6"/>
      <c r="X1017" s="93"/>
      <c r="Y1017" s="71">
        <f t="shared" si="42"/>
        <v>13</v>
      </c>
      <c r="Z1017" s="73">
        <f t="shared" si="43"/>
        <v>20</v>
      </c>
      <c r="AA1017" s="73">
        <f t="shared" si="44"/>
        <v>10</v>
      </c>
      <c r="AB1017" s="11" t="str">
        <f t="shared" si="45"/>
        <v/>
      </c>
      <c r="AC1017" s="73">
        <f t="shared" si="46"/>
        <v>7</v>
      </c>
      <c r="AD1017" s="11" t="str">
        <f t="shared" si="47"/>
        <v/>
      </c>
      <c r="AE1017" s="73">
        <f t="shared" si="48"/>
        <v>10.001016999999999</v>
      </c>
      <c r="AF1017" s="11" t="str">
        <f t="shared" si="49"/>
        <v/>
      </c>
      <c r="AG1017" s="73">
        <f t="shared" si="50"/>
        <v>7.001017</v>
      </c>
      <c r="AH1017" s="11" t="str">
        <f t="shared" si="51"/>
        <v/>
      </c>
    </row>
    <row r="1018" spans="1:34" ht="14.25" customHeight="1">
      <c r="A1018" s="11">
        <v>1003</v>
      </c>
      <c r="B1018" s="66" t="s">
        <v>35</v>
      </c>
      <c r="C1018" s="67">
        <v>44531</v>
      </c>
      <c r="D1018" s="67"/>
      <c r="E1018" s="67"/>
      <c r="F1018" s="67">
        <v>45911</v>
      </c>
      <c r="G1018" s="67"/>
      <c r="H1018" s="67"/>
      <c r="I1018" s="6" t="s">
        <v>1626</v>
      </c>
      <c r="J1018" s="9">
        <v>5648101462</v>
      </c>
      <c r="K1018" s="68">
        <v>44530</v>
      </c>
      <c r="L1018" s="68">
        <v>46022</v>
      </c>
      <c r="M1018" s="68">
        <v>46203</v>
      </c>
      <c r="N1018" s="69">
        <f t="shared" si="39"/>
        <v>38</v>
      </c>
      <c r="O1018" s="69">
        <f t="shared" si="40"/>
        <v>6</v>
      </c>
      <c r="P1018" s="70">
        <v>7</v>
      </c>
      <c r="Q1018" s="70">
        <v>39</v>
      </c>
      <c r="R1018" s="70">
        <v>45</v>
      </c>
      <c r="S1018" s="68" t="str">
        <f t="shared" si="41"/>
        <v/>
      </c>
      <c r="T1018" s="68"/>
      <c r="U1018" s="68"/>
      <c r="V1018" s="68"/>
      <c r="W1018" s="9"/>
      <c r="X1018" s="10"/>
      <c r="Y1018" s="71">
        <f t="shared" si="42"/>
        <v>39</v>
      </c>
      <c r="Z1018" s="73">
        <f t="shared" si="43"/>
        <v>45</v>
      </c>
      <c r="AA1018" s="73">
        <f t="shared" si="44"/>
        <v>38</v>
      </c>
      <c r="AB1018" s="11" t="str">
        <f t="shared" si="45"/>
        <v/>
      </c>
      <c r="AC1018" s="73">
        <f t="shared" si="46"/>
        <v>6</v>
      </c>
      <c r="AD1018" s="11" t="str">
        <f t="shared" si="47"/>
        <v/>
      </c>
      <c r="AE1018" s="73">
        <f t="shared" si="48"/>
        <v>38.001018000000002</v>
      </c>
      <c r="AF1018" s="11" t="str">
        <f t="shared" si="49"/>
        <v/>
      </c>
      <c r="AG1018" s="73">
        <f t="shared" si="50"/>
        <v>6.0010180000000002</v>
      </c>
      <c r="AH1018" s="11" t="str">
        <f t="shared" si="51"/>
        <v/>
      </c>
    </row>
    <row r="1019" spans="1:34" ht="14.25" customHeight="1">
      <c r="A1019" s="11">
        <v>1004</v>
      </c>
      <c r="B1019" s="66"/>
      <c r="C1019" s="67"/>
      <c r="D1019" s="67"/>
      <c r="E1019" s="67"/>
      <c r="F1019" s="67"/>
      <c r="G1019" s="67" t="s">
        <v>35</v>
      </c>
      <c r="H1019" s="67">
        <v>45313</v>
      </c>
      <c r="I1019" s="6" t="s">
        <v>1627</v>
      </c>
      <c r="J1019" s="9">
        <v>5648102684</v>
      </c>
      <c r="K1019" s="68">
        <v>45291</v>
      </c>
      <c r="L1019" s="68">
        <v>46022</v>
      </c>
      <c r="M1019" s="68">
        <v>46203</v>
      </c>
      <c r="N1019" s="69">
        <f t="shared" si="39"/>
        <v>0</v>
      </c>
      <c r="O1019" s="69">
        <f t="shared" si="40"/>
        <v>-1</v>
      </c>
      <c r="P1019" s="70">
        <v>5</v>
      </c>
      <c r="Q1019" s="70">
        <v>6</v>
      </c>
      <c r="R1019" s="70">
        <v>5</v>
      </c>
      <c r="S1019" s="68" t="str">
        <f t="shared" si="41"/>
        <v/>
      </c>
      <c r="T1019" s="68"/>
      <c r="U1019" s="68"/>
      <c r="V1019" s="68"/>
      <c r="W1019" s="9"/>
      <c r="X1019" s="10"/>
      <c r="Y1019" s="71">
        <f t="shared" si="42"/>
        <v>6</v>
      </c>
      <c r="Z1019" s="73">
        <f t="shared" si="43"/>
        <v>5</v>
      </c>
      <c r="AA1019" s="11" t="str">
        <f t="shared" si="44"/>
        <v/>
      </c>
      <c r="AB1019" s="73">
        <f t="shared" si="45"/>
        <v>0</v>
      </c>
      <c r="AC1019" s="11" t="str">
        <f t="shared" si="46"/>
        <v/>
      </c>
      <c r="AD1019" s="73">
        <f t="shared" si="47"/>
        <v>-1</v>
      </c>
      <c r="AE1019" s="11" t="str">
        <f t="shared" si="48"/>
        <v/>
      </c>
      <c r="AF1019" s="73">
        <f t="shared" si="49"/>
        <v>1.0189999999999999E-3</v>
      </c>
      <c r="AG1019" s="11" t="str">
        <f t="shared" si="50"/>
        <v/>
      </c>
      <c r="AH1019" s="73">
        <f t="shared" si="51"/>
        <v>-0.99898100000000001</v>
      </c>
    </row>
    <row r="1020" spans="1:34" ht="14.25" customHeight="1">
      <c r="A1020" s="11">
        <v>1005</v>
      </c>
      <c r="B1020" s="66"/>
      <c r="C1020" s="67"/>
      <c r="D1020" s="67"/>
      <c r="E1020" s="67"/>
      <c r="F1020" s="67"/>
      <c r="G1020" s="67" t="s">
        <v>35</v>
      </c>
      <c r="H1020" s="67">
        <v>45560</v>
      </c>
      <c r="I1020" s="6" t="s">
        <v>1628</v>
      </c>
      <c r="J1020" s="9">
        <v>5648103102</v>
      </c>
      <c r="K1020" s="68">
        <v>45535</v>
      </c>
      <c r="L1020" s="68">
        <v>46022</v>
      </c>
      <c r="M1020" s="68">
        <v>46203</v>
      </c>
      <c r="N1020" s="69">
        <f t="shared" si="39"/>
        <v>11</v>
      </c>
      <c r="O1020" s="69">
        <f t="shared" si="40"/>
        <v>2</v>
      </c>
      <c r="P1020" s="70">
        <v>2</v>
      </c>
      <c r="Q1020" s="70">
        <v>11</v>
      </c>
      <c r="R1020" s="70">
        <v>13</v>
      </c>
      <c r="S1020" s="68" t="str">
        <f t="shared" si="41"/>
        <v/>
      </c>
      <c r="T1020" s="68"/>
      <c r="U1020" s="68"/>
      <c r="V1020" s="68"/>
      <c r="W1020" s="9"/>
      <c r="X1020" s="10"/>
      <c r="Y1020" s="71">
        <f t="shared" si="42"/>
        <v>11</v>
      </c>
      <c r="Z1020" s="73">
        <f t="shared" si="43"/>
        <v>13</v>
      </c>
      <c r="AA1020" s="11" t="str">
        <f t="shared" si="44"/>
        <v/>
      </c>
      <c r="AB1020" s="73">
        <f t="shared" si="45"/>
        <v>11</v>
      </c>
      <c r="AC1020" s="11" t="str">
        <f t="shared" si="46"/>
        <v/>
      </c>
      <c r="AD1020" s="73">
        <f t="shared" si="47"/>
        <v>2</v>
      </c>
      <c r="AE1020" s="11" t="str">
        <f t="shared" si="48"/>
        <v/>
      </c>
      <c r="AF1020" s="73">
        <f t="shared" si="49"/>
        <v>11.00102</v>
      </c>
      <c r="AG1020" s="11" t="str">
        <f t="shared" si="50"/>
        <v/>
      </c>
      <c r="AH1020" s="73">
        <f t="shared" si="51"/>
        <v>2.00102</v>
      </c>
    </row>
    <row r="1021" spans="1:34" ht="14.25" customHeight="1">
      <c r="A1021" s="11">
        <v>1006</v>
      </c>
      <c r="B1021" s="66" t="s">
        <v>35</v>
      </c>
      <c r="C1021" s="67"/>
      <c r="D1021" s="67"/>
      <c r="E1021" s="67"/>
      <c r="F1021" s="67">
        <v>46154</v>
      </c>
      <c r="G1021" s="67"/>
      <c r="H1021" s="67"/>
      <c r="I1021" s="6" t="s">
        <v>1629</v>
      </c>
      <c r="J1021" s="37">
        <v>5648600885</v>
      </c>
      <c r="K1021" s="68">
        <v>46142</v>
      </c>
      <c r="L1021" s="68" t="s">
        <v>230</v>
      </c>
      <c r="M1021" s="68">
        <v>46203</v>
      </c>
      <c r="N1021" s="69">
        <f t="shared" si="39"/>
        <v>0</v>
      </c>
      <c r="O1021" s="69">
        <f t="shared" si="40"/>
        <v>0</v>
      </c>
      <c r="P1021" s="70">
        <v>14</v>
      </c>
      <c r="Q1021" s="70"/>
      <c r="R1021" s="70">
        <v>14</v>
      </c>
      <c r="S1021" s="68" t="str">
        <f t="shared" si="41"/>
        <v/>
      </c>
      <c r="T1021" s="68"/>
      <c r="U1021" s="95"/>
      <c r="V1021" s="68"/>
      <c r="W1021" s="6"/>
      <c r="X1021" s="93"/>
      <c r="Y1021" s="71">
        <f t="shared" si="42"/>
        <v>14</v>
      </c>
      <c r="Z1021" s="73">
        <f t="shared" si="43"/>
        <v>14</v>
      </c>
      <c r="AA1021" s="73">
        <f t="shared" si="44"/>
        <v>0</v>
      </c>
      <c r="AB1021" s="11" t="str">
        <f t="shared" si="45"/>
        <v/>
      </c>
      <c r="AC1021" s="73">
        <f t="shared" si="46"/>
        <v>0</v>
      </c>
      <c r="AD1021" s="11" t="str">
        <f t="shared" si="47"/>
        <v/>
      </c>
      <c r="AE1021" s="73">
        <f t="shared" si="48"/>
        <v>1.021E-3</v>
      </c>
      <c r="AF1021" s="11" t="str">
        <f t="shared" si="49"/>
        <v/>
      </c>
      <c r="AG1021" s="73">
        <f t="shared" si="50"/>
        <v>1.021E-3</v>
      </c>
      <c r="AH1021" s="11" t="str">
        <f t="shared" si="51"/>
        <v/>
      </c>
    </row>
    <row r="1022" spans="1:34" ht="14.25" customHeight="1">
      <c r="A1022" s="11">
        <v>1007</v>
      </c>
      <c r="B1022" s="66"/>
      <c r="C1022" s="67"/>
      <c r="D1022" s="67"/>
      <c r="E1022" s="67"/>
      <c r="F1022" s="67"/>
      <c r="G1022" s="67" t="s">
        <v>35</v>
      </c>
      <c r="H1022" s="67">
        <v>44873</v>
      </c>
      <c r="I1022" s="6" t="s">
        <v>1630</v>
      </c>
      <c r="J1022" s="9">
        <v>5658101373</v>
      </c>
      <c r="K1022" s="68">
        <v>44865</v>
      </c>
      <c r="L1022" s="68">
        <v>46022</v>
      </c>
      <c r="M1022" s="68">
        <v>46203</v>
      </c>
      <c r="N1022" s="69">
        <f t="shared" si="39"/>
        <v>31</v>
      </c>
      <c r="O1022" s="69">
        <f t="shared" si="40"/>
        <v>9</v>
      </c>
      <c r="P1022" s="70">
        <v>12</v>
      </c>
      <c r="Q1022" s="70">
        <v>34</v>
      </c>
      <c r="R1022" s="70">
        <v>43</v>
      </c>
      <c r="S1022" s="68" t="str">
        <f t="shared" si="41"/>
        <v/>
      </c>
      <c r="T1022" s="68"/>
      <c r="U1022" s="68"/>
      <c r="V1022" s="68"/>
      <c r="W1022" s="9"/>
      <c r="X1022" s="10"/>
      <c r="Y1022" s="71">
        <f t="shared" si="42"/>
        <v>34</v>
      </c>
      <c r="Z1022" s="73">
        <f t="shared" si="43"/>
        <v>43</v>
      </c>
      <c r="AA1022" s="11" t="str">
        <f t="shared" si="44"/>
        <v/>
      </c>
      <c r="AB1022" s="73">
        <f t="shared" si="45"/>
        <v>31</v>
      </c>
      <c r="AC1022" s="11" t="str">
        <f t="shared" si="46"/>
        <v/>
      </c>
      <c r="AD1022" s="73">
        <f t="shared" si="47"/>
        <v>9</v>
      </c>
      <c r="AE1022" s="11" t="str">
        <f t="shared" si="48"/>
        <v/>
      </c>
      <c r="AF1022" s="73">
        <f t="shared" si="49"/>
        <v>31.001021999999999</v>
      </c>
      <c r="AG1022" s="11" t="str">
        <f t="shared" si="50"/>
        <v/>
      </c>
      <c r="AH1022" s="73">
        <f t="shared" si="51"/>
        <v>9.0010220000000007</v>
      </c>
    </row>
    <row r="1023" spans="1:34" ht="14.25" customHeight="1">
      <c r="A1023" s="11">
        <v>1008</v>
      </c>
      <c r="B1023" s="66" t="s">
        <v>35</v>
      </c>
      <c r="C1023" s="67"/>
      <c r="D1023" s="67"/>
      <c r="E1023" s="67"/>
      <c r="F1023" s="67">
        <v>46122</v>
      </c>
      <c r="G1023" s="67"/>
      <c r="H1023" s="67"/>
      <c r="I1023" s="6" t="s">
        <v>1631</v>
      </c>
      <c r="J1023" s="9">
        <v>5658103880</v>
      </c>
      <c r="K1023" s="68">
        <v>46112</v>
      </c>
      <c r="L1023" s="68" t="s">
        <v>230</v>
      </c>
      <c r="M1023" s="68">
        <v>46203</v>
      </c>
      <c r="N1023" s="69">
        <f t="shared" si="39"/>
        <v>0</v>
      </c>
      <c r="O1023" s="69">
        <f t="shared" si="40"/>
        <v>0</v>
      </c>
      <c r="P1023" s="70">
        <v>0</v>
      </c>
      <c r="Q1023" s="70"/>
      <c r="R1023" s="70">
        <v>0</v>
      </c>
      <c r="S1023" s="68" t="str">
        <f t="shared" si="41"/>
        <v/>
      </c>
      <c r="T1023" s="68"/>
      <c r="U1023" s="95"/>
      <c r="V1023" s="68"/>
      <c r="W1023" s="9"/>
      <c r="X1023" s="10"/>
      <c r="Y1023" s="71">
        <f t="shared" si="42"/>
        <v>0</v>
      </c>
      <c r="Z1023" s="73">
        <f t="shared" si="43"/>
        <v>0</v>
      </c>
      <c r="AA1023" s="73">
        <f t="shared" si="44"/>
        <v>0</v>
      </c>
      <c r="AB1023" s="11" t="str">
        <f t="shared" si="45"/>
        <v/>
      </c>
      <c r="AC1023" s="73">
        <f t="shared" si="46"/>
        <v>0</v>
      </c>
      <c r="AD1023" s="11" t="str">
        <f t="shared" si="47"/>
        <v/>
      </c>
      <c r="AE1023" s="73">
        <f t="shared" si="48"/>
        <v>1.023E-3</v>
      </c>
      <c r="AF1023" s="11" t="str">
        <f t="shared" si="49"/>
        <v/>
      </c>
      <c r="AG1023" s="73">
        <f t="shared" si="50"/>
        <v>1.023E-3</v>
      </c>
      <c r="AH1023" s="11" t="str">
        <f t="shared" si="51"/>
        <v/>
      </c>
    </row>
    <row r="1024" spans="1:34" ht="14.25" customHeight="1">
      <c r="A1024" s="11">
        <v>1009</v>
      </c>
      <c r="B1024" s="66" t="s">
        <v>35</v>
      </c>
      <c r="C1024" s="67">
        <v>44896</v>
      </c>
      <c r="D1024" s="67"/>
      <c r="E1024" s="67"/>
      <c r="F1024" s="67"/>
      <c r="G1024" s="67"/>
      <c r="H1024" s="67"/>
      <c r="I1024" s="6" t="s">
        <v>1632</v>
      </c>
      <c r="J1024" s="9">
        <v>5668802374</v>
      </c>
      <c r="K1024" s="68">
        <v>44895</v>
      </c>
      <c r="L1024" s="68">
        <v>46022</v>
      </c>
      <c r="M1024" s="68">
        <v>46203</v>
      </c>
      <c r="N1024" s="69">
        <f t="shared" si="39"/>
        <v>7</v>
      </c>
      <c r="O1024" s="69">
        <f t="shared" si="40"/>
        <v>2</v>
      </c>
      <c r="P1024" s="70">
        <v>0</v>
      </c>
      <c r="Q1024" s="70">
        <v>5</v>
      </c>
      <c r="R1024" s="70">
        <v>7</v>
      </c>
      <c r="S1024" s="68" t="str">
        <f t="shared" si="41"/>
        <v/>
      </c>
      <c r="T1024" s="68"/>
      <c r="U1024" s="68"/>
      <c r="V1024" s="68"/>
      <c r="W1024" s="9"/>
      <c r="X1024" s="10"/>
      <c r="Y1024" s="71">
        <f t="shared" si="42"/>
        <v>5</v>
      </c>
      <c r="Z1024" s="73">
        <f t="shared" si="43"/>
        <v>7</v>
      </c>
      <c r="AA1024" s="73">
        <f t="shared" si="44"/>
        <v>7</v>
      </c>
      <c r="AB1024" s="11" t="str">
        <f t="shared" si="45"/>
        <v/>
      </c>
      <c r="AC1024" s="73">
        <f t="shared" si="46"/>
        <v>2</v>
      </c>
      <c r="AD1024" s="11" t="str">
        <f t="shared" si="47"/>
        <v/>
      </c>
      <c r="AE1024" s="73">
        <f t="shared" si="48"/>
        <v>7.0010240000000001</v>
      </c>
      <c r="AF1024" s="11" t="str">
        <f t="shared" si="49"/>
        <v/>
      </c>
      <c r="AG1024" s="73">
        <f t="shared" si="50"/>
        <v>2.0010240000000001</v>
      </c>
      <c r="AH1024" s="11" t="str">
        <f t="shared" si="51"/>
        <v/>
      </c>
    </row>
    <row r="1025" spans="1:34" ht="14.25" customHeight="1">
      <c r="A1025" s="11">
        <v>1010</v>
      </c>
      <c r="B1025" s="66"/>
      <c r="C1025" s="67"/>
      <c r="D1025" s="67"/>
      <c r="E1025" s="67"/>
      <c r="F1025" s="67"/>
      <c r="G1025" s="67" t="s">
        <v>35</v>
      </c>
      <c r="H1025" s="67">
        <v>45313</v>
      </c>
      <c r="I1025" s="6" t="s">
        <v>1633</v>
      </c>
      <c r="J1025" s="9">
        <v>5678100157</v>
      </c>
      <c r="K1025" s="68">
        <v>45291</v>
      </c>
      <c r="L1025" s="68">
        <v>46022</v>
      </c>
      <c r="M1025" s="68">
        <v>46203</v>
      </c>
      <c r="N1025" s="69">
        <f t="shared" si="39"/>
        <v>1</v>
      </c>
      <c r="O1025" s="69">
        <f t="shared" si="40"/>
        <v>0</v>
      </c>
      <c r="P1025" s="70">
        <v>16</v>
      </c>
      <c r="Q1025" s="70">
        <v>17</v>
      </c>
      <c r="R1025" s="70">
        <v>17</v>
      </c>
      <c r="S1025" s="68" t="str">
        <f t="shared" si="41"/>
        <v/>
      </c>
      <c r="T1025" s="68"/>
      <c r="U1025" s="68"/>
      <c r="V1025" s="68"/>
      <c r="W1025" s="9"/>
      <c r="X1025" s="10"/>
      <c r="Y1025" s="71">
        <f t="shared" si="42"/>
        <v>17</v>
      </c>
      <c r="Z1025" s="73">
        <f t="shared" si="43"/>
        <v>17</v>
      </c>
      <c r="AA1025" s="11" t="str">
        <f t="shared" si="44"/>
        <v/>
      </c>
      <c r="AB1025" s="73">
        <f t="shared" si="45"/>
        <v>1</v>
      </c>
      <c r="AC1025" s="11" t="str">
        <f t="shared" si="46"/>
        <v/>
      </c>
      <c r="AD1025" s="73">
        <f t="shared" si="47"/>
        <v>0</v>
      </c>
      <c r="AE1025" s="11" t="str">
        <f t="shared" si="48"/>
        <v/>
      </c>
      <c r="AF1025" s="73">
        <f t="shared" si="49"/>
        <v>1.0010250000000001</v>
      </c>
      <c r="AG1025" s="11" t="str">
        <f t="shared" si="50"/>
        <v/>
      </c>
      <c r="AH1025" s="73">
        <f t="shared" si="51"/>
        <v>1.0250000000000001E-3</v>
      </c>
    </row>
    <row r="1026" spans="1:34" ht="14.25" customHeight="1">
      <c r="A1026" s="11">
        <v>1011</v>
      </c>
      <c r="B1026" s="66"/>
      <c r="C1026" s="67"/>
      <c r="D1026" s="67"/>
      <c r="E1026" s="67"/>
      <c r="F1026" s="67"/>
      <c r="G1026" s="67" t="s">
        <v>35</v>
      </c>
      <c r="H1026" s="67">
        <v>45652</v>
      </c>
      <c r="I1026" s="6" t="s">
        <v>1634</v>
      </c>
      <c r="J1026" s="9">
        <v>5678603315</v>
      </c>
      <c r="K1026" s="68">
        <v>45626</v>
      </c>
      <c r="L1026" s="68">
        <v>46022</v>
      </c>
      <c r="M1026" s="68">
        <v>46203</v>
      </c>
      <c r="N1026" s="69">
        <f t="shared" si="39"/>
        <v>11</v>
      </c>
      <c r="O1026" s="69">
        <f t="shared" si="40"/>
        <v>6</v>
      </c>
      <c r="P1026" s="70">
        <v>8</v>
      </c>
      <c r="Q1026" s="70">
        <v>13</v>
      </c>
      <c r="R1026" s="70">
        <v>19</v>
      </c>
      <c r="S1026" s="68" t="str">
        <f t="shared" si="41"/>
        <v/>
      </c>
      <c r="T1026" s="68"/>
      <c r="U1026" s="68"/>
      <c r="V1026" s="68"/>
      <c r="W1026" s="9"/>
      <c r="X1026" s="10"/>
      <c r="Y1026" s="71">
        <f t="shared" si="42"/>
        <v>13</v>
      </c>
      <c r="Z1026" s="73">
        <f t="shared" si="43"/>
        <v>19</v>
      </c>
      <c r="AA1026" s="11" t="str">
        <f t="shared" si="44"/>
        <v/>
      </c>
      <c r="AB1026" s="73">
        <f t="shared" si="45"/>
        <v>11</v>
      </c>
      <c r="AC1026" s="11" t="str">
        <f t="shared" si="46"/>
        <v/>
      </c>
      <c r="AD1026" s="73">
        <f t="shared" si="47"/>
        <v>6</v>
      </c>
      <c r="AE1026" s="11" t="str">
        <f t="shared" si="48"/>
        <v/>
      </c>
      <c r="AF1026" s="73">
        <f t="shared" si="49"/>
        <v>11.001026</v>
      </c>
      <c r="AG1026" s="11" t="str">
        <f t="shared" si="50"/>
        <v/>
      </c>
      <c r="AH1026" s="73">
        <f t="shared" si="51"/>
        <v>6.0010260000000004</v>
      </c>
    </row>
    <row r="1027" spans="1:34" ht="14.25" customHeight="1">
      <c r="A1027" s="11">
        <v>1012</v>
      </c>
      <c r="B1027" s="66"/>
      <c r="C1027" s="67"/>
      <c r="D1027" s="67"/>
      <c r="E1027" s="67"/>
      <c r="F1027" s="67"/>
      <c r="G1027" s="124" t="s">
        <v>24</v>
      </c>
      <c r="H1027" s="67">
        <v>43976</v>
      </c>
      <c r="I1027" s="6" t="s">
        <v>1635</v>
      </c>
      <c r="J1027" s="94">
        <v>5678701653</v>
      </c>
      <c r="K1027" s="68">
        <v>43951</v>
      </c>
      <c r="L1027" s="68" t="s">
        <v>230</v>
      </c>
      <c r="M1027" s="68">
        <v>45138</v>
      </c>
      <c r="N1027" s="69">
        <f t="shared" si="39"/>
        <v>-1</v>
      </c>
      <c r="O1027" s="69" t="str">
        <f t="shared" si="40"/>
        <v>N/A</v>
      </c>
      <c r="P1027" s="78">
        <v>1</v>
      </c>
      <c r="Q1027" s="78"/>
      <c r="R1027" s="78">
        <v>0</v>
      </c>
      <c r="S1027" s="68">
        <f t="shared" si="41"/>
        <v>45119</v>
      </c>
      <c r="T1027" s="68">
        <v>45119</v>
      </c>
      <c r="U1027" s="95"/>
      <c r="V1027" s="68"/>
      <c r="W1027" s="6"/>
      <c r="X1027" s="122" t="s">
        <v>807</v>
      </c>
      <c r="Y1027" s="65" t="str">
        <f t="shared" si="42"/>
        <v/>
      </c>
      <c r="Z1027" s="11" t="str">
        <f t="shared" si="43"/>
        <v/>
      </c>
      <c r="AA1027" s="11" t="str">
        <f t="shared" si="44"/>
        <v/>
      </c>
      <c r="AB1027" s="73">
        <f t="shared" si="45"/>
        <v>-1</v>
      </c>
      <c r="AC1027" s="11" t="str">
        <f t="shared" si="46"/>
        <v/>
      </c>
      <c r="AD1027" s="11" t="str">
        <f t="shared" si="47"/>
        <v/>
      </c>
      <c r="AE1027" s="11" t="str">
        <f t="shared" si="48"/>
        <v/>
      </c>
      <c r="AF1027" s="73">
        <f t="shared" si="49"/>
        <v>-0.998973</v>
      </c>
      <c r="AG1027" s="11" t="str">
        <f t="shared" si="50"/>
        <v/>
      </c>
      <c r="AH1027" s="11" t="str">
        <f t="shared" si="51"/>
        <v/>
      </c>
    </row>
    <row r="1028" spans="1:34" ht="14.25" customHeight="1">
      <c r="A1028" s="11">
        <v>1013</v>
      </c>
      <c r="B1028" s="66"/>
      <c r="C1028" s="67"/>
      <c r="D1028" s="67"/>
      <c r="E1028" s="67"/>
      <c r="F1028" s="67"/>
      <c r="G1028" s="67" t="s">
        <v>35</v>
      </c>
      <c r="H1028" s="67">
        <v>44615</v>
      </c>
      <c r="I1028" s="6" t="s">
        <v>1636</v>
      </c>
      <c r="J1028" s="9">
        <v>5688600058</v>
      </c>
      <c r="K1028" s="68">
        <v>44592</v>
      </c>
      <c r="L1028" s="68">
        <v>46022</v>
      </c>
      <c r="M1028" s="68">
        <v>46203</v>
      </c>
      <c r="N1028" s="69">
        <f t="shared" si="39"/>
        <v>-1</v>
      </c>
      <c r="O1028" s="69">
        <f t="shared" si="40"/>
        <v>0</v>
      </c>
      <c r="P1028" s="70">
        <v>7</v>
      </c>
      <c r="Q1028" s="70">
        <v>6</v>
      </c>
      <c r="R1028" s="70">
        <v>6</v>
      </c>
      <c r="S1028" s="68" t="str">
        <f t="shared" si="41"/>
        <v/>
      </c>
      <c r="T1028" s="68"/>
      <c r="U1028" s="68"/>
      <c r="V1028" s="68"/>
      <c r="W1028" s="9"/>
      <c r="X1028" s="10"/>
      <c r="Y1028" s="71">
        <f t="shared" si="42"/>
        <v>6</v>
      </c>
      <c r="Z1028" s="73">
        <f t="shared" si="43"/>
        <v>6</v>
      </c>
      <c r="AA1028" s="11" t="str">
        <f t="shared" si="44"/>
        <v/>
      </c>
      <c r="AB1028" s="73">
        <f t="shared" si="45"/>
        <v>-1</v>
      </c>
      <c r="AC1028" s="11" t="str">
        <f t="shared" si="46"/>
        <v/>
      </c>
      <c r="AD1028" s="73">
        <f t="shared" si="47"/>
        <v>0</v>
      </c>
      <c r="AE1028" s="11" t="str">
        <f t="shared" si="48"/>
        <v/>
      </c>
      <c r="AF1028" s="73">
        <f t="shared" si="49"/>
        <v>-0.99897199999999997</v>
      </c>
      <c r="AG1028" s="11" t="str">
        <f t="shared" si="50"/>
        <v/>
      </c>
      <c r="AH1028" s="73">
        <f t="shared" si="51"/>
        <v>1.0280000000000001E-3</v>
      </c>
    </row>
    <row r="1029" spans="1:34" ht="14.25" customHeight="1">
      <c r="A1029" s="11">
        <v>1014</v>
      </c>
      <c r="B1029" s="66"/>
      <c r="C1029" s="67"/>
      <c r="D1029" s="67"/>
      <c r="E1029" s="67"/>
      <c r="F1029" s="67"/>
      <c r="G1029" s="67" t="s">
        <v>35</v>
      </c>
      <c r="H1029" s="67">
        <v>46007</v>
      </c>
      <c r="I1029" s="6" t="s">
        <v>1637</v>
      </c>
      <c r="J1029" s="94">
        <v>5698800792</v>
      </c>
      <c r="K1029" s="68">
        <v>45991</v>
      </c>
      <c r="L1029" s="68">
        <v>46022</v>
      </c>
      <c r="M1029" s="68">
        <v>46203</v>
      </c>
      <c r="N1029" s="69">
        <f t="shared" si="39"/>
        <v>7</v>
      </c>
      <c r="O1029" s="69">
        <f t="shared" si="40"/>
        <v>7</v>
      </c>
      <c r="P1029" s="70">
        <v>20</v>
      </c>
      <c r="Q1029" s="70">
        <v>20</v>
      </c>
      <c r="R1029" s="70">
        <v>27</v>
      </c>
      <c r="S1029" s="68" t="str">
        <f t="shared" si="41"/>
        <v/>
      </c>
      <c r="T1029" s="68"/>
      <c r="U1029" s="95"/>
      <c r="V1029" s="68"/>
      <c r="W1029" s="6"/>
      <c r="X1029" s="10"/>
      <c r="Y1029" s="71">
        <f t="shared" si="42"/>
        <v>20</v>
      </c>
      <c r="Z1029" s="73">
        <f t="shared" si="43"/>
        <v>27</v>
      </c>
      <c r="AA1029" s="11" t="str">
        <f t="shared" si="44"/>
        <v/>
      </c>
      <c r="AB1029" s="73">
        <f t="shared" si="45"/>
        <v>7</v>
      </c>
      <c r="AC1029" s="11" t="str">
        <f t="shared" si="46"/>
        <v/>
      </c>
      <c r="AD1029" s="73">
        <f t="shared" si="47"/>
        <v>7</v>
      </c>
      <c r="AE1029" s="11" t="str">
        <f t="shared" si="48"/>
        <v/>
      </c>
      <c r="AF1029" s="73">
        <f t="shared" si="49"/>
        <v>7.0010289999999999</v>
      </c>
      <c r="AG1029" s="11" t="str">
        <f t="shared" si="50"/>
        <v/>
      </c>
      <c r="AH1029" s="73">
        <f t="shared" si="51"/>
        <v>7.0010289999999999</v>
      </c>
    </row>
    <row r="1030" spans="1:34" ht="14.25" customHeight="1">
      <c r="A1030" s="11">
        <v>1015</v>
      </c>
      <c r="B1030" s="66"/>
      <c r="C1030" s="67"/>
      <c r="D1030" s="67"/>
      <c r="E1030" s="67"/>
      <c r="F1030" s="67"/>
      <c r="G1030" s="67" t="s">
        <v>35</v>
      </c>
      <c r="H1030" s="67">
        <v>45513</v>
      </c>
      <c r="I1030" s="6" t="s">
        <v>1638</v>
      </c>
      <c r="J1030" s="9">
        <v>5708701528</v>
      </c>
      <c r="K1030" s="68">
        <v>45504</v>
      </c>
      <c r="L1030" s="68">
        <v>46022</v>
      </c>
      <c r="M1030" s="68">
        <v>46203</v>
      </c>
      <c r="N1030" s="69">
        <f t="shared" si="39"/>
        <v>24</v>
      </c>
      <c r="O1030" s="69">
        <f t="shared" si="40"/>
        <v>13</v>
      </c>
      <c r="P1030" s="70">
        <v>39</v>
      </c>
      <c r="Q1030" s="70">
        <v>50</v>
      </c>
      <c r="R1030" s="70">
        <v>63</v>
      </c>
      <c r="S1030" s="68" t="str">
        <f t="shared" si="41"/>
        <v/>
      </c>
      <c r="T1030" s="68"/>
      <c r="U1030" s="68"/>
      <c r="V1030" s="68"/>
      <c r="W1030" s="9"/>
      <c r="X1030" s="10"/>
      <c r="Y1030" s="71">
        <f t="shared" si="42"/>
        <v>50</v>
      </c>
      <c r="Z1030" s="73">
        <f t="shared" si="43"/>
        <v>63</v>
      </c>
      <c r="AA1030" s="11" t="str">
        <f t="shared" si="44"/>
        <v/>
      </c>
      <c r="AB1030" s="73">
        <f t="shared" si="45"/>
        <v>24</v>
      </c>
      <c r="AC1030" s="11" t="str">
        <f t="shared" si="46"/>
        <v/>
      </c>
      <c r="AD1030" s="73">
        <f t="shared" si="47"/>
        <v>13</v>
      </c>
      <c r="AE1030" s="11" t="str">
        <f t="shared" si="48"/>
        <v/>
      </c>
      <c r="AF1030" s="73">
        <f t="shared" si="49"/>
        <v>24.00103</v>
      </c>
      <c r="AG1030" s="11" t="str">
        <f t="shared" si="50"/>
        <v/>
      </c>
      <c r="AH1030" s="73">
        <f t="shared" si="51"/>
        <v>13.00103</v>
      </c>
    </row>
    <row r="1031" spans="1:34" ht="14.25" customHeight="1">
      <c r="A1031" s="11">
        <v>1016</v>
      </c>
      <c r="B1031" s="66"/>
      <c r="C1031" s="67"/>
      <c r="D1031" s="67"/>
      <c r="E1031" s="67"/>
      <c r="F1031" s="67"/>
      <c r="G1031" s="67" t="s">
        <v>35</v>
      </c>
      <c r="H1031" s="67">
        <v>45474</v>
      </c>
      <c r="I1031" s="6" t="s">
        <v>1639</v>
      </c>
      <c r="J1031" s="9">
        <v>5718102697</v>
      </c>
      <c r="K1031" s="68">
        <v>45473</v>
      </c>
      <c r="L1031" s="68">
        <v>46022</v>
      </c>
      <c r="M1031" s="68">
        <v>46203</v>
      </c>
      <c r="N1031" s="69">
        <f t="shared" si="39"/>
        <v>-1</v>
      </c>
      <c r="O1031" s="69">
        <f t="shared" si="40"/>
        <v>-1</v>
      </c>
      <c r="P1031" s="70">
        <v>10</v>
      </c>
      <c r="Q1031" s="70">
        <v>10</v>
      </c>
      <c r="R1031" s="70">
        <v>9</v>
      </c>
      <c r="S1031" s="68" t="str">
        <f t="shared" si="41"/>
        <v/>
      </c>
      <c r="T1031" s="68"/>
      <c r="U1031" s="68"/>
      <c r="V1031" s="68"/>
      <c r="W1031" s="9"/>
      <c r="X1031" s="10"/>
      <c r="Y1031" s="71">
        <f t="shared" si="42"/>
        <v>10</v>
      </c>
      <c r="Z1031" s="73">
        <f t="shared" si="43"/>
        <v>9</v>
      </c>
      <c r="AA1031" s="11" t="str">
        <f t="shared" si="44"/>
        <v/>
      </c>
      <c r="AB1031" s="73">
        <f t="shared" si="45"/>
        <v>-1</v>
      </c>
      <c r="AC1031" s="11" t="str">
        <f t="shared" si="46"/>
        <v/>
      </c>
      <c r="AD1031" s="73">
        <f t="shared" si="47"/>
        <v>-1</v>
      </c>
      <c r="AE1031" s="11" t="str">
        <f t="shared" si="48"/>
        <v/>
      </c>
      <c r="AF1031" s="73">
        <f t="shared" si="49"/>
        <v>-0.998969</v>
      </c>
      <c r="AG1031" s="11" t="str">
        <f t="shared" si="50"/>
        <v/>
      </c>
      <c r="AH1031" s="73">
        <f t="shared" si="51"/>
        <v>-0.998969</v>
      </c>
    </row>
    <row r="1032" spans="1:34" ht="14.25" customHeight="1">
      <c r="A1032" s="11">
        <v>1017</v>
      </c>
      <c r="B1032" s="66" t="s">
        <v>35</v>
      </c>
      <c r="C1032" s="67"/>
      <c r="D1032" s="67">
        <v>43328</v>
      </c>
      <c r="E1032" s="67"/>
      <c r="F1032" s="67">
        <v>45757</v>
      </c>
      <c r="G1032" s="67" t="s">
        <v>35</v>
      </c>
      <c r="H1032" s="67">
        <v>44330</v>
      </c>
      <c r="I1032" s="6" t="s">
        <v>1640</v>
      </c>
      <c r="J1032" s="9">
        <v>5718700783</v>
      </c>
      <c r="K1032" s="68">
        <v>43312</v>
      </c>
      <c r="L1032" s="68">
        <v>46022</v>
      </c>
      <c r="M1032" s="68">
        <v>46203</v>
      </c>
      <c r="N1032" s="69">
        <f t="shared" si="39"/>
        <v>52</v>
      </c>
      <c r="O1032" s="69">
        <f t="shared" si="40"/>
        <v>-20</v>
      </c>
      <c r="P1032" s="70">
        <v>33</v>
      </c>
      <c r="Q1032" s="70">
        <v>105</v>
      </c>
      <c r="R1032" s="70">
        <v>85</v>
      </c>
      <c r="S1032" s="68" t="str">
        <f t="shared" si="41"/>
        <v/>
      </c>
      <c r="T1032" s="68"/>
      <c r="U1032" s="68"/>
      <c r="V1032" s="68"/>
      <c r="W1032" s="9"/>
      <c r="X1032" s="10"/>
      <c r="Y1032" s="71">
        <f t="shared" si="42"/>
        <v>105</v>
      </c>
      <c r="Z1032" s="73">
        <f t="shared" si="43"/>
        <v>85</v>
      </c>
      <c r="AA1032" s="73">
        <f t="shared" si="44"/>
        <v>52</v>
      </c>
      <c r="AB1032" s="73">
        <f t="shared" si="45"/>
        <v>52</v>
      </c>
      <c r="AC1032" s="73">
        <f t="shared" si="46"/>
        <v>-20</v>
      </c>
      <c r="AD1032" s="73">
        <f t="shared" si="47"/>
        <v>-20</v>
      </c>
      <c r="AE1032" s="73">
        <f t="shared" si="48"/>
        <v>52.001032000000002</v>
      </c>
      <c r="AF1032" s="73">
        <f t="shared" si="49"/>
        <v>52.001032000000002</v>
      </c>
      <c r="AG1032" s="73">
        <f t="shared" si="50"/>
        <v>-19.998968000000001</v>
      </c>
      <c r="AH1032" s="73">
        <f t="shared" si="51"/>
        <v>-19.998968000000001</v>
      </c>
    </row>
    <row r="1033" spans="1:34" ht="14.25" customHeight="1">
      <c r="A1033" s="11">
        <v>1018</v>
      </c>
      <c r="B1033" s="66" t="s">
        <v>35</v>
      </c>
      <c r="C1033" s="67">
        <v>45352</v>
      </c>
      <c r="D1033" s="67"/>
      <c r="E1033" s="67"/>
      <c r="F1033" s="67"/>
      <c r="G1033" s="67" t="s">
        <v>35</v>
      </c>
      <c r="H1033" s="67">
        <v>45475</v>
      </c>
      <c r="I1033" s="6" t="s">
        <v>1641</v>
      </c>
      <c r="J1033" s="9">
        <v>5718703024</v>
      </c>
      <c r="K1033" s="68">
        <v>45351</v>
      </c>
      <c r="L1033" s="68">
        <v>46022</v>
      </c>
      <c r="M1033" s="68">
        <v>46203</v>
      </c>
      <c r="N1033" s="69">
        <f t="shared" si="39"/>
        <v>-2</v>
      </c>
      <c r="O1033" s="69">
        <f t="shared" si="40"/>
        <v>0</v>
      </c>
      <c r="P1033" s="70">
        <v>4</v>
      </c>
      <c r="Q1033" s="70">
        <v>2</v>
      </c>
      <c r="R1033" s="70">
        <v>2</v>
      </c>
      <c r="S1033" s="68" t="str">
        <f t="shared" si="41"/>
        <v/>
      </c>
      <c r="T1033" s="68"/>
      <c r="U1033" s="68"/>
      <c r="V1033" s="68"/>
      <c r="W1033" s="9"/>
      <c r="X1033" s="10"/>
      <c r="Y1033" s="71">
        <f t="shared" si="42"/>
        <v>2</v>
      </c>
      <c r="Z1033" s="73">
        <f t="shared" si="43"/>
        <v>2</v>
      </c>
      <c r="AA1033" s="73">
        <f t="shared" si="44"/>
        <v>-2</v>
      </c>
      <c r="AB1033" s="73">
        <f t="shared" si="45"/>
        <v>-2</v>
      </c>
      <c r="AC1033" s="73">
        <f t="shared" si="46"/>
        <v>0</v>
      </c>
      <c r="AD1033" s="73">
        <f t="shared" si="47"/>
        <v>0</v>
      </c>
      <c r="AE1033" s="73">
        <f t="shared" si="48"/>
        <v>-1.9989669999999999</v>
      </c>
      <c r="AF1033" s="73">
        <f t="shared" si="49"/>
        <v>-1.9989669999999999</v>
      </c>
      <c r="AG1033" s="73">
        <f t="shared" si="50"/>
        <v>1.0330000000000001E-3</v>
      </c>
      <c r="AH1033" s="73">
        <f t="shared" si="51"/>
        <v>1.0330000000000001E-3</v>
      </c>
    </row>
    <row r="1034" spans="1:34" ht="14.25" customHeight="1">
      <c r="A1034" s="11">
        <v>1019</v>
      </c>
      <c r="B1034" s="66"/>
      <c r="C1034" s="67"/>
      <c r="D1034" s="67"/>
      <c r="E1034" s="67"/>
      <c r="F1034" s="67"/>
      <c r="G1034" s="67" t="s">
        <v>35</v>
      </c>
      <c r="H1034" s="67">
        <v>45274</v>
      </c>
      <c r="I1034" s="6" t="s">
        <v>1642</v>
      </c>
      <c r="J1034" s="9">
        <v>5718802056</v>
      </c>
      <c r="K1034" s="68">
        <v>45260</v>
      </c>
      <c r="L1034" s="68">
        <v>46022</v>
      </c>
      <c r="M1034" s="68">
        <v>46203</v>
      </c>
      <c r="N1034" s="69">
        <f t="shared" si="39"/>
        <v>3</v>
      </c>
      <c r="O1034" s="69">
        <f t="shared" si="40"/>
        <v>-2</v>
      </c>
      <c r="P1034" s="70">
        <v>15</v>
      </c>
      <c r="Q1034" s="70">
        <v>20</v>
      </c>
      <c r="R1034" s="70">
        <v>18</v>
      </c>
      <c r="S1034" s="68" t="str">
        <f t="shared" si="41"/>
        <v/>
      </c>
      <c r="T1034" s="68"/>
      <c r="U1034" s="68"/>
      <c r="V1034" s="68"/>
      <c r="W1034" s="9"/>
      <c r="X1034" s="10"/>
      <c r="Y1034" s="71">
        <f t="shared" si="42"/>
        <v>20</v>
      </c>
      <c r="Z1034" s="73">
        <f t="shared" si="43"/>
        <v>18</v>
      </c>
      <c r="AA1034" s="11" t="str">
        <f t="shared" si="44"/>
        <v/>
      </c>
      <c r="AB1034" s="73">
        <f t="shared" si="45"/>
        <v>3</v>
      </c>
      <c r="AC1034" s="11" t="str">
        <f t="shared" si="46"/>
        <v/>
      </c>
      <c r="AD1034" s="73">
        <f t="shared" si="47"/>
        <v>-2</v>
      </c>
      <c r="AE1034" s="11" t="str">
        <f t="shared" si="48"/>
        <v/>
      </c>
      <c r="AF1034" s="73">
        <f t="shared" si="49"/>
        <v>3.0010340000000002</v>
      </c>
      <c r="AG1034" s="11" t="str">
        <f t="shared" si="50"/>
        <v/>
      </c>
      <c r="AH1034" s="73">
        <f t="shared" si="51"/>
        <v>-1.998966</v>
      </c>
    </row>
    <row r="1035" spans="1:34" ht="14.25" customHeight="1">
      <c r="A1035" s="11">
        <v>1020</v>
      </c>
      <c r="B1035" s="66" t="s">
        <v>35</v>
      </c>
      <c r="C1035" s="67">
        <v>45658</v>
      </c>
      <c r="D1035" s="67"/>
      <c r="E1035" s="67">
        <v>45658</v>
      </c>
      <c r="F1035" s="67"/>
      <c r="G1035" s="67" t="s">
        <v>35</v>
      </c>
      <c r="H1035" s="67">
        <v>45667</v>
      </c>
      <c r="I1035" s="6" t="s">
        <v>1643</v>
      </c>
      <c r="J1035" s="9">
        <v>5728102287</v>
      </c>
      <c r="K1035" s="68">
        <v>45657</v>
      </c>
      <c r="L1035" s="68">
        <v>46022</v>
      </c>
      <c r="M1035" s="68">
        <v>46203</v>
      </c>
      <c r="N1035" s="69">
        <f t="shared" si="39"/>
        <v>7</v>
      </c>
      <c r="O1035" s="69">
        <f t="shared" si="40"/>
        <v>-7</v>
      </c>
      <c r="P1035" s="70">
        <v>22</v>
      </c>
      <c r="Q1035" s="70">
        <v>36</v>
      </c>
      <c r="R1035" s="70">
        <v>29</v>
      </c>
      <c r="S1035" s="68" t="str">
        <f t="shared" si="41"/>
        <v/>
      </c>
      <c r="T1035" s="68"/>
      <c r="U1035" s="68"/>
      <c r="V1035" s="68"/>
      <c r="W1035" s="9"/>
      <c r="X1035" s="10"/>
      <c r="Y1035" s="71">
        <f t="shared" si="42"/>
        <v>36</v>
      </c>
      <c r="Z1035" s="73">
        <f t="shared" si="43"/>
        <v>29</v>
      </c>
      <c r="AA1035" s="73">
        <f t="shared" si="44"/>
        <v>7</v>
      </c>
      <c r="AB1035" s="73">
        <f t="shared" si="45"/>
        <v>7</v>
      </c>
      <c r="AC1035" s="73">
        <f t="shared" si="46"/>
        <v>-7</v>
      </c>
      <c r="AD1035" s="73">
        <f t="shared" si="47"/>
        <v>-7</v>
      </c>
      <c r="AE1035" s="73">
        <f t="shared" si="48"/>
        <v>7.0010349999999999</v>
      </c>
      <c r="AF1035" s="73">
        <f t="shared" si="49"/>
        <v>7.0010349999999999</v>
      </c>
      <c r="AG1035" s="73">
        <f t="shared" si="50"/>
        <v>-6.9989650000000001</v>
      </c>
      <c r="AH1035" s="73">
        <f t="shared" si="51"/>
        <v>-6.9989650000000001</v>
      </c>
    </row>
    <row r="1036" spans="1:34" ht="14.25" customHeight="1">
      <c r="A1036" s="11">
        <v>1021</v>
      </c>
      <c r="B1036" s="66"/>
      <c r="C1036" s="67"/>
      <c r="D1036" s="67"/>
      <c r="E1036" s="67"/>
      <c r="F1036" s="67"/>
      <c r="G1036" s="67" t="s">
        <v>35</v>
      </c>
      <c r="H1036" s="67">
        <v>45288</v>
      </c>
      <c r="I1036" s="6" t="s">
        <v>1644</v>
      </c>
      <c r="J1036" s="9">
        <v>5728600324</v>
      </c>
      <c r="K1036" s="68">
        <v>45260</v>
      </c>
      <c r="L1036" s="68">
        <v>46022</v>
      </c>
      <c r="M1036" s="68">
        <v>46203</v>
      </c>
      <c r="N1036" s="69">
        <f t="shared" ref="N1036:N1290" si="52">R1036-P1036</f>
        <v>36</v>
      </c>
      <c r="O1036" s="69">
        <f t="shared" ref="O1036:O1290" si="53">IF(M1036&lt;DATE(2026,1,1),"N/A",IF(K1036&gt;=DATE(2026,1,1),R1036-P1036,R1036-Q1036))</f>
        <v>1</v>
      </c>
      <c r="P1036" s="70">
        <v>104</v>
      </c>
      <c r="Q1036" s="70">
        <v>139</v>
      </c>
      <c r="R1036" s="70">
        <v>140</v>
      </c>
      <c r="S1036" s="68" t="str">
        <f t="shared" ref="S1036:S1290" si="54">IF(OR(LEFT(B1036,6)="Active",G1036="Active"),"",IF(COUNT(C1036,E1036,F1036)&gt;0,IF(COUNT(T1036)=0,"",T1036),IF(COUNT(T1036:W1036)=0,"",MIN(T1036:W1036))))</f>
        <v/>
      </c>
      <c r="T1036" s="68"/>
      <c r="U1036" s="68"/>
      <c r="V1036" s="68"/>
      <c r="W1036" s="9"/>
      <c r="X1036" s="10"/>
      <c r="Y1036" s="71">
        <f t="shared" ref="Y1036:Y1290" si="55">IF($M1036&lt;DATE(2026,1,1),"",IF($K1036&gt;=DATE(2026,1,1),$P1036,$Q1036))</f>
        <v>139</v>
      </c>
      <c r="Z1036" s="73">
        <f t="shared" ref="Z1036:Z1290" si="56">IF($M1036&lt;DATE(2026,1,1),"",$R1036)</f>
        <v>140</v>
      </c>
      <c r="AA1036" s="11" t="str">
        <f t="shared" ref="AA1036:AA1290" si="57">IF($B1036="","",IF(ISNUMBER($N1036),$N1036,""))</f>
        <v/>
      </c>
      <c r="AB1036" s="73">
        <f t="shared" ref="AB1036:AB1290" si="58">IF($G1036="","",IF(ISNUMBER($N1036),$N1036,""))</f>
        <v>36</v>
      </c>
      <c r="AC1036" s="11" t="str">
        <f t="shared" ref="AC1036:AC1290" si="59">IF($B1036="","",IF(ISNUMBER($O1036),$O1036,""))</f>
        <v/>
      </c>
      <c r="AD1036" s="73">
        <f t="shared" ref="AD1036:AD1290" si="60">IF($G1036="","",IF(ISNUMBER($O1036),$O1036,""))</f>
        <v>1</v>
      </c>
      <c r="AE1036" s="11" t="str">
        <f t="shared" ref="AE1036:AE1290" si="61">IF($AA1036="","",$AA1036+ROW()/1000000)</f>
        <v/>
      </c>
      <c r="AF1036" s="73">
        <f t="shared" ref="AF1036:AF1290" si="62">IF($AB1036="","",$AB1036+ROW()/1000000)</f>
        <v>36.001035999999999</v>
      </c>
      <c r="AG1036" s="11" t="str">
        <f t="shared" ref="AG1036:AG1290" si="63">IF($AC1036="","",$AC1036+ROW()/1000000)</f>
        <v/>
      </c>
      <c r="AH1036" s="73">
        <f t="shared" ref="AH1036:AH1290" si="64">IF($AD1036="","",$AD1036+ROW()/1000000)</f>
        <v>1.001036</v>
      </c>
    </row>
    <row r="1037" spans="1:34" ht="14.25" customHeight="1">
      <c r="A1037" s="11">
        <v>1022</v>
      </c>
      <c r="B1037" s="66"/>
      <c r="C1037" s="67"/>
      <c r="D1037" s="67"/>
      <c r="E1037" s="67"/>
      <c r="F1037" s="67"/>
      <c r="G1037" s="67" t="s">
        <v>35</v>
      </c>
      <c r="H1037" s="67">
        <v>44812</v>
      </c>
      <c r="I1037" s="6" t="s">
        <v>1645</v>
      </c>
      <c r="J1037" s="9">
        <v>5728602259</v>
      </c>
      <c r="K1037" s="68">
        <v>44804</v>
      </c>
      <c r="L1037" s="68">
        <v>46022</v>
      </c>
      <c r="M1037" s="68">
        <v>46203</v>
      </c>
      <c r="N1037" s="69">
        <f t="shared" si="52"/>
        <v>-2</v>
      </c>
      <c r="O1037" s="69">
        <f t="shared" si="53"/>
        <v>-2</v>
      </c>
      <c r="P1037" s="70">
        <v>15</v>
      </c>
      <c r="Q1037" s="70">
        <v>15</v>
      </c>
      <c r="R1037" s="70">
        <v>13</v>
      </c>
      <c r="S1037" s="68" t="str">
        <f t="shared" si="54"/>
        <v/>
      </c>
      <c r="T1037" s="68"/>
      <c r="U1037" s="68"/>
      <c r="V1037" s="68"/>
      <c r="W1037" s="9"/>
      <c r="X1037" s="10"/>
      <c r="Y1037" s="71">
        <f t="shared" si="55"/>
        <v>15</v>
      </c>
      <c r="Z1037" s="73">
        <f t="shared" si="56"/>
        <v>13</v>
      </c>
      <c r="AA1037" s="11" t="str">
        <f t="shared" si="57"/>
        <v/>
      </c>
      <c r="AB1037" s="73">
        <f t="shared" si="58"/>
        <v>-2</v>
      </c>
      <c r="AC1037" s="11" t="str">
        <f t="shared" si="59"/>
        <v/>
      </c>
      <c r="AD1037" s="73">
        <f t="shared" si="60"/>
        <v>-2</v>
      </c>
      <c r="AE1037" s="11" t="str">
        <f t="shared" si="61"/>
        <v/>
      </c>
      <c r="AF1037" s="73">
        <f t="shared" si="62"/>
        <v>-1.998963</v>
      </c>
      <c r="AG1037" s="11" t="str">
        <f t="shared" si="63"/>
        <v/>
      </c>
      <c r="AH1037" s="73">
        <f t="shared" si="64"/>
        <v>-1.998963</v>
      </c>
    </row>
    <row r="1038" spans="1:34" ht="14.25" customHeight="1">
      <c r="A1038" s="11">
        <v>1023</v>
      </c>
      <c r="B1038" s="66"/>
      <c r="C1038" s="67"/>
      <c r="D1038" s="67"/>
      <c r="E1038" s="67"/>
      <c r="F1038" s="67"/>
      <c r="G1038" s="67" t="s">
        <v>35</v>
      </c>
      <c r="H1038" s="67">
        <v>45503</v>
      </c>
      <c r="I1038" s="6" t="s">
        <v>1646</v>
      </c>
      <c r="J1038" s="9">
        <v>5728602360</v>
      </c>
      <c r="K1038" s="68">
        <v>45473</v>
      </c>
      <c r="L1038" s="68">
        <v>46022</v>
      </c>
      <c r="M1038" s="68">
        <v>46203</v>
      </c>
      <c r="N1038" s="69">
        <f t="shared" si="52"/>
        <v>13</v>
      </c>
      <c r="O1038" s="69">
        <f t="shared" si="53"/>
        <v>0</v>
      </c>
      <c r="P1038" s="70">
        <v>47</v>
      </c>
      <c r="Q1038" s="70">
        <v>60</v>
      </c>
      <c r="R1038" s="70">
        <v>60</v>
      </c>
      <c r="S1038" s="68" t="str">
        <f t="shared" si="54"/>
        <v/>
      </c>
      <c r="T1038" s="68"/>
      <c r="U1038" s="68"/>
      <c r="V1038" s="68"/>
      <c r="W1038" s="9"/>
      <c r="X1038" s="10"/>
      <c r="Y1038" s="71">
        <f t="shared" si="55"/>
        <v>60</v>
      </c>
      <c r="Z1038" s="73">
        <f t="shared" si="56"/>
        <v>60</v>
      </c>
      <c r="AA1038" s="11" t="str">
        <f t="shared" si="57"/>
        <v/>
      </c>
      <c r="AB1038" s="73">
        <f t="shared" si="58"/>
        <v>13</v>
      </c>
      <c r="AC1038" s="11" t="str">
        <f t="shared" si="59"/>
        <v/>
      </c>
      <c r="AD1038" s="73">
        <f t="shared" si="60"/>
        <v>0</v>
      </c>
      <c r="AE1038" s="11" t="str">
        <f t="shared" si="61"/>
        <v/>
      </c>
      <c r="AF1038" s="73">
        <f t="shared" si="62"/>
        <v>13.001037999999999</v>
      </c>
      <c r="AG1038" s="11" t="str">
        <f t="shared" si="63"/>
        <v/>
      </c>
      <c r="AH1038" s="73">
        <f t="shared" si="64"/>
        <v>1.0380000000000001E-3</v>
      </c>
    </row>
    <row r="1039" spans="1:34" ht="14.25" customHeight="1">
      <c r="A1039" s="11">
        <v>1024</v>
      </c>
      <c r="B1039" s="66" t="s">
        <v>35</v>
      </c>
      <c r="C1039" s="67">
        <v>45352</v>
      </c>
      <c r="D1039" s="67"/>
      <c r="E1039" s="67"/>
      <c r="F1039" s="67"/>
      <c r="G1039" s="67"/>
      <c r="H1039" s="67"/>
      <c r="I1039" s="6" t="s">
        <v>1647</v>
      </c>
      <c r="J1039" s="9">
        <v>5728702431</v>
      </c>
      <c r="K1039" s="68">
        <v>45351</v>
      </c>
      <c r="L1039" s="68">
        <v>46022</v>
      </c>
      <c r="M1039" s="68">
        <v>46203</v>
      </c>
      <c r="N1039" s="69">
        <f t="shared" si="52"/>
        <v>3</v>
      </c>
      <c r="O1039" s="69">
        <f t="shared" si="53"/>
        <v>1</v>
      </c>
      <c r="P1039" s="70">
        <v>4</v>
      </c>
      <c r="Q1039" s="70">
        <v>6</v>
      </c>
      <c r="R1039" s="70">
        <v>7</v>
      </c>
      <c r="S1039" s="68" t="str">
        <f t="shared" si="54"/>
        <v/>
      </c>
      <c r="T1039" s="68"/>
      <c r="U1039" s="68"/>
      <c r="V1039" s="68"/>
      <c r="W1039" s="9"/>
      <c r="X1039" s="10"/>
      <c r="Y1039" s="71">
        <f t="shared" si="55"/>
        <v>6</v>
      </c>
      <c r="Z1039" s="73">
        <f t="shared" si="56"/>
        <v>7</v>
      </c>
      <c r="AA1039" s="73">
        <f t="shared" si="57"/>
        <v>3</v>
      </c>
      <c r="AB1039" s="11" t="str">
        <f t="shared" si="58"/>
        <v/>
      </c>
      <c r="AC1039" s="73">
        <f t="shared" si="59"/>
        <v>1</v>
      </c>
      <c r="AD1039" s="11" t="str">
        <f t="shared" si="60"/>
        <v/>
      </c>
      <c r="AE1039" s="73">
        <f t="shared" si="61"/>
        <v>3.001039</v>
      </c>
      <c r="AF1039" s="11" t="str">
        <f t="shared" si="62"/>
        <v/>
      </c>
      <c r="AG1039" s="73">
        <f t="shared" si="63"/>
        <v>1.001039</v>
      </c>
      <c r="AH1039" s="11" t="str">
        <f t="shared" si="64"/>
        <v/>
      </c>
    </row>
    <row r="1040" spans="1:34" ht="14.25" customHeight="1">
      <c r="A1040" s="11">
        <v>1025</v>
      </c>
      <c r="B1040" s="66"/>
      <c r="C1040" s="67"/>
      <c r="D1040" s="67"/>
      <c r="E1040" s="67"/>
      <c r="F1040" s="67"/>
      <c r="G1040" s="67" t="s">
        <v>35</v>
      </c>
      <c r="H1040" s="67">
        <v>45275</v>
      </c>
      <c r="I1040" s="6" t="s">
        <v>1648</v>
      </c>
      <c r="J1040" s="9">
        <v>5738701736</v>
      </c>
      <c r="K1040" s="68">
        <v>45260</v>
      </c>
      <c r="L1040" s="68">
        <v>46022</v>
      </c>
      <c r="M1040" s="68">
        <v>46203</v>
      </c>
      <c r="N1040" s="69">
        <f t="shared" si="52"/>
        <v>0</v>
      </c>
      <c r="O1040" s="69">
        <f t="shared" si="53"/>
        <v>-1</v>
      </c>
      <c r="P1040" s="70">
        <v>7</v>
      </c>
      <c r="Q1040" s="70">
        <v>8</v>
      </c>
      <c r="R1040" s="70">
        <v>7</v>
      </c>
      <c r="S1040" s="68" t="str">
        <f t="shared" si="54"/>
        <v/>
      </c>
      <c r="T1040" s="68"/>
      <c r="U1040" s="68"/>
      <c r="V1040" s="68"/>
      <c r="W1040" s="9"/>
      <c r="X1040" s="10"/>
      <c r="Y1040" s="71">
        <f t="shared" si="55"/>
        <v>8</v>
      </c>
      <c r="Z1040" s="73">
        <f t="shared" si="56"/>
        <v>7</v>
      </c>
      <c r="AA1040" s="11" t="str">
        <f t="shared" si="57"/>
        <v/>
      </c>
      <c r="AB1040" s="73">
        <f t="shared" si="58"/>
        <v>0</v>
      </c>
      <c r="AC1040" s="11" t="str">
        <f t="shared" si="59"/>
        <v/>
      </c>
      <c r="AD1040" s="73">
        <f t="shared" si="60"/>
        <v>-1</v>
      </c>
      <c r="AE1040" s="11" t="str">
        <f t="shared" si="61"/>
        <v/>
      </c>
      <c r="AF1040" s="73">
        <f t="shared" si="62"/>
        <v>1.0399999999999999E-3</v>
      </c>
      <c r="AG1040" s="11" t="str">
        <f t="shared" si="63"/>
        <v/>
      </c>
      <c r="AH1040" s="73">
        <f t="shared" si="64"/>
        <v>-0.99895999999999996</v>
      </c>
    </row>
    <row r="1041" spans="1:34" ht="14.25" customHeight="1">
      <c r="A1041" s="11">
        <v>1026</v>
      </c>
      <c r="B1041" s="66"/>
      <c r="C1041" s="67"/>
      <c r="D1041" s="67"/>
      <c r="E1041" s="67"/>
      <c r="F1041" s="67"/>
      <c r="G1041" s="67" t="s">
        <v>35</v>
      </c>
      <c r="H1041" s="67">
        <v>44012</v>
      </c>
      <c r="I1041" s="6" t="s">
        <v>1649</v>
      </c>
      <c r="J1041" s="9">
        <v>5738801000</v>
      </c>
      <c r="K1041" s="68">
        <v>43982</v>
      </c>
      <c r="L1041" s="68">
        <v>46022</v>
      </c>
      <c r="M1041" s="68">
        <v>46203</v>
      </c>
      <c r="N1041" s="69">
        <f t="shared" si="52"/>
        <v>0</v>
      </c>
      <c r="O1041" s="69">
        <f t="shared" si="53"/>
        <v>0</v>
      </c>
      <c r="P1041" s="70">
        <v>8</v>
      </c>
      <c r="Q1041" s="70">
        <v>8</v>
      </c>
      <c r="R1041" s="70">
        <v>8</v>
      </c>
      <c r="S1041" s="68" t="str">
        <f t="shared" si="54"/>
        <v/>
      </c>
      <c r="T1041" s="68"/>
      <c r="U1041" s="68"/>
      <c r="V1041" s="68"/>
      <c r="W1041" s="9"/>
      <c r="X1041" s="10"/>
      <c r="Y1041" s="71">
        <f t="shared" si="55"/>
        <v>8</v>
      </c>
      <c r="Z1041" s="73">
        <f t="shared" si="56"/>
        <v>8</v>
      </c>
      <c r="AA1041" s="11" t="str">
        <f t="shared" si="57"/>
        <v/>
      </c>
      <c r="AB1041" s="73">
        <f t="shared" si="58"/>
        <v>0</v>
      </c>
      <c r="AC1041" s="11" t="str">
        <f t="shared" si="59"/>
        <v/>
      </c>
      <c r="AD1041" s="73">
        <f t="shared" si="60"/>
        <v>0</v>
      </c>
      <c r="AE1041" s="11" t="str">
        <f t="shared" si="61"/>
        <v/>
      </c>
      <c r="AF1041" s="73">
        <f t="shared" si="62"/>
        <v>1.041E-3</v>
      </c>
      <c r="AG1041" s="11" t="str">
        <f t="shared" si="63"/>
        <v/>
      </c>
      <c r="AH1041" s="73">
        <f t="shared" si="64"/>
        <v>1.041E-3</v>
      </c>
    </row>
    <row r="1042" spans="1:34" ht="14.25" customHeight="1">
      <c r="A1042" s="11">
        <v>1027</v>
      </c>
      <c r="B1042" s="66" t="s">
        <v>35</v>
      </c>
      <c r="C1042" s="67">
        <v>46023</v>
      </c>
      <c r="D1042" s="67">
        <v>46049</v>
      </c>
      <c r="E1042" s="67">
        <v>46023</v>
      </c>
      <c r="F1042" s="67"/>
      <c r="G1042" s="67" t="s">
        <v>35</v>
      </c>
      <c r="H1042" s="67">
        <v>45463</v>
      </c>
      <c r="I1042" s="6" t="s">
        <v>1650</v>
      </c>
      <c r="J1042" s="9">
        <v>5748102449</v>
      </c>
      <c r="K1042" s="68">
        <v>45443</v>
      </c>
      <c r="L1042" s="68">
        <v>46022</v>
      </c>
      <c r="M1042" s="68">
        <v>46203</v>
      </c>
      <c r="N1042" s="69">
        <f t="shared" si="52"/>
        <v>2</v>
      </c>
      <c r="O1042" s="69">
        <f t="shared" si="53"/>
        <v>1</v>
      </c>
      <c r="P1042" s="70">
        <v>8</v>
      </c>
      <c r="Q1042" s="70">
        <v>9</v>
      </c>
      <c r="R1042" s="70">
        <v>10</v>
      </c>
      <c r="S1042" s="68" t="str">
        <f t="shared" si="54"/>
        <v/>
      </c>
      <c r="T1042" s="68"/>
      <c r="U1042" s="68"/>
      <c r="V1042" s="68"/>
      <c r="W1042" s="9"/>
      <c r="X1042" s="10"/>
      <c r="Y1042" s="71">
        <f t="shared" si="55"/>
        <v>9</v>
      </c>
      <c r="Z1042" s="73">
        <f t="shared" si="56"/>
        <v>10</v>
      </c>
      <c r="AA1042" s="73">
        <f t="shared" si="57"/>
        <v>2</v>
      </c>
      <c r="AB1042" s="73">
        <f t="shared" si="58"/>
        <v>2</v>
      </c>
      <c r="AC1042" s="73">
        <f t="shared" si="59"/>
        <v>1</v>
      </c>
      <c r="AD1042" s="73">
        <f t="shared" si="60"/>
        <v>1</v>
      </c>
      <c r="AE1042" s="73">
        <f t="shared" si="61"/>
        <v>2.001042</v>
      </c>
      <c r="AF1042" s="73">
        <f t="shared" si="62"/>
        <v>2.001042</v>
      </c>
      <c r="AG1042" s="73">
        <f t="shared" si="63"/>
        <v>1.001042</v>
      </c>
      <c r="AH1042" s="73">
        <f t="shared" si="64"/>
        <v>1.001042</v>
      </c>
    </row>
    <row r="1043" spans="1:34" ht="14.25" customHeight="1">
      <c r="A1043" s="11">
        <v>1028</v>
      </c>
      <c r="B1043" s="66" t="s">
        <v>35</v>
      </c>
      <c r="C1043" s="67">
        <v>45261</v>
      </c>
      <c r="D1043" s="67"/>
      <c r="E1043" s="67"/>
      <c r="F1043" s="67"/>
      <c r="G1043" s="67"/>
      <c r="H1043" s="67"/>
      <c r="I1043" s="6" t="s">
        <v>1651</v>
      </c>
      <c r="J1043" s="9">
        <v>5748102814</v>
      </c>
      <c r="K1043" s="68">
        <v>45260</v>
      </c>
      <c r="L1043" s="68">
        <v>46022</v>
      </c>
      <c r="M1043" s="68">
        <v>46203</v>
      </c>
      <c r="N1043" s="69">
        <f t="shared" si="52"/>
        <v>1</v>
      </c>
      <c r="O1043" s="69">
        <f t="shared" si="53"/>
        <v>0</v>
      </c>
      <c r="P1043" s="70">
        <v>3</v>
      </c>
      <c r="Q1043" s="70">
        <v>4</v>
      </c>
      <c r="R1043" s="70">
        <v>4</v>
      </c>
      <c r="S1043" s="68" t="str">
        <f t="shared" si="54"/>
        <v/>
      </c>
      <c r="T1043" s="68"/>
      <c r="U1043" s="68"/>
      <c r="V1043" s="68"/>
      <c r="W1043" s="9"/>
      <c r="X1043" s="10"/>
      <c r="Y1043" s="71">
        <f t="shared" si="55"/>
        <v>4</v>
      </c>
      <c r="Z1043" s="73">
        <f t="shared" si="56"/>
        <v>4</v>
      </c>
      <c r="AA1043" s="73">
        <f t="shared" si="57"/>
        <v>1</v>
      </c>
      <c r="AB1043" s="11" t="str">
        <f t="shared" si="58"/>
        <v/>
      </c>
      <c r="AC1043" s="73">
        <f t="shared" si="59"/>
        <v>0</v>
      </c>
      <c r="AD1043" s="11" t="str">
        <f t="shared" si="60"/>
        <v/>
      </c>
      <c r="AE1043" s="73">
        <f t="shared" si="61"/>
        <v>1.0010429999999999</v>
      </c>
      <c r="AF1043" s="11" t="str">
        <f t="shared" si="62"/>
        <v/>
      </c>
      <c r="AG1043" s="73">
        <f t="shared" si="63"/>
        <v>1.0430000000000001E-3</v>
      </c>
      <c r="AH1043" s="11" t="str">
        <f t="shared" si="64"/>
        <v/>
      </c>
    </row>
    <row r="1044" spans="1:34" ht="14.25" customHeight="1">
      <c r="A1044" s="11">
        <v>1029</v>
      </c>
      <c r="B1044" s="66"/>
      <c r="C1044" s="67"/>
      <c r="D1044" s="67"/>
      <c r="E1044" s="67"/>
      <c r="F1044" s="67"/>
      <c r="G1044" s="67" t="s">
        <v>35</v>
      </c>
      <c r="H1044" s="67">
        <v>45357</v>
      </c>
      <c r="I1044" s="6" t="s">
        <v>1652</v>
      </c>
      <c r="J1044" s="9">
        <v>5748701423</v>
      </c>
      <c r="K1044" s="68">
        <v>45351</v>
      </c>
      <c r="L1044" s="68">
        <v>46022</v>
      </c>
      <c r="M1044" s="68">
        <v>46203</v>
      </c>
      <c r="N1044" s="69">
        <f t="shared" si="52"/>
        <v>0</v>
      </c>
      <c r="O1044" s="69">
        <f t="shared" si="53"/>
        <v>1</v>
      </c>
      <c r="P1044" s="70">
        <v>36</v>
      </c>
      <c r="Q1044" s="70">
        <v>35</v>
      </c>
      <c r="R1044" s="70">
        <v>36</v>
      </c>
      <c r="S1044" s="68" t="str">
        <f t="shared" si="54"/>
        <v/>
      </c>
      <c r="T1044" s="68"/>
      <c r="U1044" s="68"/>
      <c r="V1044" s="68"/>
      <c r="W1044" s="9"/>
      <c r="X1044" s="10"/>
      <c r="Y1044" s="71">
        <f t="shared" si="55"/>
        <v>35</v>
      </c>
      <c r="Z1044" s="73">
        <f t="shared" si="56"/>
        <v>36</v>
      </c>
      <c r="AA1044" s="11" t="str">
        <f t="shared" si="57"/>
        <v/>
      </c>
      <c r="AB1044" s="73">
        <f t="shared" si="58"/>
        <v>0</v>
      </c>
      <c r="AC1044" s="11" t="str">
        <f t="shared" si="59"/>
        <v/>
      </c>
      <c r="AD1044" s="73">
        <f t="shared" si="60"/>
        <v>1</v>
      </c>
      <c r="AE1044" s="11" t="str">
        <f t="shared" si="61"/>
        <v/>
      </c>
      <c r="AF1044" s="73">
        <f t="shared" si="62"/>
        <v>1.044E-3</v>
      </c>
      <c r="AG1044" s="11" t="str">
        <f t="shared" si="63"/>
        <v/>
      </c>
      <c r="AH1044" s="73">
        <f t="shared" si="64"/>
        <v>1.001044</v>
      </c>
    </row>
    <row r="1045" spans="1:34" ht="14.25" customHeight="1">
      <c r="A1045" s="11">
        <v>1030</v>
      </c>
      <c r="B1045" s="66" t="s">
        <v>35</v>
      </c>
      <c r="C1045" s="67">
        <v>45352</v>
      </c>
      <c r="D1045" s="67"/>
      <c r="E1045" s="67"/>
      <c r="F1045" s="67"/>
      <c r="G1045" s="67" t="s">
        <v>35</v>
      </c>
      <c r="H1045" s="67">
        <v>45379</v>
      </c>
      <c r="I1045" s="6" t="s">
        <v>1653</v>
      </c>
      <c r="J1045" s="9">
        <v>5758102914</v>
      </c>
      <c r="K1045" s="68">
        <v>45351</v>
      </c>
      <c r="L1045" s="68">
        <v>46022</v>
      </c>
      <c r="M1045" s="68">
        <v>46203</v>
      </c>
      <c r="N1045" s="69">
        <f t="shared" si="52"/>
        <v>7</v>
      </c>
      <c r="O1045" s="69">
        <f t="shared" si="53"/>
        <v>-1</v>
      </c>
      <c r="P1045" s="70">
        <v>4</v>
      </c>
      <c r="Q1045" s="70">
        <v>12</v>
      </c>
      <c r="R1045" s="70">
        <v>11</v>
      </c>
      <c r="S1045" s="68" t="str">
        <f t="shared" si="54"/>
        <v/>
      </c>
      <c r="T1045" s="68"/>
      <c r="U1045" s="68"/>
      <c r="V1045" s="68"/>
      <c r="W1045" s="9"/>
      <c r="X1045" s="10"/>
      <c r="Y1045" s="71">
        <f t="shared" si="55"/>
        <v>12</v>
      </c>
      <c r="Z1045" s="73">
        <f t="shared" si="56"/>
        <v>11</v>
      </c>
      <c r="AA1045" s="73">
        <f t="shared" si="57"/>
        <v>7</v>
      </c>
      <c r="AB1045" s="73">
        <f t="shared" si="58"/>
        <v>7</v>
      </c>
      <c r="AC1045" s="73">
        <f t="shared" si="59"/>
        <v>-1</v>
      </c>
      <c r="AD1045" s="73">
        <f t="shared" si="60"/>
        <v>-1</v>
      </c>
      <c r="AE1045" s="73">
        <f t="shared" si="61"/>
        <v>7.0010450000000004</v>
      </c>
      <c r="AF1045" s="73">
        <f t="shared" si="62"/>
        <v>7.0010450000000004</v>
      </c>
      <c r="AG1045" s="73">
        <f t="shared" si="63"/>
        <v>-0.99895500000000004</v>
      </c>
      <c r="AH1045" s="73">
        <f t="shared" si="64"/>
        <v>-0.99895500000000004</v>
      </c>
    </row>
    <row r="1046" spans="1:34" ht="14.25" customHeight="1">
      <c r="A1046" s="11">
        <v>1031</v>
      </c>
      <c r="B1046" s="66"/>
      <c r="C1046" s="67"/>
      <c r="D1046" s="67"/>
      <c r="E1046" s="67"/>
      <c r="F1046" s="67"/>
      <c r="G1046" s="67" t="s">
        <v>35</v>
      </c>
      <c r="H1046" s="67">
        <v>45366</v>
      </c>
      <c r="I1046" s="6" t="s">
        <v>1654</v>
      </c>
      <c r="J1046" s="9">
        <v>5758702352</v>
      </c>
      <c r="K1046" s="68">
        <v>45351</v>
      </c>
      <c r="L1046" s="68">
        <v>46022</v>
      </c>
      <c r="M1046" s="68">
        <v>46203</v>
      </c>
      <c r="N1046" s="69">
        <f t="shared" si="52"/>
        <v>28</v>
      </c>
      <c r="O1046" s="69">
        <f t="shared" si="53"/>
        <v>5</v>
      </c>
      <c r="P1046" s="70">
        <v>4</v>
      </c>
      <c r="Q1046" s="70">
        <v>27</v>
      </c>
      <c r="R1046" s="70">
        <v>32</v>
      </c>
      <c r="S1046" s="68" t="str">
        <f t="shared" si="54"/>
        <v/>
      </c>
      <c r="T1046" s="68"/>
      <c r="U1046" s="68"/>
      <c r="V1046" s="68"/>
      <c r="W1046" s="9"/>
      <c r="X1046" s="10"/>
      <c r="Y1046" s="71">
        <f t="shared" si="55"/>
        <v>27</v>
      </c>
      <c r="Z1046" s="73">
        <f t="shared" si="56"/>
        <v>32</v>
      </c>
      <c r="AA1046" s="11" t="str">
        <f t="shared" si="57"/>
        <v/>
      </c>
      <c r="AB1046" s="73">
        <f t="shared" si="58"/>
        <v>28</v>
      </c>
      <c r="AC1046" s="11" t="str">
        <f t="shared" si="59"/>
        <v/>
      </c>
      <c r="AD1046" s="73">
        <f t="shared" si="60"/>
        <v>5</v>
      </c>
      <c r="AE1046" s="11" t="str">
        <f t="shared" si="61"/>
        <v/>
      </c>
      <c r="AF1046" s="73">
        <f t="shared" si="62"/>
        <v>28.001045999999999</v>
      </c>
      <c r="AG1046" s="11" t="str">
        <f t="shared" si="63"/>
        <v/>
      </c>
      <c r="AH1046" s="73">
        <f t="shared" si="64"/>
        <v>5.0010459999999997</v>
      </c>
    </row>
    <row r="1047" spans="1:34" ht="14.25" customHeight="1">
      <c r="A1047" s="11">
        <v>1032</v>
      </c>
      <c r="B1047" s="66"/>
      <c r="C1047" s="67"/>
      <c r="D1047" s="67"/>
      <c r="E1047" s="67"/>
      <c r="F1047" s="67"/>
      <c r="G1047" s="67" t="s">
        <v>35</v>
      </c>
      <c r="H1047" s="67">
        <v>45779</v>
      </c>
      <c r="I1047" s="6" t="s">
        <v>1655</v>
      </c>
      <c r="J1047" s="9">
        <v>5768103560</v>
      </c>
      <c r="K1047" s="68">
        <v>45777</v>
      </c>
      <c r="L1047" s="68">
        <v>46022</v>
      </c>
      <c r="M1047" s="68">
        <v>46203</v>
      </c>
      <c r="N1047" s="69">
        <f t="shared" si="52"/>
        <v>0</v>
      </c>
      <c r="O1047" s="69">
        <f t="shared" si="53"/>
        <v>0</v>
      </c>
      <c r="P1047" s="123">
        <v>0</v>
      </c>
      <c r="Q1047" s="70">
        <v>0</v>
      </c>
      <c r="R1047" s="70">
        <v>0</v>
      </c>
      <c r="S1047" s="68" t="str">
        <f t="shared" si="54"/>
        <v/>
      </c>
      <c r="T1047" s="68"/>
      <c r="U1047" s="68"/>
      <c r="V1047" s="68"/>
      <c r="W1047" s="9"/>
      <c r="X1047" s="10"/>
      <c r="Y1047" s="71">
        <f t="shared" si="55"/>
        <v>0</v>
      </c>
      <c r="Z1047" s="73">
        <f t="shared" si="56"/>
        <v>0</v>
      </c>
      <c r="AA1047" s="11" t="str">
        <f t="shared" si="57"/>
        <v/>
      </c>
      <c r="AB1047" s="73">
        <f t="shared" si="58"/>
        <v>0</v>
      </c>
      <c r="AC1047" s="11" t="str">
        <f t="shared" si="59"/>
        <v/>
      </c>
      <c r="AD1047" s="73">
        <f t="shared" si="60"/>
        <v>0</v>
      </c>
      <c r="AE1047" s="11" t="str">
        <f t="shared" si="61"/>
        <v/>
      </c>
      <c r="AF1047" s="73">
        <f t="shared" si="62"/>
        <v>1.047E-3</v>
      </c>
      <c r="AG1047" s="11" t="str">
        <f t="shared" si="63"/>
        <v/>
      </c>
      <c r="AH1047" s="73">
        <f t="shared" si="64"/>
        <v>1.047E-3</v>
      </c>
    </row>
    <row r="1048" spans="1:34" ht="14.25" customHeight="1">
      <c r="A1048" s="11">
        <v>1033</v>
      </c>
      <c r="B1048" s="66"/>
      <c r="C1048" s="67"/>
      <c r="D1048" s="67"/>
      <c r="E1048" s="67"/>
      <c r="F1048" s="67"/>
      <c r="G1048" s="67" t="s">
        <v>35</v>
      </c>
      <c r="H1048" s="67">
        <v>44440</v>
      </c>
      <c r="I1048" s="6" t="s">
        <v>1656</v>
      </c>
      <c r="J1048" s="9">
        <v>5768801483</v>
      </c>
      <c r="K1048" s="68">
        <v>44439</v>
      </c>
      <c r="L1048" s="68">
        <v>46022</v>
      </c>
      <c r="M1048" s="68">
        <v>46203</v>
      </c>
      <c r="N1048" s="69">
        <f t="shared" si="52"/>
        <v>18</v>
      </c>
      <c r="O1048" s="69">
        <f t="shared" si="53"/>
        <v>5</v>
      </c>
      <c r="P1048" s="70">
        <v>9</v>
      </c>
      <c r="Q1048" s="70">
        <v>22</v>
      </c>
      <c r="R1048" s="70">
        <v>27</v>
      </c>
      <c r="S1048" s="68" t="str">
        <f t="shared" si="54"/>
        <v/>
      </c>
      <c r="T1048" s="68"/>
      <c r="U1048" s="68"/>
      <c r="V1048" s="68"/>
      <c r="W1048" s="9"/>
      <c r="X1048" s="10"/>
      <c r="Y1048" s="71">
        <f t="shared" si="55"/>
        <v>22</v>
      </c>
      <c r="Z1048" s="73">
        <f t="shared" si="56"/>
        <v>27</v>
      </c>
      <c r="AA1048" s="11" t="str">
        <f t="shared" si="57"/>
        <v/>
      </c>
      <c r="AB1048" s="73">
        <f t="shared" si="58"/>
        <v>18</v>
      </c>
      <c r="AC1048" s="11" t="str">
        <f t="shared" si="59"/>
        <v/>
      </c>
      <c r="AD1048" s="73">
        <f t="shared" si="60"/>
        <v>5</v>
      </c>
      <c r="AE1048" s="11" t="str">
        <f t="shared" si="61"/>
        <v/>
      </c>
      <c r="AF1048" s="73">
        <f t="shared" si="62"/>
        <v>18.001048000000001</v>
      </c>
      <c r="AG1048" s="11" t="str">
        <f t="shared" si="63"/>
        <v/>
      </c>
      <c r="AH1048" s="73">
        <f t="shared" si="64"/>
        <v>5.0010479999999999</v>
      </c>
    </row>
    <row r="1049" spans="1:34" ht="14.25" customHeight="1">
      <c r="A1049" s="11">
        <v>1034</v>
      </c>
      <c r="B1049" s="66" t="s">
        <v>35</v>
      </c>
      <c r="C1049" s="67">
        <v>42552</v>
      </c>
      <c r="D1049" s="67"/>
      <c r="E1049" s="67"/>
      <c r="F1049" s="67"/>
      <c r="G1049" s="67"/>
      <c r="H1049" s="67"/>
      <c r="I1049" s="6" t="s">
        <v>1657</v>
      </c>
      <c r="J1049" s="9">
        <v>5778100625</v>
      </c>
      <c r="K1049" s="68">
        <v>42551</v>
      </c>
      <c r="L1049" s="68">
        <v>46022</v>
      </c>
      <c r="M1049" s="68">
        <v>46203</v>
      </c>
      <c r="N1049" s="69">
        <f t="shared" si="52"/>
        <v>2</v>
      </c>
      <c r="O1049" s="69">
        <f t="shared" si="53"/>
        <v>-1</v>
      </c>
      <c r="P1049" s="70">
        <v>0</v>
      </c>
      <c r="Q1049" s="70">
        <v>3</v>
      </c>
      <c r="R1049" s="70">
        <v>2</v>
      </c>
      <c r="S1049" s="68" t="str">
        <f t="shared" si="54"/>
        <v/>
      </c>
      <c r="T1049" s="68"/>
      <c r="U1049" s="68"/>
      <c r="V1049" s="68"/>
      <c r="W1049" s="9"/>
      <c r="X1049" s="10"/>
      <c r="Y1049" s="71">
        <f t="shared" si="55"/>
        <v>3</v>
      </c>
      <c r="Z1049" s="73">
        <f t="shared" si="56"/>
        <v>2</v>
      </c>
      <c r="AA1049" s="73">
        <f t="shared" si="57"/>
        <v>2</v>
      </c>
      <c r="AB1049" s="11" t="str">
        <f t="shared" si="58"/>
        <v/>
      </c>
      <c r="AC1049" s="73">
        <f t="shared" si="59"/>
        <v>-1</v>
      </c>
      <c r="AD1049" s="11" t="str">
        <f t="shared" si="60"/>
        <v/>
      </c>
      <c r="AE1049" s="73">
        <f t="shared" si="61"/>
        <v>2.0010490000000001</v>
      </c>
      <c r="AF1049" s="11" t="str">
        <f t="shared" si="62"/>
        <v/>
      </c>
      <c r="AG1049" s="73">
        <f t="shared" si="63"/>
        <v>-0.99895100000000003</v>
      </c>
      <c r="AH1049" s="11" t="str">
        <f t="shared" si="64"/>
        <v/>
      </c>
    </row>
    <row r="1050" spans="1:34" ht="14.25" customHeight="1">
      <c r="A1050" s="11">
        <v>1035</v>
      </c>
      <c r="B1050" s="66" t="s">
        <v>35</v>
      </c>
      <c r="C1050" s="67">
        <v>44440</v>
      </c>
      <c r="D1050" s="67">
        <v>44025</v>
      </c>
      <c r="E1050" s="67"/>
      <c r="F1050" s="67"/>
      <c r="G1050" s="67"/>
      <c r="H1050" s="67"/>
      <c r="I1050" s="6" t="s">
        <v>1658</v>
      </c>
      <c r="J1050" s="9">
        <v>5788600787</v>
      </c>
      <c r="K1050" s="68">
        <v>44012</v>
      </c>
      <c r="L1050" s="68">
        <v>46022</v>
      </c>
      <c r="M1050" s="68">
        <v>46203</v>
      </c>
      <c r="N1050" s="69">
        <f t="shared" si="52"/>
        <v>11</v>
      </c>
      <c r="O1050" s="69">
        <f t="shared" si="53"/>
        <v>2</v>
      </c>
      <c r="P1050" s="70">
        <v>25</v>
      </c>
      <c r="Q1050" s="70">
        <v>34</v>
      </c>
      <c r="R1050" s="70">
        <v>36</v>
      </c>
      <c r="S1050" s="68" t="str">
        <f t="shared" si="54"/>
        <v/>
      </c>
      <c r="T1050" s="68"/>
      <c r="U1050" s="68"/>
      <c r="V1050" s="68"/>
      <c r="W1050" s="9"/>
      <c r="X1050" s="10"/>
      <c r="Y1050" s="71">
        <f t="shared" si="55"/>
        <v>34</v>
      </c>
      <c r="Z1050" s="73">
        <f t="shared" si="56"/>
        <v>36</v>
      </c>
      <c r="AA1050" s="73">
        <f t="shared" si="57"/>
        <v>11</v>
      </c>
      <c r="AB1050" s="11" t="str">
        <f t="shared" si="58"/>
        <v/>
      </c>
      <c r="AC1050" s="73">
        <f t="shared" si="59"/>
        <v>2</v>
      </c>
      <c r="AD1050" s="11" t="str">
        <f t="shared" si="60"/>
        <v/>
      </c>
      <c r="AE1050" s="73">
        <f t="shared" si="61"/>
        <v>11.001049999999999</v>
      </c>
      <c r="AF1050" s="11" t="str">
        <f t="shared" si="62"/>
        <v/>
      </c>
      <c r="AG1050" s="73">
        <f t="shared" si="63"/>
        <v>2.0010500000000002</v>
      </c>
      <c r="AH1050" s="11" t="str">
        <f t="shared" si="64"/>
        <v/>
      </c>
    </row>
    <row r="1051" spans="1:34" ht="14.25" customHeight="1">
      <c r="A1051" s="11">
        <v>1036</v>
      </c>
      <c r="B1051" s="66" t="s">
        <v>35</v>
      </c>
      <c r="C1051" s="67">
        <v>44896</v>
      </c>
      <c r="D1051" s="67"/>
      <c r="E1051" s="67"/>
      <c r="F1051" s="67"/>
      <c r="G1051" s="67"/>
      <c r="H1051" s="67"/>
      <c r="I1051" s="6" t="s">
        <v>1659</v>
      </c>
      <c r="J1051" s="9">
        <v>5788602204</v>
      </c>
      <c r="K1051" s="68">
        <v>44895</v>
      </c>
      <c r="L1051" s="68">
        <v>46022</v>
      </c>
      <c r="M1051" s="68">
        <v>46203</v>
      </c>
      <c r="N1051" s="69">
        <f t="shared" si="52"/>
        <v>-2</v>
      </c>
      <c r="O1051" s="69">
        <f t="shared" si="53"/>
        <v>1</v>
      </c>
      <c r="P1051" s="70">
        <v>11</v>
      </c>
      <c r="Q1051" s="70">
        <v>8</v>
      </c>
      <c r="R1051" s="70">
        <v>9</v>
      </c>
      <c r="S1051" s="68" t="str">
        <f t="shared" si="54"/>
        <v/>
      </c>
      <c r="T1051" s="68"/>
      <c r="U1051" s="68"/>
      <c r="V1051" s="68"/>
      <c r="W1051" s="9"/>
      <c r="X1051" s="10"/>
      <c r="Y1051" s="71">
        <f t="shared" si="55"/>
        <v>8</v>
      </c>
      <c r="Z1051" s="73">
        <f t="shared" si="56"/>
        <v>9</v>
      </c>
      <c r="AA1051" s="73">
        <f t="shared" si="57"/>
        <v>-2</v>
      </c>
      <c r="AB1051" s="11" t="str">
        <f t="shared" si="58"/>
        <v/>
      </c>
      <c r="AC1051" s="73">
        <f t="shared" si="59"/>
        <v>1</v>
      </c>
      <c r="AD1051" s="11" t="str">
        <f t="shared" si="60"/>
        <v/>
      </c>
      <c r="AE1051" s="73">
        <f t="shared" si="61"/>
        <v>-1.9989490000000001</v>
      </c>
      <c r="AF1051" s="11" t="str">
        <f t="shared" si="62"/>
        <v/>
      </c>
      <c r="AG1051" s="73">
        <f t="shared" si="63"/>
        <v>1.0010509999999999</v>
      </c>
      <c r="AH1051" s="11" t="str">
        <f t="shared" si="64"/>
        <v/>
      </c>
    </row>
    <row r="1052" spans="1:34" ht="14.25" customHeight="1">
      <c r="A1052" s="11">
        <v>1037</v>
      </c>
      <c r="B1052" s="66" t="s">
        <v>35</v>
      </c>
      <c r="C1052" s="67">
        <v>44986</v>
      </c>
      <c r="D1052" s="67"/>
      <c r="E1052" s="67"/>
      <c r="F1052" s="67"/>
      <c r="G1052" s="67" t="s">
        <v>35</v>
      </c>
      <c r="H1052" s="67">
        <v>45138</v>
      </c>
      <c r="I1052" s="6" t="s">
        <v>1660</v>
      </c>
      <c r="J1052" s="9">
        <v>5788602558</v>
      </c>
      <c r="K1052" s="68">
        <v>44985</v>
      </c>
      <c r="L1052" s="68">
        <v>46022</v>
      </c>
      <c r="M1052" s="68">
        <v>46203</v>
      </c>
      <c r="N1052" s="69">
        <f t="shared" si="52"/>
        <v>5</v>
      </c>
      <c r="O1052" s="69">
        <f t="shared" si="53"/>
        <v>2</v>
      </c>
      <c r="P1052" s="70">
        <v>4</v>
      </c>
      <c r="Q1052" s="70">
        <v>7</v>
      </c>
      <c r="R1052" s="70">
        <v>9</v>
      </c>
      <c r="S1052" s="68" t="str">
        <f t="shared" si="54"/>
        <v/>
      </c>
      <c r="T1052" s="68"/>
      <c r="U1052" s="68"/>
      <c r="V1052" s="68"/>
      <c r="W1052" s="9"/>
      <c r="X1052" s="10"/>
      <c r="Y1052" s="71">
        <f t="shared" si="55"/>
        <v>7</v>
      </c>
      <c r="Z1052" s="73">
        <f t="shared" si="56"/>
        <v>9</v>
      </c>
      <c r="AA1052" s="73">
        <f t="shared" si="57"/>
        <v>5</v>
      </c>
      <c r="AB1052" s="73">
        <f t="shared" si="58"/>
        <v>5</v>
      </c>
      <c r="AC1052" s="73">
        <f t="shared" si="59"/>
        <v>2</v>
      </c>
      <c r="AD1052" s="73">
        <f t="shared" si="60"/>
        <v>2</v>
      </c>
      <c r="AE1052" s="73">
        <f t="shared" si="61"/>
        <v>5.0010519999999996</v>
      </c>
      <c r="AF1052" s="73">
        <f t="shared" si="62"/>
        <v>5.0010519999999996</v>
      </c>
      <c r="AG1052" s="73">
        <f t="shared" si="63"/>
        <v>2.0010520000000001</v>
      </c>
      <c r="AH1052" s="73">
        <f t="shared" si="64"/>
        <v>2.0010520000000001</v>
      </c>
    </row>
    <row r="1053" spans="1:34" ht="14.25" customHeight="1">
      <c r="A1053" s="11">
        <v>1038</v>
      </c>
      <c r="B1053" s="66"/>
      <c r="C1053" s="67"/>
      <c r="D1053" s="67"/>
      <c r="E1053" s="67"/>
      <c r="F1053" s="67"/>
      <c r="G1053" s="67" t="s">
        <v>35</v>
      </c>
      <c r="H1053" s="67">
        <v>44184</v>
      </c>
      <c r="I1053" s="6" t="s">
        <v>1661</v>
      </c>
      <c r="J1053" s="9">
        <v>5798601800</v>
      </c>
      <c r="K1053" s="68">
        <v>44165</v>
      </c>
      <c r="L1053" s="68">
        <v>46022</v>
      </c>
      <c r="M1053" s="68">
        <v>46203</v>
      </c>
      <c r="N1053" s="69">
        <f t="shared" si="52"/>
        <v>3</v>
      </c>
      <c r="O1053" s="69">
        <f t="shared" si="53"/>
        <v>-1</v>
      </c>
      <c r="P1053" s="70">
        <v>0</v>
      </c>
      <c r="Q1053" s="70">
        <v>4</v>
      </c>
      <c r="R1053" s="70">
        <v>3</v>
      </c>
      <c r="S1053" s="68" t="str">
        <f t="shared" si="54"/>
        <v/>
      </c>
      <c r="T1053" s="68"/>
      <c r="U1053" s="68"/>
      <c r="V1053" s="68"/>
      <c r="W1053" s="9"/>
      <c r="X1053" s="10"/>
      <c r="Y1053" s="71">
        <f t="shared" si="55"/>
        <v>4</v>
      </c>
      <c r="Z1053" s="73">
        <f t="shared" si="56"/>
        <v>3</v>
      </c>
      <c r="AA1053" s="11" t="str">
        <f t="shared" si="57"/>
        <v/>
      </c>
      <c r="AB1053" s="73">
        <f t="shared" si="58"/>
        <v>3</v>
      </c>
      <c r="AC1053" s="11" t="str">
        <f t="shared" si="59"/>
        <v/>
      </c>
      <c r="AD1053" s="73">
        <f t="shared" si="60"/>
        <v>-1</v>
      </c>
      <c r="AE1053" s="11" t="str">
        <f t="shared" si="61"/>
        <v/>
      </c>
      <c r="AF1053" s="73">
        <f t="shared" si="62"/>
        <v>3.0010530000000002</v>
      </c>
      <c r="AG1053" s="11" t="str">
        <f t="shared" si="63"/>
        <v/>
      </c>
      <c r="AH1053" s="73">
        <f t="shared" si="64"/>
        <v>-0.99894700000000003</v>
      </c>
    </row>
    <row r="1054" spans="1:34" ht="14.25" customHeight="1">
      <c r="A1054" s="11">
        <v>1039</v>
      </c>
      <c r="B1054" s="66"/>
      <c r="C1054" s="67"/>
      <c r="D1054" s="67"/>
      <c r="E1054" s="67"/>
      <c r="F1054" s="67"/>
      <c r="G1054" s="67" t="s">
        <v>35</v>
      </c>
      <c r="H1054" s="67">
        <v>45096</v>
      </c>
      <c r="I1054" s="6" t="s">
        <v>1662</v>
      </c>
      <c r="J1054" s="9">
        <v>5798802201</v>
      </c>
      <c r="K1054" s="68">
        <v>45077</v>
      </c>
      <c r="L1054" s="68">
        <v>46022</v>
      </c>
      <c r="M1054" s="68">
        <v>46203</v>
      </c>
      <c r="N1054" s="69">
        <f t="shared" si="52"/>
        <v>-3</v>
      </c>
      <c r="O1054" s="69">
        <f t="shared" si="53"/>
        <v>0</v>
      </c>
      <c r="P1054" s="70">
        <v>3</v>
      </c>
      <c r="Q1054" s="70">
        <v>0</v>
      </c>
      <c r="R1054" s="70">
        <v>0</v>
      </c>
      <c r="S1054" s="68" t="str">
        <f t="shared" si="54"/>
        <v/>
      </c>
      <c r="T1054" s="68"/>
      <c r="U1054" s="68"/>
      <c r="V1054" s="68"/>
      <c r="W1054" s="9"/>
      <c r="X1054" s="10"/>
      <c r="Y1054" s="71">
        <f t="shared" si="55"/>
        <v>0</v>
      </c>
      <c r="Z1054" s="73">
        <f t="shared" si="56"/>
        <v>0</v>
      </c>
      <c r="AA1054" s="11" t="str">
        <f t="shared" si="57"/>
        <v/>
      </c>
      <c r="AB1054" s="73">
        <f t="shared" si="58"/>
        <v>-3</v>
      </c>
      <c r="AC1054" s="11" t="str">
        <f t="shared" si="59"/>
        <v/>
      </c>
      <c r="AD1054" s="73">
        <f t="shared" si="60"/>
        <v>0</v>
      </c>
      <c r="AE1054" s="11" t="str">
        <f t="shared" si="61"/>
        <v/>
      </c>
      <c r="AF1054" s="73">
        <f t="shared" si="62"/>
        <v>-2.9989460000000001</v>
      </c>
      <c r="AG1054" s="11" t="str">
        <f t="shared" si="63"/>
        <v/>
      </c>
      <c r="AH1054" s="73">
        <f t="shared" si="64"/>
        <v>1.054E-3</v>
      </c>
    </row>
    <row r="1055" spans="1:34" ht="14.25" customHeight="1">
      <c r="A1055" s="11">
        <v>1040</v>
      </c>
      <c r="B1055" s="66"/>
      <c r="C1055" s="67"/>
      <c r="D1055" s="67"/>
      <c r="E1055" s="67"/>
      <c r="F1055" s="67"/>
      <c r="G1055" s="67" t="s">
        <v>35</v>
      </c>
      <c r="H1055" s="67">
        <v>45912</v>
      </c>
      <c r="I1055" s="6" t="s">
        <v>1663</v>
      </c>
      <c r="J1055" s="94">
        <v>5808103287</v>
      </c>
      <c r="K1055" s="68">
        <v>45900</v>
      </c>
      <c r="L1055" s="68">
        <v>46022</v>
      </c>
      <c r="M1055" s="68">
        <v>46203</v>
      </c>
      <c r="N1055" s="69">
        <f t="shared" si="52"/>
        <v>27</v>
      </c>
      <c r="O1055" s="69">
        <f t="shared" si="53"/>
        <v>23</v>
      </c>
      <c r="P1055" s="70">
        <v>22</v>
      </c>
      <c r="Q1055" s="70">
        <v>26</v>
      </c>
      <c r="R1055" s="70">
        <v>49</v>
      </c>
      <c r="S1055" s="68" t="str">
        <f t="shared" si="54"/>
        <v/>
      </c>
      <c r="T1055" s="68"/>
      <c r="U1055" s="95"/>
      <c r="V1055" s="68"/>
      <c r="W1055" s="6"/>
      <c r="X1055" s="10"/>
      <c r="Y1055" s="71">
        <f t="shared" si="55"/>
        <v>26</v>
      </c>
      <c r="Z1055" s="73">
        <f t="shared" si="56"/>
        <v>49</v>
      </c>
      <c r="AA1055" s="11" t="str">
        <f t="shared" si="57"/>
        <v/>
      </c>
      <c r="AB1055" s="73">
        <f t="shared" si="58"/>
        <v>27</v>
      </c>
      <c r="AC1055" s="11" t="str">
        <f t="shared" si="59"/>
        <v/>
      </c>
      <c r="AD1055" s="73">
        <f t="shared" si="60"/>
        <v>23</v>
      </c>
      <c r="AE1055" s="11" t="str">
        <f t="shared" si="61"/>
        <v/>
      </c>
      <c r="AF1055" s="73">
        <f t="shared" si="62"/>
        <v>27.001055000000001</v>
      </c>
      <c r="AG1055" s="11" t="str">
        <f t="shared" si="63"/>
        <v/>
      </c>
      <c r="AH1055" s="73">
        <f t="shared" si="64"/>
        <v>23.001055000000001</v>
      </c>
    </row>
    <row r="1056" spans="1:34" ht="14.25" customHeight="1">
      <c r="A1056" s="11">
        <v>1041</v>
      </c>
      <c r="B1056" s="66"/>
      <c r="C1056" s="67"/>
      <c r="D1056" s="67"/>
      <c r="E1056" s="67"/>
      <c r="F1056" s="67"/>
      <c r="G1056" s="67" t="s">
        <v>35</v>
      </c>
      <c r="H1056" s="67">
        <v>46010</v>
      </c>
      <c r="I1056" s="6" t="s">
        <v>1664</v>
      </c>
      <c r="J1056" s="94">
        <v>5818603567</v>
      </c>
      <c r="K1056" s="68">
        <v>45991</v>
      </c>
      <c r="L1056" s="68">
        <v>46022</v>
      </c>
      <c r="M1056" s="68">
        <v>46203</v>
      </c>
      <c r="N1056" s="69">
        <f t="shared" si="52"/>
        <v>11</v>
      </c>
      <c r="O1056" s="69">
        <f t="shared" si="53"/>
        <v>9</v>
      </c>
      <c r="P1056" s="70">
        <v>31</v>
      </c>
      <c r="Q1056" s="70">
        <v>33</v>
      </c>
      <c r="R1056" s="70">
        <v>42</v>
      </c>
      <c r="S1056" s="68" t="str">
        <f t="shared" si="54"/>
        <v/>
      </c>
      <c r="T1056" s="68"/>
      <c r="U1056" s="95"/>
      <c r="V1056" s="68"/>
      <c r="W1056" s="6"/>
      <c r="X1056" s="10"/>
      <c r="Y1056" s="71">
        <f t="shared" si="55"/>
        <v>33</v>
      </c>
      <c r="Z1056" s="73">
        <f t="shared" si="56"/>
        <v>42</v>
      </c>
      <c r="AA1056" s="11" t="str">
        <f t="shared" si="57"/>
        <v/>
      </c>
      <c r="AB1056" s="73">
        <f t="shared" si="58"/>
        <v>11</v>
      </c>
      <c r="AC1056" s="11" t="str">
        <f t="shared" si="59"/>
        <v/>
      </c>
      <c r="AD1056" s="73">
        <f t="shared" si="60"/>
        <v>9</v>
      </c>
      <c r="AE1056" s="11" t="str">
        <f t="shared" si="61"/>
        <v/>
      </c>
      <c r="AF1056" s="73">
        <f t="shared" si="62"/>
        <v>11.001056</v>
      </c>
      <c r="AG1056" s="11" t="str">
        <f t="shared" si="63"/>
        <v/>
      </c>
      <c r="AH1056" s="73">
        <f t="shared" si="64"/>
        <v>9.0010560000000002</v>
      </c>
    </row>
    <row r="1057" spans="1:34" ht="14.25" customHeight="1">
      <c r="A1057" s="11">
        <v>1042</v>
      </c>
      <c r="B1057" s="66" t="s">
        <v>35</v>
      </c>
      <c r="C1057" s="67">
        <v>44363</v>
      </c>
      <c r="D1057" s="67"/>
      <c r="E1057" s="67"/>
      <c r="F1057" s="67"/>
      <c r="G1057" s="67"/>
      <c r="H1057" s="67"/>
      <c r="I1057" s="6" t="s">
        <v>1665</v>
      </c>
      <c r="J1057" s="9">
        <v>5818702148</v>
      </c>
      <c r="K1057" s="68">
        <v>44347</v>
      </c>
      <c r="L1057" s="68">
        <v>46022</v>
      </c>
      <c r="M1057" s="68">
        <v>46203</v>
      </c>
      <c r="N1057" s="69">
        <f t="shared" si="52"/>
        <v>1</v>
      </c>
      <c r="O1057" s="69">
        <f t="shared" si="53"/>
        <v>0</v>
      </c>
      <c r="P1057" s="70">
        <v>0</v>
      </c>
      <c r="Q1057" s="70">
        <v>1</v>
      </c>
      <c r="R1057" s="70">
        <v>1</v>
      </c>
      <c r="S1057" s="68" t="str">
        <f t="shared" si="54"/>
        <v/>
      </c>
      <c r="T1057" s="68"/>
      <c r="U1057" s="68"/>
      <c r="V1057" s="68"/>
      <c r="W1057" s="9"/>
      <c r="X1057" s="10"/>
      <c r="Y1057" s="71">
        <f t="shared" si="55"/>
        <v>1</v>
      </c>
      <c r="Z1057" s="73">
        <f t="shared" si="56"/>
        <v>1</v>
      </c>
      <c r="AA1057" s="73">
        <f t="shared" si="57"/>
        <v>1</v>
      </c>
      <c r="AB1057" s="11" t="str">
        <f t="shared" si="58"/>
        <v/>
      </c>
      <c r="AC1057" s="73">
        <f t="shared" si="59"/>
        <v>0</v>
      </c>
      <c r="AD1057" s="11" t="str">
        <f t="shared" si="60"/>
        <v/>
      </c>
      <c r="AE1057" s="73">
        <f t="shared" si="61"/>
        <v>1.0010570000000001</v>
      </c>
      <c r="AF1057" s="11" t="str">
        <f t="shared" si="62"/>
        <v/>
      </c>
      <c r="AG1057" s="73">
        <f t="shared" si="63"/>
        <v>1.057E-3</v>
      </c>
      <c r="AH1057" s="11" t="str">
        <f t="shared" si="64"/>
        <v/>
      </c>
    </row>
    <row r="1058" spans="1:34" ht="14.25" customHeight="1">
      <c r="A1058" s="11">
        <v>1043</v>
      </c>
      <c r="B1058" s="66"/>
      <c r="C1058" s="67"/>
      <c r="D1058" s="67"/>
      <c r="E1058" s="67"/>
      <c r="F1058" s="67"/>
      <c r="G1058" s="67" t="s">
        <v>35</v>
      </c>
      <c r="H1058" s="67">
        <v>45351</v>
      </c>
      <c r="I1058" s="6" t="s">
        <v>1666</v>
      </c>
      <c r="J1058" s="9">
        <v>5818803197</v>
      </c>
      <c r="K1058" s="68">
        <v>45322</v>
      </c>
      <c r="L1058" s="68">
        <v>46022</v>
      </c>
      <c r="M1058" s="68">
        <v>46203</v>
      </c>
      <c r="N1058" s="69">
        <f t="shared" si="52"/>
        <v>12</v>
      </c>
      <c r="O1058" s="69">
        <f t="shared" si="53"/>
        <v>7</v>
      </c>
      <c r="P1058" s="70">
        <v>5</v>
      </c>
      <c r="Q1058" s="70">
        <v>10</v>
      </c>
      <c r="R1058" s="70">
        <v>17</v>
      </c>
      <c r="S1058" s="68" t="str">
        <f t="shared" si="54"/>
        <v/>
      </c>
      <c r="T1058" s="68"/>
      <c r="U1058" s="68"/>
      <c r="V1058" s="68"/>
      <c r="W1058" s="9"/>
      <c r="X1058" s="10"/>
      <c r="Y1058" s="71">
        <f t="shared" si="55"/>
        <v>10</v>
      </c>
      <c r="Z1058" s="73">
        <f t="shared" si="56"/>
        <v>17</v>
      </c>
      <c r="AA1058" s="11" t="str">
        <f t="shared" si="57"/>
        <v/>
      </c>
      <c r="AB1058" s="73">
        <f t="shared" si="58"/>
        <v>12</v>
      </c>
      <c r="AC1058" s="11" t="str">
        <f t="shared" si="59"/>
        <v/>
      </c>
      <c r="AD1058" s="73">
        <f t="shared" si="60"/>
        <v>7</v>
      </c>
      <c r="AE1058" s="11" t="str">
        <f t="shared" si="61"/>
        <v/>
      </c>
      <c r="AF1058" s="73">
        <f t="shared" si="62"/>
        <v>12.001058</v>
      </c>
      <c r="AG1058" s="11" t="str">
        <f t="shared" si="63"/>
        <v/>
      </c>
      <c r="AH1058" s="73">
        <f t="shared" si="64"/>
        <v>7.0010579999999996</v>
      </c>
    </row>
    <row r="1059" spans="1:34" ht="14.25" customHeight="1">
      <c r="A1059" s="11">
        <v>1044</v>
      </c>
      <c r="B1059" s="66"/>
      <c r="C1059" s="67"/>
      <c r="D1059" s="67"/>
      <c r="E1059" s="67"/>
      <c r="F1059" s="67"/>
      <c r="G1059" s="67" t="s">
        <v>35</v>
      </c>
      <c r="H1059" s="67">
        <v>43777</v>
      </c>
      <c r="I1059" s="6" t="s">
        <v>1667</v>
      </c>
      <c r="J1059" s="9">
        <v>5848600254</v>
      </c>
      <c r="K1059" s="68">
        <v>43769</v>
      </c>
      <c r="L1059" s="68">
        <v>46022</v>
      </c>
      <c r="M1059" s="68">
        <v>46203</v>
      </c>
      <c r="N1059" s="69">
        <f t="shared" si="52"/>
        <v>44</v>
      </c>
      <c r="O1059" s="69">
        <f t="shared" si="53"/>
        <v>9</v>
      </c>
      <c r="P1059" s="70">
        <v>10</v>
      </c>
      <c r="Q1059" s="70">
        <v>45</v>
      </c>
      <c r="R1059" s="70">
        <v>54</v>
      </c>
      <c r="S1059" s="68" t="str">
        <f t="shared" si="54"/>
        <v/>
      </c>
      <c r="T1059" s="68"/>
      <c r="U1059" s="68"/>
      <c r="V1059" s="68"/>
      <c r="W1059" s="9"/>
      <c r="X1059" s="10"/>
      <c r="Y1059" s="71">
        <f t="shared" si="55"/>
        <v>45</v>
      </c>
      <c r="Z1059" s="73">
        <f t="shared" si="56"/>
        <v>54</v>
      </c>
      <c r="AA1059" s="11" t="str">
        <f t="shared" si="57"/>
        <v/>
      </c>
      <c r="AB1059" s="73">
        <f t="shared" si="58"/>
        <v>44</v>
      </c>
      <c r="AC1059" s="11" t="str">
        <f t="shared" si="59"/>
        <v/>
      </c>
      <c r="AD1059" s="73">
        <f t="shared" si="60"/>
        <v>9</v>
      </c>
      <c r="AE1059" s="11" t="str">
        <f t="shared" si="61"/>
        <v/>
      </c>
      <c r="AF1059" s="73">
        <f t="shared" si="62"/>
        <v>44.001058999999998</v>
      </c>
      <c r="AG1059" s="11" t="str">
        <f t="shared" si="63"/>
        <v/>
      </c>
      <c r="AH1059" s="73">
        <f t="shared" si="64"/>
        <v>9.0010589999999997</v>
      </c>
    </row>
    <row r="1060" spans="1:34" ht="14.25" customHeight="1">
      <c r="A1060" s="11">
        <v>1045</v>
      </c>
      <c r="B1060" s="66"/>
      <c r="C1060" s="67"/>
      <c r="D1060" s="67"/>
      <c r="E1060" s="67"/>
      <c r="F1060" s="67"/>
      <c r="G1060" s="67" t="s">
        <v>35</v>
      </c>
      <c r="H1060" s="67">
        <v>44693</v>
      </c>
      <c r="I1060" s="6" t="s">
        <v>1668</v>
      </c>
      <c r="J1060" s="9">
        <v>5848701610</v>
      </c>
      <c r="K1060" s="68">
        <v>44681</v>
      </c>
      <c r="L1060" s="68">
        <v>46022</v>
      </c>
      <c r="M1060" s="68">
        <v>46203</v>
      </c>
      <c r="N1060" s="69">
        <f t="shared" si="52"/>
        <v>-5</v>
      </c>
      <c r="O1060" s="69">
        <f t="shared" si="53"/>
        <v>1</v>
      </c>
      <c r="P1060" s="70">
        <v>33</v>
      </c>
      <c r="Q1060" s="70">
        <v>27</v>
      </c>
      <c r="R1060" s="70">
        <v>28</v>
      </c>
      <c r="S1060" s="68" t="str">
        <f t="shared" si="54"/>
        <v/>
      </c>
      <c r="T1060" s="68"/>
      <c r="U1060" s="68"/>
      <c r="V1060" s="68"/>
      <c r="W1060" s="9"/>
      <c r="X1060" s="10"/>
      <c r="Y1060" s="71">
        <f t="shared" si="55"/>
        <v>27</v>
      </c>
      <c r="Z1060" s="73">
        <f t="shared" si="56"/>
        <v>28</v>
      </c>
      <c r="AA1060" s="11" t="str">
        <f t="shared" si="57"/>
        <v/>
      </c>
      <c r="AB1060" s="73">
        <f t="shared" si="58"/>
        <v>-5</v>
      </c>
      <c r="AC1060" s="11" t="str">
        <f t="shared" si="59"/>
        <v/>
      </c>
      <c r="AD1060" s="73">
        <f t="shared" si="60"/>
        <v>1</v>
      </c>
      <c r="AE1060" s="11" t="str">
        <f t="shared" si="61"/>
        <v/>
      </c>
      <c r="AF1060" s="73">
        <f t="shared" si="62"/>
        <v>-4.9989400000000002</v>
      </c>
      <c r="AG1060" s="11" t="str">
        <f t="shared" si="63"/>
        <v/>
      </c>
      <c r="AH1060" s="73">
        <f t="shared" si="64"/>
        <v>1.0010600000000001</v>
      </c>
    </row>
    <row r="1061" spans="1:34" ht="14.25" customHeight="1">
      <c r="A1061" s="11">
        <v>1046</v>
      </c>
      <c r="B1061" s="66" t="s">
        <v>35</v>
      </c>
      <c r="C1061" s="67">
        <v>45078</v>
      </c>
      <c r="D1061" s="67"/>
      <c r="E1061" s="67"/>
      <c r="F1061" s="67"/>
      <c r="G1061" s="67" t="s">
        <v>35</v>
      </c>
      <c r="H1061" s="67">
        <v>45364</v>
      </c>
      <c r="I1061" s="6" t="s">
        <v>1669</v>
      </c>
      <c r="J1061" s="9">
        <v>5848803032</v>
      </c>
      <c r="K1061" s="68">
        <v>45077</v>
      </c>
      <c r="L1061" s="68">
        <v>46022</v>
      </c>
      <c r="M1061" s="68">
        <v>46203</v>
      </c>
      <c r="N1061" s="69">
        <f t="shared" si="52"/>
        <v>1</v>
      </c>
      <c r="O1061" s="69">
        <f t="shared" si="53"/>
        <v>0</v>
      </c>
      <c r="P1061" s="70">
        <v>3</v>
      </c>
      <c r="Q1061" s="70">
        <v>4</v>
      </c>
      <c r="R1061" s="70">
        <v>4</v>
      </c>
      <c r="S1061" s="68" t="str">
        <f t="shared" si="54"/>
        <v/>
      </c>
      <c r="T1061" s="68"/>
      <c r="U1061" s="68"/>
      <c r="V1061" s="68"/>
      <c r="W1061" s="9"/>
      <c r="X1061" s="10"/>
      <c r="Y1061" s="71">
        <f t="shared" si="55"/>
        <v>4</v>
      </c>
      <c r="Z1061" s="73">
        <f t="shared" si="56"/>
        <v>4</v>
      </c>
      <c r="AA1061" s="73">
        <f t="shared" si="57"/>
        <v>1</v>
      </c>
      <c r="AB1061" s="73">
        <f t="shared" si="58"/>
        <v>1</v>
      </c>
      <c r="AC1061" s="73">
        <f t="shared" si="59"/>
        <v>0</v>
      </c>
      <c r="AD1061" s="73">
        <f t="shared" si="60"/>
        <v>0</v>
      </c>
      <c r="AE1061" s="73">
        <f t="shared" si="61"/>
        <v>1.001061</v>
      </c>
      <c r="AF1061" s="73">
        <f t="shared" si="62"/>
        <v>1.001061</v>
      </c>
      <c r="AG1061" s="73">
        <f t="shared" si="63"/>
        <v>1.0610000000000001E-3</v>
      </c>
      <c r="AH1061" s="73">
        <f t="shared" si="64"/>
        <v>1.0610000000000001E-3</v>
      </c>
    </row>
    <row r="1062" spans="1:34" ht="14.25" customHeight="1">
      <c r="A1062" s="11">
        <v>1047</v>
      </c>
      <c r="B1062" s="66"/>
      <c r="C1062" s="67"/>
      <c r="D1062" s="67"/>
      <c r="E1062" s="67"/>
      <c r="F1062" s="67"/>
      <c r="G1062" s="67" t="s">
        <v>283</v>
      </c>
      <c r="H1062" s="67">
        <v>44251</v>
      </c>
      <c r="I1062" s="6" t="s">
        <v>1670</v>
      </c>
      <c r="J1062" s="9">
        <v>5858700633</v>
      </c>
      <c r="K1062" s="68">
        <v>44227</v>
      </c>
      <c r="L1062" s="68" t="s">
        <v>230</v>
      </c>
      <c r="M1062" s="68">
        <v>45747</v>
      </c>
      <c r="N1062" s="69">
        <f t="shared" si="52"/>
        <v>3</v>
      </c>
      <c r="O1062" s="69" t="str">
        <f t="shared" si="53"/>
        <v>N/A</v>
      </c>
      <c r="P1062" s="70">
        <v>2</v>
      </c>
      <c r="Q1062" s="70"/>
      <c r="R1062" s="70">
        <v>5</v>
      </c>
      <c r="S1062" s="68">
        <f t="shared" si="54"/>
        <v>45721</v>
      </c>
      <c r="T1062" s="68"/>
      <c r="U1062" s="68"/>
      <c r="V1062" s="68"/>
      <c r="W1062" s="68">
        <v>45721</v>
      </c>
      <c r="X1062" s="10"/>
      <c r="Y1062" s="65" t="str">
        <f t="shared" si="55"/>
        <v/>
      </c>
      <c r="Z1062" s="11" t="str">
        <f t="shared" si="56"/>
        <v/>
      </c>
      <c r="AA1062" s="11" t="str">
        <f t="shared" si="57"/>
        <v/>
      </c>
      <c r="AB1062" s="73">
        <f t="shared" si="58"/>
        <v>3</v>
      </c>
      <c r="AC1062" s="11" t="str">
        <f t="shared" si="59"/>
        <v/>
      </c>
      <c r="AD1062" s="11" t="str">
        <f t="shared" si="60"/>
        <v/>
      </c>
      <c r="AE1062" s="11" t="str">
        <f t="shared" si="61"/>
        <v/>
      </c>
      <c r="AF1062" s="73">
        <f t="shared" si="62"/>
        <v>3.0010620000000001</v>
      </c>
      <c r="AG1062" s="11" t="str">
        <f t="shared" si="63"/>
        <v/>
      </c>
      <c r="AH1062" s="11" t="str">
        <f t="shared" si="64"/>
        <v/>
      </c>
    </row>
    <row r="1063" spans="1:34" ht="14.25" customHeight="1">
      <c r="A1063" s="11">
        <v>1048</v>
      </c>
      <c r="B1063" s="66"/>
      <c r="C1063" s="67"/>
      <c r="D1063" s="67"/>
      <c r="E1063" s="67"/>
      <c r="F1063" s="67"/>
      <c r="G1063" s="67" t="s">
        <v>35</v>
      </c>
      <c r="H1063" s="67">
        <v>44967</v>
      </c>
      <c r="I1063" s="6" t="s">
        <v>1671</v>
      </c>
      <c r="J1063" s="9">
        <v>5858702233</v>
      </c>
      <c r="K1063" s="68">
        <v>44957</v>
      </c>
      <c r="L1063" s="68">
        <v>46022</v>
      </c>
      <c r="M1063" s="68">
        <v>46203</v>
      </c>
      <c r="N1063" s="69">
        <f t="shared" si="52"/>
        <v>0</v>
      </c>
      <c r="O1063" s="69">
        <f t="shared" si="53"/>
        <v>-1</v>
      </c>
      <c r="P1063" s="70">
        <v>0</v>
      </c>
      <c r="Q1063" s="70">
        <v>1</v>
      </c>
      <c r="R1063" s="70">
        <v>0</v>
      </c>
      <c r="S1063" s="68" t="str">
        <f t="shared" si="54"/>
        <v/>
      </c>
      <c r="T1063" s="68"/>
      <c r="U1063" s="68"/>
      <c r="V1063" s="68"/>
      <c r="W1063" s="9"/>
      <c r="X1063" s="10"/>
      <c r="Y1063" s="71">
        <f t="shared" si="55"/>
        <v>1</v>
      </c>
      <c r="Z1063" s="73">
        <f t="shared" si="56"/>
        <v>0</v>
      </c>
      <c r="AA1063" s="11" t="str">
        <f t="shared" si="57"/>
        <v/>
      </c>
      <c r="AB1063" s="73">
        <f t="shared" si="58"/>
        <v>0</v>
      </c>
      <c r="AC1063" s="11" t="str">
        <f t="shared" si="59"/>
        <v/>
      </c>
      <c r="AD1063" s="73">
        <f t="shared" si="60"/>
        <v>-1</v>
      </c>
      <c r="AE1063" s="11" t="str">
        <f t="shared" si="61"/>
        <v/>
      </c>
      <c r="AF1063" s="73">
        <f t="shared" si="62"/>
        <v>1.0629999999999999E-3</v>
      </c>
      <c r="AG1063" s="11" t="str">
        <f t="shared" si="63"/>
        <v/>
      </c>
      <c r="AH1063" s="73">
        <f t="shared" si="64"/>
        <v>-0.99893699999999996</v>
      </c>
    </row>
    <row r="1064" spans="1:34" ht="14.25" customHeight="1">
      <c r="A1064" s="11">
        <v>1049</v>
      </c>
      <c r="B1064" s="66"/>
      <c r="C1064" s="67"/>
      <c r="D1064" s="67"/>
      <c r="E1064" s="67"/>
      <c r="F1064" s="67"/>
      <c r="G1064" s="67" t="s">
        <v>35</v>
      </c>
      <c r="H1064" s="67">
        <v>45118</v>
      </c>
      <c r="I1064" s="6" t="s">
        <v>1672</v>
      </c>
      <c r="J1064" s="9">
        <v>5868602321</v>
      </c>
      <c r="K1064" s="68">
        <v>45107</v>
      </c>
      <c r="L1064" s="68">
        <v>46022</v>
      </c>
      <c r="M1064" s="68">
        <v>46203</v>
      </c>
      <c r="N1064" s="69">
        <f t="shared" si="52"/>
        <v>-3</v>
      </c>
      <c r="O1064" s="69">
        <f t="shared" si="53"/>
        <v>-1</v>
      </c>
      <c r="P1064" s="70">
        <v>5</v>
      </c>
      <c r="Q1064" s="70">
        <v>3</v>
      </c>
      <c r="R1064" s="70">
        <v>2</v>
      </c>
      <c r="S1064" s="68" t="str">
        <f t="shared" si="54"/>
        <v/>
      </c>
      <c r="T1064" s="68"/>
      <c r="U1064" s="68"/>
      <c r="V1064" s="68"/>
      <c r="W1064" s="9"/>
      <c r="X1064" s="10"/>
      <c r="Y1064" s="71">
        <f t="shared" si="55"/>
        <v>3</v>
      </c>
      <c r="Z1064" s="73">
        <f t="shared" si="56"/>
        <v>2</v>
      </c>
      <c r="AA1064" s="11" t="str">
        <f t="shared" si="57"/>
        <v/>
      </c>
      <c r="AB1064" s="73">
        <f t="shared" si="58"/>
        <v>-3</v>
      </c>
      <c r="AC1064" s="11" t="str">
        <f t="shared" si="59"/>
        <v/>
      </c>
      <c r="AD1064" s="73">
        <f t="shared" si="60"/>
        <v>-1</v>
      </c>
      <c r="AE1064" s="11" t="str">
        <f t="shared" si="61"/>
        <v/>
      </c>
      <c r="AF1064" s="73">
        <f t="shared" si="62"/>
        <v>-2.998936</v>
      </c>
      <c r="AG1064" s="11" t="str">
        <f t="shared" si="63"/>
        <v/>
      </c>
      <c r="AH1064" s="73">
        <f t="shared" si="64"/>
        <v>-0.99893600000000005</v>
      </c>
    </row>
    <row r="1065" spans="1:34" ht="14.25" customHeight="1">
      <c r="A1065" s="11">
        <v>1050</v>
      </c>
      <c r="B1065" s="66"/>
      <c r="C1065" s="67"/>
      <c r="D1065" s="67"/>
      <c r="E1065" s="67"/>
      <c r="F1065" s="67"/>
      <c r="G1065" s="67" t="s">
        <v>35</v>
      </c>
      <c r="H1065" s="67">
        <v>45625</v>
      </c>
      <c r="I1065" s="6" t="s">
        <v>1673</v>
      </c>
      <c r="J1065" s="9">
        <v>5868802683</v>
      </c>
      <c r="K1065" s="68">
        <v>45596</v>
      </c>
      <c r="L1065" s="68">
        <v>46022</v>
      </c>
      <c r="M1065" s="68">
        <v>46203</v>
      </c>
      <c r="N1065" s="69">
        <f t="shared" si="52"/>
        <v>4</v>
      </c>
      <c r="O1065" s="69">
        <f t="shared" si="53"/>
        <v>1</v>
      </c>
      <c r="P1065" s="70">
        <v>3</v>
      </c>
      <c r="Q1065" s="70">
        <v>6</v>
      </c>
      <c r="R1065" s="70">
        <v>7</v>
      </c>
      <c r="S1065" s="68" t="str">
        <f t="shared" si="54"/>
        <v/>
      </c>
      <c r="T1065" s="68"/>
      <c r="U1065" s="68"/>
      <c r="V1065" s="68"/>
      <c r="W1065" s="9"/>
      <c r="X1065" s="10"/>
      <c r="Y1065" s="71">
        <f t="shared" si="55"/>
        <v>6</v>
      </c>
      <c r="Z1065" s="73">
        <f t="shared" si="56"/>
        <v>7</v>
      </c>
      <c r="AA1065" s="11" t="str">
        <f t="shared" si="57"/>
        <v/>
      </c>
      <c r="AB1065" s="73">
        <f t="shared" si="58"/>
        <v>4</v>
      </c>
      <c r="AC1065" s="11" t="str">
        <f t="shared" si="59"/>
        <v/>
      </c>
      <c r="AD1065" s="73">
        <f t="shared" si="60"/>
        <v>1</v>
      </c>
      <c r="AE1065" s="11" t="str">
        <f t="shared" si="61"/>
        <v/>
      </c>
      <c r="AF1065" s="73">
        <f t="shared" si="62"/>
        <v>4.0010649999999996</v>
      </c>
      <c r="AG1065" s="11" t="str">
        <f t="shared" si="63"/>
        <v/>
      </c>
      <c r="AH1065" s="73">
        <f t="shared" si="64"/>
        <v>1.0010650000000001</v>
      </c>
    </row>
    <row r="1066" spans="1:34" ht="14.25" customHeight="1">
      <c r="A1066" s="11">
        <v>1051</v>
      </c>
      <c r="B1066" s="66"/>
      <c r="C1066" s="67"/>
      <c r="D1066" s="67"/>
      <c r="E1066" s="67"/>
      <c r="F1066" s="67"/>
      <c r="G1066" s="67" t="s">
        <v>35</v>
      </c>
      <c r="H1066" s="67">
        <v>44021</v>
      </c>
      <c r="I1066" s="6" t="s">
        <v>1674</v>
      </c>
      <c r="J1066" s="9">
        <v>5878101543</v>
      </c>
      <c r="K1066" s="68">
        <v>44012</v>
      </c>
      <c r="L1066" s="68">
        <v>46022</v>
      </c>
      <c r="M1066" s="68">
        <v>46203</v>
      </c>
      <c r="N1066" s="69">
        <f t="shared" si="52"/>
        <v>21</v>
      </c>
      <c r="O1066" s="69">
        <f t="shared" si="53"/>
        <v>-3</v>
      </c>
      <c r="P1066" s="70">
        <v>7</v>
      </c>
      <c r="Q1066" s="70">
        <v>31</v>
      </c>
      <c r="R1066" s="70">
        <v>28</v>
      </c>
      <c r="S1066" s="68" t="str">
        <f t="shared" si="54"/>
        <v/>
      </c>
      <c r="T1066" s="68"/>
      <c r="U1066" s="68"/>
      <c r="V1066" s="68"/>
      <c r="W1066" s="9"/>
      <c r="X1066" s="10"/>
      <c r="Y1066" s="71">
        <f t="shared" si="55"/>
        <v>31</v>
      </c>
      <c r="Z1066" s="73">
        <f t="shared" si="56"/>
        <v>28</v>
      </c>
      <c r="AA1066" s="11" t="str">
        <f t="shared" si="57"/>
        <v/>
      </c>
      <c r="AB1066" s="73">
        <f t="shared" si="58"/>
        <v>21</v>
      </c>
      <c r="AC1066" s="11" t="str">
        <f t="shared" si="59"/>
        <v/>
      </c>
      <c r="AD1066" s="73">
        <f t="shared" si="60"/>
        <v>-3</v>
      </c>
      <c r="AE1066" s="11" t="str">
        <f t="shared" si="61"/>
        <v/>
      </c>
      <c r="AF1066" s="73">
        <f t="shared" si="62"/>
        <v>21.001066000000002</v>
      </c>
      <c r="AG1066" s="11" t="str">
        <f t="shared" si="63"/>
        <v/>
      </c>
      <c r="AH1066" s="73">
        <f t="shared" si="64"/>
        <v>-2.9989340000000002</v>
      </c>
    </row>
    <row r="1067" spans="1:34" ht="14.25" customHeight="1">
      <c r="A1067" s="11">
        <v>1052</v>
      </c>
      <c r="B1067" s="66"/>
      <c r="C1067" s="67"/>
      <c r="D1067" s="67"/>
      <c r="E1067" s="67"/>
      <c r="F1067" s="67"/>
      <c r="G1067" s="67" t="s">
        <v>35</v>
      </c>
      <c r="H1067" s="67">
        <v>45603</v>
      </c>
      <c r="I1067" s="6" t="s">
        <v>1675</v>
      </c>
      <c r="J1067" s="9">
        <v>5878602120</v>
      </c>
      <c r="K1067" s="68">
        <v>45596</v>
      </c>
      <c r="L1067" s="68">
        <v>46022</v>
      </c>
      <c r="M1067" s="68">
        <v>46203</v>
      </c>
      <c r="N1067" s="69">
        <f t="shared" si="52"/>
        <v>10</v>
      </c>
      <c r="O1067" s="69">
        <f t="shared" si="53"/>
        <v>5</v>
      </c>
      <c r="P1067" s="70">
        <v>3</v>
      </c>
      <c r="Q1067" s="70">
        <v>8</v>
      </c>
      <c r="R1067" s="70">
        <v>13</v>
      </c>
      <c r="S1067" s="68" t="str">
        <f t="shared" si="54"/>
        <v/>
      </c>
      <c r="T1067" s="68"/>
      <c r="U1067" s="68"/>
      <c r="V1067" s="68"/>
      <c r="W1067" s="9"/>
      <c r="X1067" s="10"/>
      <c r="Y1067" s="71">
        <f t="shared" si="55"/>
        <v>8</v>
      </c>
      <c r="Z1067" s="73">
        <f t="shared" si="56"/>
        <v>13</v>
      </c>
      <c r="AA1067" s="11" t="str">
        <f t="shared" si="57"/>
        <v/>
      </c>
      <c r="AB1067" s="73">
        <f t="shared" si="58"/>
        <v>10</v>
      </c>
      <c r="AC1067" s="11" t="str">
        <f t="shared" si="59"/>
        <v/>
      </c>
      <c r="AD1067" s="73">
        <f t="shared" si="60"/>
        <v>5</v>
      </c>
      <c r="AE1067" s="11" t="str">
        <f t="shared" si="61"/>
        <v/>
      </c>
      <c r="AF1067" s="73">
        <f t="shared" si="62"/>
        <v>10.001067000000001</v>
      </c>
      <c r="AG1067" s="11" t="str">
        <f t="shared" si="63"/>
        <v/>
      </c>
      <c r="AH1067" s="73">
        <f t="shared" si="64"/>
        <v>5.0010669999999999</v>
      </c>
    </row>
    <row r="1068" spans="1:34" ht="14.25" customHeight="1">
      <c r="A1068" s="11">
        <v>1053</v>
      </c>
      <c r="B1068" s="66"/>
      <c r="C1068" s="67"/>
      <c r="D1068" s="67"/>
      <c r="E1068" s="67"/>
      <c r="F1068" s="67"/>
      <c r="G1068" s="67" t="s">
        <v>35</v>
      </c>
      <c r="H1068" s="67">
        <v>44540</v>
      </c>
      <c r="I1068" s="6" t="s">
        <v>1676</v>
      </c>
      <c r="J1068" s="9">
        <v>5888700966</v>
      </c>
      <c r="K1068" s="68">
        <v>44530</v>
      </c>
      <c r="L1068" s="68">
        <v>46022</v>
      </c>
      <c r="M1068" s="68">
        <v>46203</v>
      </c>
      <c r="N1068" s="69">
        <f t="shared" si="52"/>
        <v>-5</v>
      </c>
      <c r="O1068" s="69">
        <f t="shared" si="53"/>
        <v>-1</v>
      </c>
      <c r="P1068" s="70">
        <v>23</v>
      </c>
      <c r="Q1068" s="70">
        <v>19</v>
      </c>
      <c r="R1068" s="70">
        <v>18</v>
      </c>
      <c r="S1068" s="68" t="str">
        <f t="shared" si="54"/>
        <v/>
      </c>
      <c r="T1068" s="68"/>
      <c r="U1068" s="68"/>
      <c r="V1068" s="68"/>
      <c r="W1068" s="9"/>
      <c r="X1068" s="10"/>
      <c r="Y1068" s="71">
        <f t="shared" si="55"/>
        <v>19</v>
      </c>
      <c r="Z1068" s="73">
        <f t="shared" si="56"/>
        <v>18</v>
      </c>
      <c r="AA1068" s="11" t="str">
        <f t="shared" si="57"/>
        <v/>
      </c>
      <c r="AB1068" s="73">
        <f t="shared" si="58"/>
        <v>-5</v>
      </c>
      <c r="AC1068" s="11" t="str">
        <f t="shared" si="59"/>
        <v/>
      </c>
      <c r="AD1068" s="73">
        <f t="shared" si="60"/>
        <v>-1</v>
      </c>
      <c r="AE1068" s="11" t="str">
        <f t="shared" si="61"/>
        <v/>
      </c>
      <c r="AF1068" s="73">
        <f t="shared" si="62"/>
        <v>-4.9989319999999999</v>
      </c>
      <c r="AG1068" s="11" t="str">
        <f t="shared" si="63"/>
        <v/>
      </c>
      <c r="AH1068" s="73">
        <f t="shared" si="64"/>
        <v>-0.99893200000000004</v>
      </c>
    </row>
    <row r="1069" spans="1:34" ht="14.25" customHeight="1">
      <c r="A1069" s="11">
        <v>1054</v>
      </c>
      <c r="B1069" s="66"/>
      <c r="C1069" s="67"/>
      <c r="D1069" s="67"/>
      <c r="E1069" s="67"/>
      <c r="F1069" s="67"/>
      <c r="G1069" s="67" t="s">
        <v>35</v>
      </c>
      <c r="H1069" s="67">
        <v>45910</v>
      </c>
      <c r="I1069" s="6" t="s">
        <v>1677</v>
      </c>
      <c r="J1069" s="94">
        <v>5898603426</v>
      </c>
      <c r="K1069" s="68">
        <v>45900</v>
      </c>
      <c r="L1069" s="68">
        <v>46022</v>
      </c>
      <c r="M1069" s="68">
        <v>46203</v>
      </c>
      <c r="N1069" s="69">
        <f t="shared" si="52"/>
        <v>4</v>
      </c>
      <c r="O1069" s="69">
        <f t="shared" si="53"/>
        <v>4</v>
      </c>
      <c r="P1069" s="70">
        <v>2</v>
      </c>
      <c r="Q1069" s="70">
        <v>2</v>
      </c>
      <c r="R1069" s="70">
        <v>6</v>
      </c>
      <c r="S1069" s="68" t="str">
        <f t="shared" si="54"/>
        <v/>
      </c>
      <c r="T1069" s="68"/>
      <c r="U1069" s="95"/>
      <c r="V1069" s="68"/>
      <c r="W1069" s="6"/>
      <c r="X1069" s="10"/>
      <c r="Y1069" s="71">
        <f t="shared" si="55"/>
        <v>2</v>
      </c>
      <c r="Z1069" s="73">
        <f t="shared" si="56"/>
        <v>6</v>
      </c>
      <c r="AA1069" s="11" t="str">
        <f t="shared" si="57"/>
        <v/>
      </c>
      <c r="AB1069" s="73">
        <f t="shared" si="58"/>
        <v>4</v>
      </c>
      <c r="AC1069" s="11" t="str">
        <f t="shared" si="59"/>
        <v/>
      </c>
      <c r="AD1069" s="73">
        <f t="shared" si="60"/>
        <v>4</v>
      </c>
      <c r="AE1069" s="11" t="str">
        <f t="shared" si="61"/>
        <v/>
      </c>
      <c r="AF1069" s="73">
        <f t="shared" si="62"/>
        <v>4.0010690000000002</v>
      </c>
      <c r="AG1069" s="11" t="str">
        <f t="shared" si="63"/>
        <v/>
      </c>
      <c r="AH1069" s="73">
        <f t="shared" si="64"/>
        <v>4.0010690000000002</v>
      </c>
    </row>
    <row r="1070" spans="1:34" ht="14.25" customHeight="1">
      <c r="A1070" s="11">
        <v>1055</v>
      </c>
      <c r="B1070" s="66"/>
      <c r="C1070" s="67"/>
      <c r="D1070" s="67"/>
      <c r="E1070" s="67"/>
      <c r="F1070" s="67"/>
      <c r="G1070" s="67" t="s">
        <v>35</v>
      </c>
      <c r="H1070" s="67">
        <v>45380</v>
      </c>
      <c r="I1070" s="6" t="s">
        <v>1678</v>
      </c>
      <c r="J1070" s="9">
        <v>5898700218</v>
      </c>
      <c r="K1070" s="68">
        <v>45351</v>
      </c>
      <c r="L1070" s="68">
        <v>46022</v>
      </c>
      <c r="M1070" s="68">
        <v>46203</v>
      </c>
      <c r="N1070" s="69">
        <f t="shared" si="52"/>
        <v>9</v>
      </c>
      <c r="O1070" s="69">
        <f t="shared" si="53"/>
        <v>0</v>
      </c>
      <c r="P1070" s="70">
        <v>15</v>
      </c>
      <c r="Q1070" s="70">
        <v>24</v>
      </c>
      <c r="R1070" s="70">
        <v>24</v>
      </c>
      <c r="S1070" s="68" t="str">
        <f t="shared" si="54"/>
        <v/>
      </c>
      <c r="T1070" s="68"/>
      <c r="U1070" s="68"/>
      <c r="V1070" s="68"/>
      <c r="W1070" s="9"/>
      <c r="X1070" s="10"/>
      <c r="Y1070" s="71">
        <f t="shared" si="55"/>
        <v>24</v>
      </c>
      <c r="Z1070" s="73">
        <f t="shared" si="56"/>
        <v>24</v>
      </c>
      <c r="AA1070" s="11" t="str">
        <f t="shared" si="57"/>
        <v/>
      </c>
      <c r="AB1070" s="73">
        <f t="shared" si="58"/>
        <v>9</v>
      </c>
      <c r="AC1070" s="11" t="str">
        <f t="shared" si="59"/>
        <v/>
      </c>
      <c r="AD1070" s="73">
        <f t="shared" si="60"/>
        <v>0</v>
      </c>
      <c r="AE1070" s="11" t="str">
        <f t="shared" si="61"/>
        <v/>
      </c>
      <c r="AF1070" s="73">
        <f t="shared" si="62"/>
        <v>9.0010700000000003</v>
      </c>
      <c r="AG1070" s="11" t="str">
        <f t="shared" si="63"/>
        <v/>
      </c>
      <c r="AH1070" s="73">
        <f t="shared" si="64"/>
        <v>1.07E-3</v>
      </c>
    </row>
    <row r="1071" spans="1:34" ht="14.25" customHeight="1">
      <c r="A1071" s="11">
        <v>1056</v>
      </c>
      <c r="B1071" s="66"/>
      <c r="C1071" s="67"/>
      <c r="D1071" s="67"/>
      <c r="E1071" s="67"/>
      <c r="F1071" s="67"/>
      <c r="G1071" s="67" t="s">
        <v>24</v>
      </c>
      <c r="H1071" s="67">
        <v>45030</v>
      </c>
      <c r="I1071" s="6" t="s">
        <v>1679</v>
      </c>
      <c r="J1071" s="9">
        <v>5898701600</v>
      </c>
      <c r="K1071" s="68">
        <v>45016</v>
      </c>
      <c r="L1071" s="68" t="s">
        <v>230</v>
      </c>
      <c r="M1071" s="68">
        <v>45535</v>
      </c>
      <c r="N1071" s="69">
        <f t="shared" si="52"/>
        <v>-5</v>
      </c>
      <c r="O1071" s="69" t="str">
        <f t="shared" si="53"/>
        <v>N/A</v>
      </c>
      <c r="P1071" s="70">
        <v>5</v>
      </c>
      <c r="Q1071" s="70"/>
      <c r="R1071" s="70">
        <v>0</v>
      </c>
      <c r="S1071" s="68">
        <f t="shared" si="54"/>
        <v>45505</v>
      </c>
      <c r="T1071" s="68">
        <v>45505</v>
      </c>
      <c r="U1071" s="68"/>
      <c r="V1071" s="68"/>
      <c r="W1071" s="9"/>
      <c r="X1071" s="10"/>
      <c r="Y1071" s="65" t="str">
        <f t="shared" si="55"/>
        <v/>
      </c>
      <c r="Z1071" s="11" t="str">
        <f t="shared" si="56"/>
        <v/>
      </c>
      <c r="AA1071" s="11" t="str">
        <f t="shared" si="57"/>
        <v/>
      </c>
      <c r="AB1071" s="73">
        <f t="shared" si="58"/>
        <v>-5</v>
      </c>
      <c r="AC1071" s="11" t="str">
        <f t="shared" si="59"/>
        <v/>
      </c>
      <c r="AD1071" s="11" t="str">
        <f t="shared" si="60"/>
        <v/>
      </c>
      <c r="AE1071" s="11" t="str">
        <f t="shared" si="61"/>
        <v/>
      </c>
      <c r="AF1071" s="73">
        <f t="shared" si="62"/>
        <v>-4.9989290000000004</v>
      </c>
      <c r="AG1071" s="11" t="str">
        <f t="shared" si="63"/>
        <v/>
      </c>
      <c r="AH1071" s="11" t="str">
        <f t="shared" si="64"/>
        <v/>
      </c>
    </row>
    <row r="1072" spans="1:34" ht="14.25" customHeight="1">
      <c r="A1072" s="11">
        <v>1057</v>
      </c>
      <c r="B1072" s="66"/>
      <c r="C1072" s="67"/>
      <c r="D1072" s="67"/>
      <c r="E1072" s="67"/>
      <c r="F1072" s="67"/>
      <c r="G1072" s="67" t="s">
        <v>35</v>
      </c>
      <c r="H1072" s="67">
        <v>45212</v>
      </c>
      <c r="I1072" s="6" t="s">
        <v>1680</v>
      </c>
      <c r="J1072" s="9">
        <v>5898801121</v>
      </c>
      <c r="K1072" s="68">
        <v>45199</v>
      </c>
      <c r="L1072" s="68">
        <v>46022</v>
      </c>
      <c r="M1072" s="68">
        <v>46203</v>
      </c>
      <c r="N1072" s="69">
        <f t="shared" si="52"/>
        <v>14</v>
      </c>
      <c r="O1072" s="69">
        <f t="shared" si="53"/>
        <v>9</v>
      </c>
      <c r="P1072" s="70">
        <v>14</v>
      </c>
      <c r="Q1072" s="70">
        <v>19</v>
      </c>
      <c r="R1072" s="70">
        <v>28</v>
      </c>
      <c r="S1072" s="68" t="str">
        <f t="shared" si="54"/>
        <v/>
      </c>
      <c r="T1072" s="68"/>
      <c r="U1072" s="68"/>
      <c r="V1072" s="68"/>
      <c r="W1072" s="9"/>
      <c r="X1072" s="10"/>
      <c r="Y1072" s="71">
        <f t="shared" si="55"/>
        <v>19</v>
      </c>
      <c r="Z1072" s="73">
        <f t="shared" si="56"/>
        <v>28</v>
      </c>
      <c r="AA1072" s="11" t="str">
        <f t="shared" si="57"/>
        <v/>
      </c>
      <c r="AB1072" s="73">
        <f t="shared" si="58"/>
        <v>14</v>
      </c>
      <c r="AC1072" s="11" t="str">
        <f t="shared" si="59"/>
        <v/>
      </c>
      <c r="AD1072" s="73">
        <f t="shared" si="60"/>
        <v>9</v>
      </c>
      <c r="AE1072" s="11" t="str">
        <f t="shared" si="61"/>
        <v/>
      </c>
      <c r="AF1072" s="73">
        <f t="shared" si="62"/>
        <v>14.001072000000001</v>
      </c>
      <c r="AG1072" s="11" t="str">
        <f t="shared" si="63"/>
        <v/>
      </c>
      <c r="AH1072" s="73">
        <f t="shared" si="64"/>
        <v>9.0010720000000006</v>
      </c>
    </row>
    <row r="1073" spans="1:34" ht="14.25" customHeight="1">
      <c r="A1073" s="11">
        <v>1058</v>
      </c>
      <c r="B1073" s="66"/>
      <c r="C1073" s="67"/>
      <c r="D1073" s="67"/>
      <c r="E1073" s="67"/>
      <c r="F1073" s="67"/>
      <c r="G1073" s="67" t="s">
        <v>35</v>
      </c>
      <c r="H1073" s="67">
        <v>44540</v>
      </c>
      <c r="I1073" s="6" t="s">
        <v>1681</v>
      </c>
      <c r="J1073" s="9">
        <v>5898801529</v>
      </c>
      <c r="K1073" s="68">
        <v>44530</v>
      </c>
      <c r="L1073" s="68">
        <v>46022</v>
      </c>
      <c r="M1073" s="68">
        <v>46203</v>
      </c>
      <c r="N1073" s="69">
        <f t="shared" si="52"/>
        <v>3</v>
      </c>
      <c r="O1073" s="69">
        <f t="shared" si="53"/>
        <v>-3</v>
      </c>
      <c r="P1073" s="70">
        <v>1</v>
      </c>
      <c r="Q1073" s="70">
        <v>7</v>
      </c>
      <c r="R1073" s="70">
        <v>4</v>
      </c>
      <c r="S1073" s="68" t="str">
        <f t="shared" si="54"/>
        <v/>
      </c>
      <c r="T1073" s="68"/>
      <c r="U1073" s="68"/>
      <c r="V1073" s="68"/>
      <c r="W1073" s="9"/>
      <c r="X1073" s="10"/>
      <c r="Y1073" s="71">
        <f t="shared" si="55"/>
        <v>7</v>
      </c>
      <c r="Z1073" s="73">
        <f t="shared" si="56"/>
        <v>4</v>
      </c>
      <c r="AA1073" s="11" t="str">
        <f t="shared" si="57"/>
        <v/>
      </c>
      <c r="AB1073" s="73">
        <f t="shared" si="58"/>
        <v>3</v>
      </c>
      <c r="AC1073" s="11" t="str">
        <f t="shared" si="59"/>
        <v/>
      </c>
      <c r="AD1073" s="73">
        <f t="shared" si="60"/>
        <v>-3</v>
      </c>
      <c r="AE1073" s="11" t="str">
        <f t="shared" si="61"/>
        <v/>
      </c>
      <c r="AF1073" s="73">
        <f t="shared" si="62"/>
        <v>3.0010729999999999</v>
      </c>
      <c r="AG1073" s="11" t="str">
        <f t="shared" si="63"/>
        <v/>
      </c>
      <c r="AH1073" s="73">
        <f t="shared" si="64"/>
        <v>-2.9989270000000001</v>
      </c>
    </row>
    <row r="1074" spans="1:34" ht="14.25" customHeight="1">
      <c r="A1074" s="11">
        <v>1059</v>
      </c>
      <c r="B1074" s="66"/>
      <c r="C1074" s="67"/>
      <c r="D1074" s="67"/>
      <c r="E1074" s="67"/>
      <c r="F1074" s="67"/>
      <c r="G1074" s="67" t="s">
        <v>35</v>
      </c>
      <c r="H1074" s="67">
        <v>44049</v>
      </c>
      <c r="I1074" s="6" t="s">
        <v>1682</v>
      </c>
      <c r="J1074" s="9">
        <v>5908600088</v>
      </c>
      <c r="K1074" s="68">
        <v>44043</v>
      </c>
      <c r="L1074" s="68">
        <v>46022</v>
      </c>
      <c r="M1074" s="68">
        <v>46203</v>
      </c>
      <c r="N1074" s="69">
        <f t="shared" si="52"/>
        <v>13</v>
      </c>
      <c r="O1074" s="69">
        <f t="shared" si="53"/>
        <v>0</v>
      </c>
      <c r="P1074" s="70">
        <v>14</v>
      </c>
      <c r="Q1074" s="70">
        <v>27</v>
      </c>
      <c r="R1074" s="70">
        <v>27</v>
      </c>
      <c r="S1074" s="68" t="str">
        <f t="shared" si="54"/>
        <v/>
      </c>
      <c r="T1074" s="68"/>
      <c r="U1074" s="68"/>
      <c r="V1074" s="68"/>
      <c r="W1074" s="9"/>
      <c r="X1074" s="10"/>
      <c r="Y1074" s="71">
        <f t="shared" si="55"/>
        <v>27</v>
      </c>
      <c r="Z1074" s="73">
        <f t="shared" si="56"/>
        <v>27</v>
      </c>
      <c r="AA1074" s="11" t="str">
        <f t="shared" si="57"/>
        <v/>
      </c>
      <c r="AB1074" s="73">
        <f t="shared" si="58"/>
        <v>13</v>
      </c>
      <c r="AC1074" s="11" t="str">
        <f t="shared" si="59"/>
        <v/>
      </c>
      <c r="AD1074" s="73">
        <f t="shared" si="60"/>
        <v>0</v>
      </c>
      <c r="AE1074" s="11" t="str">
        <f t="shared" si="61"/>
        <v/>
      </c>
      <c r="AF1074" s="73">
        <f t="shared" si="62"/>
        <v>13.001073999999999</v>
      </c>
      <c r="AG1074" s="11" t="str">
        <f t="shared" si="63"/>
        <v/>
      </c>
      <c r="AH1074" s="73">
        <f t="shared" si="64"/>
        <v>1.0740000000000001E-3</v>
      </c>
    </row>
    <row r="1075" spans="1:34" ht="14.25" customHeight="1">
      <c r="A1075" s="11">
        <v>1060</v>
      </c>
      <c r="B1075" s="66"/>
      <c r="C1075" s="67"/>
      <c r="D1075" s="67"/>
      <c r="E1075" s="67"/>
      <c r="F1075" s="67"/>
      <c r="G1075" s="67" t="s">
        <v>35</v>
      </c>
      <c r="H1075" s="67">
        <v>43911</v>
      </c>
      <c r="I1075" s="6" t="s">
        <v>1683</v>
      </c>
      <c r="J1075" s="9">
        <v>5918700827</v>
      </c>
      <c r="K1075" s="68">
        <v>43890</v>
      </c>
      <c r="L1075" s="68">
        <v>46022</v>
      </c>
      <c r="M1075" s="68">
        <v>46203</v>
      </c>
      <c r="N1075" s="69">
        <f t="shared" si="52"/>
        <v>0</v>
      </c>
      <c r="O1075" s="69">
        <f t="shared" si="53"/>
        <v>0</v>
      </c>
      <c r="P1075" s="70">
        <v>11</v>
      </c>
      <c r="Q1075" s="70">
        <v>11</v>
      </c>
      <c r="R1075" s="70">
        <v>11</v>
      </c>
      <c r="S1075" s="68" t="str">
        <f t="shared" si="54"/>
        <v/>
      </c>
      <c r="T1075" s="68"/>
      <c r="U1075" s="68"/>
      <c r="V1075" s="68"/>
      <c r="W1075" s="9"/>
      <c r="X1075" s="10"/>
      <c r="Y1075" s="71">
        <f t="shared" si="55"/>
        <v>11</v>
      </c>
      <c r="Z1075" s="73">
        <f t="shared" si="56"/>
        <v>11</v>
      </c>
      <c r="AA1075" s="11" t="str">
        <f t="shared" si="57"/>
        <v/>
      </c>
      <c r="AB1075" s="73">
        <f t="shared" si="58"/>
        <v>0</v>
      </c>
      <c r="AC1075" s="11" t="str">
        <f t="shared" si="59"/>
        <v/>
      </c>
      <c r="AD1075" s="73">
        <f t="shared" si="60"/>
        <v>0</v>
      </c>
      <c r="AE1075" s="11" t="str">
        <f t="shared" si="61"/>
        <v/>
      </c>
      <c r="AF1075" s="73">
        <f t="shared" si="62"/>
        <v>1.075E-3</v>
      </c>
      <c r="AG1075" s="11" t="str">
        <f t="shared" si="63"/>
        <v/>
      </c>
      <c r="AH1075" s="73">
        <f t="shared" si="64"/>
        <v>1.075E-3</v>
      </c>
    </row>
    <row r="1076" spans="1:34" ht="14.25" customHeight="1">
      <c r="A1076" s="11">
        <v>1061</v>
      </c>
      <c r="B1076" s="66"/>
      <c r="C1076" s="67"/>
      <c r="D1076" s="67"/>
      <c r="E1076" s="67"/>
      <c r="F1076" s="67"/>
      <c r="G1076" s="67" t="s">
        <v>35</v>
      </c>
      <c r="H1076" s="67">
        <v>44651</v>
      </c>
      <c r="I1076" s="6" t="s">
        <v>1684</v>
      </c>
      <c r="J1076" s="9">
        <v>5918701923</v>
      </c>
      <c r="K1076" s="68">
        <v>44620</v>
      </c>
      <c r="L1076" s="68">
        <v>46022</v>
      </c>
      <c r="M1076" s="68">
        <v>46203</v>
      </c>
      <c r="N1076" s="69">
        <f t="shared" si="52"/>
        <v>-2</v>
      </c>
      <c r="O1076" s="69">
        <f t="shared" si="53"/>
        <v>0</v>
      </c>
      <c r="P1076" s="70">
        <v>5</v>
      </c>
      <c r="Q1076" s="70">
        <v>3</v>
      </c>
      <c r="R1076" s="70">
        <v>3</v>
      </c>
      <c r="S1076" s="68" t="str">
        <f t="shared" si="54"/>
        <v/>
      </c>
      <c r="T1076" s="68"/>
      <c r="U1076" s="68"/>
      <c r="V1076" s="68"/>
      <c r="W1076" s="9"/>
      <c r="X1076" s="10"/>
      <c r="Y1076" s="71">
        <f t="shared" si="55"/>
        <v>3</v>
      </c>
      <c r="Z1076" s="73">
        <f t="shared" si="56"/>
        <v>3</v>
      </c>
      <c r="AA1076" s="11" t="str">
        <f t="shared" si="57"/>
        <v/>
      </c>
      <c r="AB1076" s="73">
        <f t="shared" si="58"/>
        <v>-2</v>
      </c>
      <c r="AC1076" s="11" t="str">
        <f t="shared" si="59"/>
        <v/>
      </c>
      <c r="AD1076" s="73">
        <f t="shared" si="60"/>
        <v>0</v>
      </c>
      <c r="AE1076" s="11" t="str">
        <f t="shared" si="61"/>
        <v/>
      </c>
      <c r="AF1076" s="73">
        <f t="shared" si="62"/>
        <v>-1.9989239999999999</v>
      </c>
      <c r="AG1076" s="11" t="str">
        <f t="shared" si="63"/>
        <v/>
      </c>
      <c r="AH1076" s="73">
        <f t="shared" si="64"/>
        <v>1.0759999999999999E-3</v>
      </c>
    </row>
    <row r="1077" spans="1:34" ht="14.25" customHeight="1">
      <c r="A1077" s="11">
        <v>1062</v>
      </c>
      <c r="B1077" s="66" t="s">
        <v>35</v>
      </c>
      <c r="C1077" s="67">
        <v>44131</v>
      </c>
      <c r="D1077" s="67"/>
      <c r="E1077" s="67"/>
      <c r="F1077" s="67"/>
      <c r="G1077" s="67"/>
      <c r="H1077" s="67"/>
      <c r="I1077" s="6" t="s">
        <v>1685</v>
      </c>
      <c r="J1077" s="9">
        <v>5928701135</v>
      </c>
      <c r="K1077" s="68">
        <v>44104</v>
      </c>
      <c r="L1077" s="68">
        <v>46022</v>
      </c>
      <c r="M1077" s="68">
        <v>46203</v>
      </c>
      <c r="N1077" s="69">
        <f t="shared" si="52"/>
        <v>-3</v>
      </c>
      <c r="O1077" s="69">
        <f t="shared" si="53"/>
        <v>-4</v>
      </c>
      <c r="P1077" s="70">
        <v>4</v>
      </c>
      <c r="Q1077" s="70">
        <v>5</v>
      </c>
      <c r="R1077" s="70">
        <v>1</v>
      </c>
      <c r="S1077" s="68" t="str">
        <f t="shared" si="54"/>
        <v/>
      </c>
      <c r="T1077" s="68"/>
      <c r="U1077" s="68"/>
      <c r="V1077" s="68"/>
      <c r="W1077" s="9"/>
      <c r="X1077" s="10"/>
      <c r="Y1077" s="71">
        <f t="shared" si="55"/>
        <v>5</v>
      </c>
      <c r="Z1077" s="73">
        <f t="shared" si="56"/>
        <v>1</v>
      </c>
      <c r="AA1077" s="73">
        <f t="shared" si="57"/>
        <v>-3</v>
      </c>
      <c r="AB1077" s="11" t="str">
        <f t="shared" si="58"/>
        <v/>
      </c>
      <c r="AC1077" s="73">
        <f t="shared" si="59"/>
        <v>-4</v>
      </c>
      <c r="AD1077" s="11" t="str">
        <f t="shared" si="60"/>
        <v/>
      </c>
      <c r="AE1077" s="73">
        <f t="shared" si="61"/>
        <v>-2.998923</v>
      </c>
      <c r="AF1077" s="11" t="str">
        <f t="shared" si="62"/>
        <v/>
      </c>
      <c r="AG1077" s="73">
        <f t="shared" si="63"/>
        <v>-3.998923</v>
      </c>
      <c r="AH1077" s="11" t="str">
        <f t="shared" si="64"/>
        <v/>
      </c>
    </row>
    <row r="1078" spans="1:34" ht="14.25" customHeight="1">
      <c r="A1078" s="11">
        <v>1063</v>
      </c>
      <c r="B1078" s="66" t="s">
        <v>35</v>
      </c>
      <c r="C1078" s="67">
        <v>44015</v>
      </c>
      <c r="D1078" s="67">
        <v>45016</v>
      </c>
      <c r="E1078" s="67"/>
      <c r="F1078" s="67"/>
      <c r="G1078" s="67"/>
      <c r="H1078" s="67"/>
      <c r="I1078" s="6" t="s">
        <v>1686</v>
      </c>
      <c r="J1078" s="9">
        <v>5928801296</v>
      </c>
      <c r="K1078" s="68">
        <v>44012</v>
      </c>
      <c r="L1078" s="68">
        <v>46022</v>
      </c>
      <c r="M1078" s="68">
        <v>46203</v>
      </c>
      <c r="N1078" s="69">
        <f t="shared" si="52"/>
        <v>18</v>
      </c>
      <c r="O1078" s="69">
        <f t="shared" si="53"/>
        <v>2</v>
      </c>
      <c r="P1078" s="70">
        <v>9</v>
      </c>
      <c r="Q1078" s="70">
        <v>25</v>
      </c>
      <c r="R1078" s="70">
        <v>27</v>
      </c>
      <c r="S1078" s="68" t="str">
        <f t="shared" si="54"/>
        <v/>
      </c>
      <c r="T1078" s="68"/>
      <c r="U1078" s="68"/>
      <c r="V1078" s="68"/>
      <c r="W1078" s="9"/>
      <c r="X1078" s="10"/>
      <c r="Y1078" s="71">
        <f t="shared" si="55"/>
        <v>25</v>
      </c>
      <c r="Z1078" s="73">
        <f t="shared" si="56"/>
        <v>27</v>
      </c>
      <c r="AA1078" s="73">
        <f t="shared" si="57"/>
        <v>18</v>
      </c>
      <c r="AB1078" s="11" t="str">
        <f t="shared" si="58"/>
        <v/>
      </c>
      <c r="AC1078" s="73">
        <f t="shared" si="59"/>
        <v>2</v>
      </c>
      <c r="AD1078" s="11" t="str">
        <f t="shared" si="60"/>
        <v/>
      </c>
      <c r="AE1078" s="73">
        <f t="shared" si="61"/>
        <v>18.001078</v>
      </c>
      <c r="AF1078" s="11" t="str">
        <f t="shared" si="62"/>
        <v/>
      </c>
      <c r="AG1078" s="73">
        <f t="shared" si="63"/>
        <v>2.0010780000000001</v>
      </c>
      <c r="AH1078" s="11" t="str">
        <f t="shared" si="64"/>
        <v/>
      </c>
    </row>
    <row r="1079" spans="1:34" ht="14.25" customHeight="1">
      <c r="A1079" s="11">
        <v>1064</v>
      </c>
      <c r="B1079" s="66"/>
      <c r="C1079" s="67"/>
      <c r="D1079" s="67"/>
      <c r="E1079" s="67"/>
      <c r="F1079" s="67"/>
      <c r="G1079" s="67" t="s">
        <v>35</v>
      </c>
      <c r="H1079" s="67">
        <v>42674</v>
      </c>
      <c r="I1079" s="6" t="s">
        <v>1687</v>
      </c>
      <c r="J1079" s="9">
        <v>5948800274</v>
      </c>
      <c r="K1079" s="68">
        <v>42643</v>
      </c>
      <c r="L1079" s="68">
        <v>46022</v>
      </c>
      <c r="M1079" s="68">
        <v>46203</v>
      </c>
      <c r="N1079" s="69">
        <f t="shared" si="52"/>
        <v>-6</v>
      </c>
      <c r="O1079" s="69">
        <f t="shared" si="53"/>
        <v>0</v>
      </c>
      <c r="P1079" s="70">
        <v>6</v>
      </c>
      <c r="Q1079" s="70">
        <v>0</v>
      </c>
      <c r="R1079" s="70">
        <v>0</v>
      </c>
      <c r="S1079" s="68" t="str">
        <f t="shared" si="54"/>
        <v/>
      </c>
      <c r="T1079" s="68"/>
      <c r="U1079" s="68"/>
      <c r="V1079" s="68"/>
      <c r="W1079" s="9"/>
      <c r="X1079" s="10"/>
      <c r="Y1079" s="71">
        <f t="shared" si="55"/>
        <v>0</v>
      </c>
      <c r="Z1079" s="73">
        <f t="shared" si="56"/>
        <v>0</v>
      </c>
      <c r="AA1079" s="11" t="str">
        <f t="shared" si="57"/>
        <v/>
      </c>
      <c r="AB1079" s="73">
        <f t="shared" si="58"/>
        <v>-6</v>
      </c>
      <c r="AC1079" s="11" t="str">
        <f t="shared" si="59"/>
        <v/>
      </c>
      <c r="AD1079" s="73">
        <f t="shared" si="60"/>
        <v>0</v>
      </c>
      <c r="AE1079" s="11" t="str">
        <f t="shared" si="61"/>
        <v/>
      </c>
      <c r="AF1079" s="73">
        <f t="shared" si="62"/>
        <v>-5.9989210000000002</v>
      </c>
      <c r="AG1079" s="11" t="str">
        <f t="shared" si="63"/>
        <v/>
      </c>
      <c r="AH1079" s="73">
        <f t="shared" si="64"/>
        <v>1.0790000000000001E-3</v>
      </c>
    </row>
    <row r="1080" spans="1:34" ht="14.25" customHeight="1">
      <c r="A1080" s="11">
        <v>1065</v>
      </c>
      <c r="B1080" s="66" t="s">
        <v>35</v>
      </c>
      <c r="C1080" s="67">
        <v>45839</v>
      </c>
      <c r="D1080" s="67">
        <v>45819</v>
      </c>
      <c r="E1080" s="67">
        <v>45839</v>
      </c>
      <c r="F1080" s="67"/>
      <c r="G1080" s="67" t="s">
        <v>35</v>
      </c>
      <c r="H1080" s="67">
        <v>45820</v>
      </c>
      <c r="I1080" s="6" t="s">
        <v>1688</v>
      </c>
      <c r="J1080" s="9">
        <v>5948801889</v>
      </c>
      <c r="K1080" s="68">
        <v>45808</v>
      </c>
      <c r="L1080" s="68">
        <v>46022</v>
      </c>
      <c r="M1080" s="68">
        <v>46203</v>
      </c>
      <c r="N1080" s="69">
        <f t="shared" si="52"/>
        <v>11</v>
      </c>
      <c r="O1080" s="69">
        <f t="shared" si="53"/>
        <v>5</v>
      </c>
      <c r="P1080" s="70">
        <v>14</v>
      </c>
      <c r="Q1080" s="70">
        <v>20</v>
      </c>
      <c r="R1080" s="70">
        <v>25</v>
      </c>
      <c r="S1080" s="68" t="str">
        <f t="shared" si="54"/>
        <v/>
      </c>
      <c r="T1080" s="68"/>
      <c r="U1080" s="68"/>
      <c r="V1080" s="68"/>
      <c r="W1080" s="9"/>
      <c r="X1080" s="10" t="s">
        <v>1689</v>
      </c>
      <c r="Y1080" s="71">
        <f t="shared" si="55"/>
        <v>20</v>
      </c>
      <c r="Z1080" s="73">
        <f t="shared" si="56"/>
        <v>25</v>
      </c>
      <c r="AA1080" s="73">
        <f t="shared" si="57"/>
        <v>11</v>
      </c>
      <c r="AB1080" s="73">
        <f t="shared" si="58"/>
        <v>11</v>
      </c>
      <c r="AC1080" s="73">
        <f t="shared" si="59"/>
        <v>5</v>
      </c>
      <c r="AD1080" s="73">
        <f t="shared" si="60"/>
        <v>5</v>
      </c>
      <c r="AE1080" s="73">
        <f t="shared" si="61"/>
        <v>11.00108</v>
      </c>
      <c r="AF1080" s="73">
        <f t="shared" si="62"/>
        <v>11.00108</v>
      </c>
      <c r="AG1080" s="73">
        <f t="shared" si="63"/>
        <v>5.00108</v>
      </c>
      <c r="AH1080" s="73">
        <f t="shared" si="64"/>
        <v>5.00108</v>
      </c>
    </row>
    <row r="1081" spans="1:34" ht="14.25" customHeight="1">
      <c r="A1081" s="11">
        <v>1066</v>
      </c>
      <c r="B1081" s="66"/>
      <c r="C1081" s="67"/>
      <c r="D1081" s="67"/>
      <c r="E1081" s="67"/>
      <c r="F1081" s="67"/>
      <c r="G1081" s="67" t="s">
        <v>35</v>
      </c>
      <c r="H1081" s="67">
        <v>43549</v>
      </c>
      <c r="I1081" s="6" t="s">
        <v>1690</v>
      </c>
      <c r="J1081" s="9">
        <v>5958601272</v>
      </c>
      <c r="K1081" s="68">
        <v>43524</v>
      </c>
      <c r="L1081" s="68">
        <v>46022</v>
      </c>
      <c r="M1081" s="68">
        <v>46203</v>
      </c>
      <c r="N1081" s="69">
        <f t="shared" si="52"/>
        <v>-4</v>
      </c>
      <c r="O1081" s="69">
        <f t="shared" si="53"/>
        <v>-1</v>
      </c>
      <c r="P1081" s="70">
        <v>4</v>
      </c>
      <c r="Q1081" s="70">
        <v>1</v>
      </c>
      <c r="R1081" s="70">
        <v>0</v>
      </c>
      <c r="S1081" s="68" t="str">
        <f t="shared" si="54"/>
        <v/>
      </c>
      <c r="T1081" s="68"/>
      <c r="U1081" s="68"/>
      <c r="V1081" s="68"/>
      <c r="W1081" s="9"/>
      <c r="X1081" s="10"/>
      <c r="Y1081" s="71">
        <f t="shared" si="55"/>
        <v>1</v>
      </c>
      <c r="Z1081" s="73">
        <f t="shared" si="56"/>
        <v>0</v>
      </c>
      <c r="AA1081" s="11" t="str">
        <f t="shared" si="57"/>
        <v/>
      </c>
      <c r="AB1081" s="73">
        <f t="shared" si="58"/>
        <v>-4</v>
      </c>
      <c r="AC1081" s="11" t="str">
        <f t="shared" si="59"/>
        <v/>
      </c>
      <c r="AD1081" s="73">
        <f t="shared" si="60"/>
        <v>-1</v>
      </c>
      <c r="AE1081" s="11" t="str">
        <f t="shared" si="61"/>
        <v/>
      </c>
      <c r="AF1081" s="73">
        <f t="shared" si="62"/>
        <v>-3.9989189999999999</v>
      </c>
      <c r="AG1081" s="11" t="str">
        <f t="shared" si="63"/>
        <v/>
      </c>
      <c r="AH1081" s="73">
        <f t="shared" si="64"/>
        <v>-0.998919</v>
      </c>
    </row>
    <row r="1082" spans="1:34" ht="14.25" customHeight="1">
      <c r="A1082" s="11">
        <v>1067</v>
      </c>
      <c r="B1082" s="66" t="s">
        <v>24</v>
      </c>
      <c r="C1082" s="67">
        <v>44986</v>
      </c>
      <c r="D1082" s="67"/>
      <c r="E1082" s="67"/>
      <c r="F1082" s="67"/>
      <c r="G1082" s="67"/>
      <c r="H1082" s="67"/>
      <c r="I1082" s="6" t="s">
        <v>1691</v>
      </c>
      <c r="J1082" s="9">
        <v>5958801387</v>
      </c>
      <c r="K1082" s="68">
        <v>44985</v>
      </c>
      <c r="L1082" s="68" t="s">
        <v>230</v>
      </c>
      <c r="M1082" s="68">
        <v>45443</v>
      </c>
      <c r="N1082" s="69">
        <f t="shared" si="52"/>
        <v>-4</v>
      </c>
      <c r="O1082" s="69" t="str">
        <f t="shared" si="53"/>
        <v>N/A</v>
      </c>
      <c r="P1082" s="70">
        <v>4</v>
      </c>
      <c r="Q1082" s="70"/>
      <c r="R1082" s="70">
        <v>0</v>
      </c>
      <c r="S1082" s="68">
        <f t="shared" si="54"/>
        <v>45432</v>
      </c>
      <c r="T1082" s="68">
        <v>45432</v>
      </c>
      <c r="U1082" s="68"/>
      <c r="V1082" s="68"/>
      <c r="W1082" s="9"/>
      <c r="X1082" s="10"/>
      <c r="Y1082" s="65" t="str">
        <f t="shared" si="55"/>
        <v/>
      </c>
      <c r="Z1082" s="11" t="str">
        <f t="shared" si="56"/>
        <v/>
      </c>
      <c r="AA1082" s="73">
        <f t="shared" si="57"/>
        <v>-4</v>
      </c>
      <c r="AB1082" s="11" t="str">
        <f t="shared" si="58"/>
        <v/>
      </c>
      <c r="AC1082" s="11" t="str">
        <f t="shared" si="59"/>
        <v/>
      </c>
      <c r="AD1082" s="11" t="str">
        <f t="shared" si="60"/>
        <v/>
      </c>
      <c r="AE1082" s="73">
        <f t="shared" si="61"/>
        <v>-3.9989180000000002</v>
      </c>
      <c r="AF1082" s="11" t="str">
        <f t="shared" si="62"/>
        <v/>
      </c>
      <c r="AG1082" s="11" t="str">
        <f t="shared" si="63"/>
        <v/>
      </c>
      <c r="AH1082" s="11" t="str">
        <f t="shared" si="64"/>
        <v/>
      </c>
    </row>
    <row r="1083" spans="1:34" ht="14.25" customHeight="1">
      <c r="A1083" s="11">
        <v>1068</v>
      </c>
      <c r="B1083" s="66"/>
      <c r="C1083" s="67"/>
      <c r="D1083" s="67"/>
      <c r="E1083" s="67"/>
      <c r="F1083" s="67"/>
      <c r="G1083" s="67" t="s">
        <v>35</v>
      </c>
      <c r="H1083" s="67">
        <v>44442</v>
      </c>
      <c r="I1083" s="6" t="s">
        <v>1692</v>
      </c>
      <c r="J1083" s="9">
        <v>5958801596</v>
      </c>
      <c r="K1083" s="68">
        <v>44439</v>
      </c>
      <c r="L1083" s="68">
        <v>46022</v>
      </c>
      <c r="M1083" s="68">
        <v>46203</v>
      </c>
      <c r="N1083" s="69">
        <f t="shared" si="52"/>
        <v>7</v>
      </c>
      <c r="O1083" s="69">
        <f t="shared" si="53"/>
        <v>1</v>
      </c>
      <c r="P1083" s="70">
        <v>0</v>
      </c>
      <c r="Q1083" s="70">
        <v>6</v>
      </c>
      <c r="R1083" s="70">
        <v>7</v>
      </c>
      <c r="S1083" s="68" t="str">
        <f t="shared" si="54"/>
        <v/>
      </c>
      <c r="T1083" s="68"/>
      <c r="U1083" s="68"/>
      <c r="V1083" s="68"/>
      <c r="W1083" s="9"/>
      <c r="X1083" s="10"/>
      <c r="Y1083" s="71">
        <f t="shared" si="55"/>
        <v>6</v>
      </c>
      <c r="Z1083" s="73">
        <f t="shared" si="56"/>
        <v>7</v>
      </c>
      <c r="AA1083" s="11" t="str">
        <f t="shared" si="57"/>
        <v/>
      </c>
      <c r="AB1083" s="73">
        <f t="shared" si="58"/>
        <v>7</v>
      </c>
      <c r="AC1083" s="11" t="str">
        <f t="shared" si="59"/>
        <v/>
      </c>
      <c r="AD1083" s="73">
        <f t="shared" si="60"/>
        <v>1</v>
      </c>
      <c r="AE1083" s="11" t="str">
        <f t="shared" si="61"/>
        <v/>
      </c>
      <c r="AF1083" s="73">
        <f t="shared" si="62"/>
        <v>7.0010830000000004</v>
      </c>
      <c r="AG1083" s="11" t="str">
        <f t="shared" si="63"/>
        <v/>
      </c>
      <c r="AH1083" s="73">
        <f t="shared" si="64"/>
        <v>1.0010829999999999</v>
      </c>
    </row>
    <row r="1084" spans="1:34" ht="14.25" customHeight="1">
      <c r="A1084" s="11">
        <v>1069</v>
      </c>
      <c r="B1084" s="66"/>
      <c r="C1084" s="67"/>
      <c r="D1084" s="67"/>
      <c r="E1084" s="67"/>
      <c r="F1084" s="67"/>
      <c r="G1084" s="67" t="s">
        <v>35</v>
      </c>
      <c r="H1084" s="67">
        <v>45608</v>
      </c>
      <c r="I1084" s="6" t="s">
        <v>1693</v>
      </c>
      <c r="J1084" s="94">
        <v>5968100999</v>
      </c>
      <c r="K1084" s="68">
        <v>45930</v>
      </c>
      <c r="L1084" s="68">
        <v>46022</v>
      </c>
      <c r="M1084" s="68">
        <v>46203</v>
      </c>
      <c r="N1084" s="69">
        <f t="shared" si="52"/>
        <v>-2</v>
      </c>
      <c r="O1084" s="69">
        <f t="shared" si="53"/>
        <v>-4</v>
      </c>
      <c r="P1084" s="78">
        <v>56</v>
      </c>
      <c r="Q1084" s="78">
        <v>58</v>
      </c>
      <c r="R1084" s="78">
        <v>54</v>
      </c>
      <c r="S1084" s="68" t="str">
        <f t="shared" si="54"/>
        <v/>
      </c>
      <c r="T1084" s="68"/>
      <c r="U1084" s="95"/>
      <c r="V1084" s="68"/>
      <c r="W1084" s="6"/>
      <c r="X1084" s="93" t="s">
        <v>1149</v>
      </c>
      <c r="Y1084" s="71">
        <f t="shared" si="55"/>
        <v>58</v>
      </c>
      <c r="Z1084" s="73">
        <f t="shared" si="56"/>
        <v>54</v>
      </c>
      <c r="AA1084" s="11" t="str">
        <f t="shared" si="57"/>
        <v/>
      </c>
      <c r="AB1084" s="73">
        <f t="shared" si="58"/>
        <v>-2</v>
      </c>
      <c r="AC1084" s="11" t="str">
        <f t="shared" si="59"/>
        <v/>
      </c>
      <c r="AD1084" s="73">
        <f t="shared" si="60"/>
        <v>-4</v>
      </c>
      <c r="AE1084" s="11" t="str">
        <f t="shared" si="61"/>
        <v/>
      </c>
      <c r="AF1084" s="73">
        <f t="shared" si="62"/>
        <v>-1.9989159999999999</v>
      </c>
      <c r="AG1084" s="11" t="str">
        <f t="shared" si="63"/>
        <v/>
      </c>
      <c r="AH1084" s="73">
        <f t="shared" si="64"/>
        <v>-3.9989159999999999</v>
      </c>
    </row>
    <row r="1085" spans="1:34" ht="14.25" customHeight="1">
      <c r="A1085" s="11">
        <v>1070</v>
      </c>
      <c r="B1085" s="66"/>
      <c r="C1085" s="67"/>
      <c r="D1085" s="67"/>
      <c r="E1085" s="67"/>
      <c r="F1085" s="67"/>
      <c r="G1085" s="67" t="s">
        <v>35</v>
      </c>
      <c r="H1085" s="67">
        <v>44802</v>
      </c>
      <c r="I1085" s="6" t="s">
        <v>1694</v>
      </c>
      <c r="J1085" s="9">
        <v>5968101659</v>
      </c>
      <c r="K1085" s="68">
        <v>44773</v>
      </c>
      <c r="L1085" s="68">
        <v>46022</v>
      </c>
      <c r="M1085" s="68">
        <v>46203</v>
      </c>
      <c r="N1085" s="69">
        <f t="shared" si="52"/>
        <v>-44</v>
      </c>
      <c r="O1085" s="69">
        <f t="shared" si="53"/>
        <v>3</v>
      </c>
      <c r="P1085" s="70">
        <v>84</v>
      </c>
      <c r="Q1085" s="70">
        <v>37</v>
      </c>
      <c r="R1085" s="70">
        <v>40</v>
      </c>
      <c r="S1085" s="68" t="str">
        <f t="shared" si="54"/>
        <v/>
      </c>
      <c r="T1085" s="68"/>
      <c r="U1085" s="68"/>
      <c r="V1085" s="68"/>
      <c r="W1085" s="9"/>
      <c r="X1085" s="10"/>
      <c r="Y1085" s="71">
        <f t="shared" si="55"/>
        <v>37</v>
      </c>
      <c r="Z1085" s="73">
        <f t="shared" si="56"/>
        <v>40</v>
      </c>
      <c r="AA1085" s="11" t="str">
        <f t="shared" si="57"/>
        <v/>
      </c>
      <c r="AB1085" s="73">
        <f t="shared" si="58"/>
        <v>-44</v>
      </c>
      <c r="AC1085" s="11" t="str">
        <f t="shared" si="59"/>
        <v/>
      </c>
      <c r="AD1085" s="73">
        <f t="shared" si="60"/>
        <v>3</v>
      </c>
      <c r="AE1085" s="11" t="str">
        <f t="shared" si="61"/>
        <v/>
      </c>
      <c r="AF1085" s="73">
        <f t="shared" si="62"/>
        <v>-43.998914999999997</v>
      </c>
      <c r="AG1085" s="11" t="str">
        <f t="shared" si="63"/>
        <v/>
      </c>
      <c r="AH1085" s="73">
        <f t="shared" si="64"/>
        <v>3.0010849999999998</v>
      </c>
    </row>
    <row r="1086" spans="1:34" ht="14.25" customHeight="1">
      <c r="A1086" s="11">
        <v>1071</v>
      </c>
      <c r="B1086" s="66"/>
      <c r="C1086" s="67"/>
      <c r="D1086" s="67"/>
      <c r="E1086" s="67"/>
      <c r="F1086" s="67"/>
      <c r="G1086" s="67" t="s">
        <v>35</v>
      </c>
      <c r="H1086" s="67">
        <v>45378</v>
      </c>
      <c r="I1086" s="6" t="s">
        <v>1695</v>
      </c>
      <c r="J1086" s="9">
        <v>5968602124</v>
      </c>
      <c r="K1086" s="68">
        <v>45351</v>
      </c>
      <c r="L1086" s="68">
        <v>46022</v>
      </c>
      <c r="M1086" s="68">
        <v>46203</v>
      </c>
      <c r="N1086" s="69">
        <f t="shared" si="52"/>
        <v>3</v>
      </c>
      <c r="O1086" s="69">
        <f t="shared" si="53"/>
        <v>0</v>
      </c>
      <c r="P1086" s="70">
        <v>2</v>
      </c>
      <c r="Q1086" s="70">
        <v>5</v>
      </c>
      <c r="R1086" s="70">
        <v>5</v>
      </c>
      <c r="S1086" s="68" t="str">
        <f t="shared" si="54"/>
        <v/>
      </c>
      <c r="T1086" s="68"/>
      <c r="U1086" s="68"/>
      <c r="V1086" s="68"/>
      <c r="W1086" s="9"/>
      <c r="X1086" s="10"/>
      <c r="Y1086" s="71">
        <f t="shared" si="55"/>
        <v>5</v>
      </c>
      <c r="Z1086" s="73">
        <f t="shared" si="56"/>
        <v>5</v>
      </c>
      <c r="AA1086" s="11" t="str">
        <f t="shared" si="57"/>
        <v/>
      </c>
      <c r="AB1086" s="73">
        <f t="shared" si="58"/>
        <v>3</v>
      </c>
      <c r="AC1086" s="11" t="str">
        <f t="shared" si="59"/>
        <v/>
      </c>
      <c r="AD1086" s="73">
        <f t="shared" si="60"/>
        <v>0</v>
      </c>
      <c r="AE1086" s="11" t="str">
        <f t="shared" si="61"/>
        <v/>
      </c>
      <c r="AF1086" s="73">
        <f t="shared" si="62"/>
        <v>3.0010859999999999</v>
      </c>
      <c r="AG1086" s="11" t="str">
        <f t="shared" si="63"/>
        <v/>
      </c>
      <c r="AH1086" s="73">
        <f t="shared" si="64"/>
        <v>1.0859999999999999E-3</v>
      </c>
    </row>
    <row r="1087" spans="1:34" ht="14.25" customHeight="1">
      <c r="A1087" s="11">
        <v>1072</v>
      </c>
      <c r="B1087" s="66" t="s">
        <v>35</v>
      </c>
      <c r="C1087" s="67">
        <v>45748</v>
      </c>
      <c r="D1087" s="67">
        <v>45048</v>
      </c>
      <c r="E1087" s="67">
        <v>45748</v>
      </c>
      <c r="F1087" s="67"/>
      <c r="G1087" s="67" t="s">
        <v>35</v>
      </c>
      <c r="H1087" s="67">
        <v>45589</v>
      </c>
      <c r="I1087" s="6" t="s">
        <v>1696</v>
      </c>
      <c r="J1087" s="9">
        <v>5978100560</v>
      </c>
      <c r="K1087" s="68">
        <v>45046</v>
      </c>
      <c r="L1087" s="68">
        <v>46022</v>
      </c>
      <c r="M1087" s="68">
        <v>46203</v>
      </c>
      <c r="N1087" s="69">
        <f t="shared" si="52"/>
        <v>11</v>
      </c>
      <c r="O1087" s="69">
        <f t="shared" si="53"/>
        <v>1</v>
      </c>
      <c r="P1087" s="70">
        <v>8</v>
      </c>
      <c r="Q1087" s="70">
        <v>18</v>
      </c>
      <c r="R1087" s="70">
        <v>19</v>
      </c>
      <c r="S1087" s="68" t="str">
        <f t="shared" si="54"/>
        <v/>
      </c>
      <c r="T1087" s="68"/>
      <c r="U1087" s="68"/>
      <c r="V1087" s="68"/>
      <c r="W1087" s="9"/>
      <c r="X1087" s="10"/>
      <c r="Y1087" s="71">
        <f t="shared" si="55"/>
        <v>18</v>
      </c>
      <c r="Z1087" s="73">
        <f t="shared" si="56"/>
        <v>19</v>
      </c>
      <c r="AA1087" s="73">
        <f t="shared" si="57"/>
        <v>11</v>
      </c>
      <c r="AB1087" s="73">
        <f t="shared" si="58"/>
        <v>11</v>
      </c>
      <c r="AC1087" s="73">
        <f t="shared" si="59"/>
        <v>1</v>
      </c>
      <c r="AD1087" s="73">
        <f t="shared" si="60"/>
        <v>1</v>
      </c>
      <c r="AE1087" s="73">
        <f t="shared" si="61"/>
        <v>11.001087</v>
      </c>
      <c r="AF1087" s="73">
        <f t="shared" si="62"/>
        <v>11.001087</v>
      </c>
      <c r="AG1087" s="73">
        <f t="shared" si="63"/>
        <v>1.0010870000000001</v>
      </c>
      <c r="AH1087" s="73">
        <f t="shared" si="64"/>
        <v>1.0010870000000001</v>
      </c>
    </row>
    <row r="1088" spans="1:34" ht="14.25" customHeight="1">
      <c r="A1088" s="11">
        <v>1073</v>
      </c>
      <c r="B1088" s="66" t="s">
        <v>35</v>
      </c>
      <c r="C1088" s="67">
        <v>45352</v>
      </c>
      <c r="D1088" s="67"/>
      <c r="E1088" s="67"/>
      <c r="F1088" s="67"/>
      <c r="G1088" s="67" t="s">
        <v>35</v>
      </c>
      <c r="H1088" s="67">
        <v>45320</v>
      </c>
      <c r="I1088" s="6" t="s">
        <v>1697</v>
      </c>
      <c r="J1088" s="9">
        <v>5978803023</v>
      </c>
      <c r="K1088" s="68">
        <v>45291</v>
      </c>
      <c r="L1088" s="68">
        <v>46022</v>
      </c>
      <c r="M1088" s="68">
        <v>46203</v>
      </c>
      <c r="N1088" s="69">
        <f t="shared" si="52"/>
        <v>3</v>
      </c>
      <c r="O1088" s="69">
        <f t="shared" si="53"/>
        <v>0</v>
      </c>
      <c r="P1088" s="70">
        <v>0</v>
      </c>
      <c r="Q1088" s="70">
        <v>3</v>
      </c>
      <c r="R1088" s="70">
        <v>3</v>
      </c>
      <c r="S1088" s="68" t="str">
        <f t="shared" si="54"/>
        <v/>
      </c>
      <c r="T1088" s="68"/>
      <c r="U1088" s="68"/>
      <c r="V1088" s="68"/>
      <c r="W1088" s="9"/>
      <c r="X1088" s="10"/>
      <c r="Y1088" s="71">
        <f t="shared" si="55"/>
        <v>3</v>
      </c>
      <c r="Z1088" s="73">
        <f t="shared" si="56"/>
        <v>3</v>
      </c>
      <c r="AA1088" s="73">
        <f t="shared" si="57"/>
        <v>3</v>
      </c>
      <c r="AB1088" s="73">
        <f t="shared" si="58"/>
        <v>3</v>
      </c>
      <c r="AC1088" s="73">
        <f t="shared" si="59"/>
        <v>0</v>
      </c>
      <c r="AD1088" s="73">
        <f t="shared" si="60"/>
        <v>0</v>
      </c>
      <c r="AE1088" s="73">
        <f t="shared" si="61"/>
        <v>3.0010880000000002</v>
      </c>
      <c r="AF1088" s="73">
        <f t="shared" si="62"/>
        <v>3.0010880000000002</v>
      </c>
      <c r="AG1088" s="73">
        <f t="shared" si="63"/>
        <v>1.088E-3</v>
      </c>
      <c r="AH1088" s="73">
        <f t="shared" si="64"/>
        <v>1.088E-3</v>
      </c>
    </row>
    <row r="1089" spans="1:34" ht="14.25" customHeight="1">
      <c r="A1089" s="11">
        <v>1074</v>
      </c>
      <c r="B1089" s="66"/>
      <c r="C1089" s="67"/>
      <c r="D1089" s="67"/>
      <c r="E1089" s="67"/>
      <c r="F1089" s="67"/>
      <c r="G1089" s="67" t="s">
        <v>35</v>
      </c>
      <c r="H1089" s="67">
        <v>43335</v>
      </c>
      <c r="I1089" s="6" t="s">
        <v>1698</v>
      </c>
      <c r="J1089" s="9">
        <v>5988100957</v>
      </c>
      <c r="K1089" s="68">
        <v>43312</v>
      </c>
      <c r="L1089" s="68">
        <v>46022</v>
      </c>
      <c r="M1089" s="68">
        <v>46203</v>
      </c>
      <c r="N1089" s="69">
        <f t="shared" si="52"/>
        <v>9</v>
      </c>
      <c r="O1089" s="69">
        <f t="shared" si="53"/>
        <v>-1</v>
      </c>
      <c r="P1089" s="70">
        <v>4</v>
      </c>
      <c r="Q1089" s="70">
        <v>14</v>
      </c>
      <c r="R1089" s="70">
        <v>13</v>
      </c>
      <c r="S1089" s="68" t="str">
        <f t="shared" si="54"/>
        <v/>
      </c>
      <c r="T1089" s="68"/>
      <c r="U1089" s="68"/>
      <c r="V1089" s="68"/>
      <c r="W1089" s="9"/>
      <c r="X1089" s="10"/>
      <c r="Y1089" s="71">
        <f t="shared" si="55"/>
        <v>14</v>
      </c>
      <c r="Z1089" s="73">
        <f t="shared" si="56"/>
        <v>13</v>
      </c>
      <c r="AA1089" s="11" t="str">
        <f t="shared" si="57"/>
        <v/>
      </c>
      <c r="AB1089" s="73">
        <f t="shared" si="58"/>
        <v>9</v>
      </c>
      <c r="AC1089" s="11" t="str">
        <f t="shared" si="59"/>
        <v/>
      </c>
      <c r="AD1089" s="73">
        <f t="shared" si="60"/>
        <v>-1</v>
      </c>
      <c r="AE1089" s="11" t="str">
        <f t="shared" si="61"/>
        <v/>
      </c>
      <c r="AF1089" s="73">
        <f t="shared" si="62"/>
        <v>9.0010890000000003</v>
      </c>
      <c r="AG1089" s="11" t="str">
        <f t="shared" si="63"/>
        <v/>
      </c>
      <c r="AH1089" s="73">
        <f t="shared" si="64"/>
        <v>-0.99891099999999999</v>
      </c>
    </row>
    <row r="1090" spans="1:34" ht="14.25" customHeight="1">
      <c r="A1090" s="11">
        <v>1075</v>
      </c>
      <c r="B1090" s="66"/>
      <c r="C1090" s="67"/>
      <c r="D1090" s="67"/>
      <c r="E1090" s="67"/>
      <c r="F1090" s="67"/>
      <c r="G1090" s="67" t="s">
        <v>35</v>
      </c>
      <c r="H1090" s="67">
        <v>45313</v>
      </c>
      <c r="I1090" s="6" t="s">
        <v>1699</v>
      </c>
      <c r="J1090" s="9">
        <v>5988102595</v>
      </c>
      <c r="K1090" s="68">
        <v>45291</v>
      </c>
      <c r="L1090" s="68">
        <v>46022</v>
      </c>
      <c r="M1090" s="68">
        <v>46203</v>
      </c>
      <c r="N1090" s="69">
        <f t="shared" si="52"/>
        <v>14</v>
      </c>
      <c r="O1090" s="69">
        <f t="shared" si="53"/>
        <v>7</v>
      </c>
      <c r="P1090" s="70">
        <v>7</v>
      </c>
      <c r="Q1090" s="70">
        <v>14</v>
      </c>
      <c r="R1090" s="70">
        <v>21</v>
      </c>
      <c r="S1090" s="68" t="str">
        <f t="shared" si="54"/>
        <v/>
      </c>
      <c r="T1090" s="68"/>
      <c r="U1090" s="68"/>
      <c r="V1090" s="68"/>
      <c r="W1090" s="9"/>
      <c r="X1090" s="10" t="s">
        <v>1700</v>
      </c>
      <c r="Y1090" s="71">
        <f t="shared" si="55"/>
        <v>14</v>
      </c>
      <c r="Z1090" s="73">
        <f t="shared" si="56"/>
        <v>21</v>
      </c>
      <c r="AA1090" s="11" t="str">
        <f t="shared" si="57"/>
        <v/>
      </c>
      <c r="AB1090" s="73">
        <f t="shared" si="58"/>
        <v>14</v>
      </c>
      <c r="AC1090" s="11" t="str">
        <f t="shared" si="59"/>
        <v/>
      </c>
      <c r="AD1090" s="73">
        <f t="shared" si="60"/>
        <v>7</v>
      </c>
      <c r="AE1090" s="11" t="str">
        <f t="shared" si="61"/>
        <v/>
      </c>
      <c r="AF1090" s="73">
        <f t="shared" si="62"/>
        <v>14.00109</v>
      </c>
      <c r="AG1090" s="11" t="str">
        <f t="shared" si="63"/>
        <v/>
      </c>
      <c r="AH1090" s="73">
        <f t="shared" si="64"/>
        <v>7.0010899999999996</v>
      </c>
    </row>
    <row r="1091" spans="1:34" ht="14.25" customHeight="1">
      <c r="A1091" s="11">
        <v>1076</v>
      </c>
      <c r="B1091" s="66"/>
      <c r="C1091" s="67"/>
      <c r="D1091" s="67"/>
      <c r="E1091" s="67"/>
      <c r="F1091" s="67"/>
      <c r="G1091" s="67" t="s">
        <v>35</v>
      </c>
      <c r="H1091" s="67">
        <v>45188</v>
      </c>
      <c r="I1091" s="6" t="s">
        <v>1701</v>
      </c>
      <c r="J1091" s="9">
        <v>6018802866</v>
      </c>
      <c r="K1091" s="68">
        <v>45169</v>
      </c>
      <c r="L1091" s="68">
        <v>46022</v>
      </c>
      <c r="M1091" s="68">
        <v>46203</v>
      </c>
      <c r="N1091" s="69">
        <f t="shared" si="52"/>
        <v>8</v>
      </c>
      <c r="O1091" s="69">
        <f t="shared" si="53"/>
        <v>0</v>
      </c>
      <c r="P1091" s="70">
        <v>3</v>
      </c>
      <c r="Q1091" s="70">
        <v>11</v>
      </c>
      <c r="R1091" s="70">
        <v>11</v>
      </c>
      <c r="S1091" s="68" t="str">
        <f t="shared" si="54"/>
        <v/>
      </c>
      <c r="T1091" s="68"/>
      <c r="U1091" s="68"/>
      <c r="V1091" s="68"/>
      <c r="W1091" s="9"/>
      <c r="X1091" s="10"/>
      <c r="Y1091" s="71">
        <f t="shared" si="55"/>
        <v>11</v>
      </c>
      <c r="Z1091" s="73">
        <f t="shared" si="56"/>
        <v>11</v>
      </c>
      <c r="AA1091" s="11" t="str">
        <f t="shared" si="57"/>
        <v/>
      </c>
      <c r="AB1091" s="73">
        <f t="shared" si="58"/>
        <v>8</v>
      </c>
      <c r="AC1091" s="11" t="str">
        <f t="shared" si="59"/>
        <v/>
      </c>
      <c r="AD1091" s="73">
        <f t="shared" si="60"/>
        <v>0</v>
      </c>
      <c r="AE1091" s="11" t="str">
        <f t="shared" si="61"/>
        <v/>
      </c>
      <c r="AF1091" s="73">
        <f t="shared" si="62"/>
        <v>8.0010910000000006</v>
      </c>
      <c r="AG1091" s="11" t="str">
        <f t="shared" si="63"/>
        <v/>
      </c>
      <c r="AH1091" s="73">
        <f t="shared" si="64"/>
        <v>1.091E-3</v>
      </c>
    </row>
    <row r="1092" spans="1:34" ht="14.25" customHeight="1">
      <c r="A1092" s="11">
        <v>1077</v>
      </c>
      <c r="B1092" s="66"/>
      <c r="C1092" s="67"/>
      <c r="D1092" s="67"/>
      <c r="E1092" s="67"/>
      <c r="F1092" s="67"/>
      <c r="G1092" s="67" t="s">
        <v>35</v>
      </c>
      <c r="H1092" s="67">
        <v>44246</v>
      </c>
      <c r="I1092" s="6" t="s">
        <v>1702</v>
      </c>
      <c r="J1092" s="9">
        <v>6028166689</v>
      </c>
      <c r="K1092" s="68">
        <v>44227</v>
      </c>
      <c r="L1092" s="68">
        <v>46022</v>
      </c>
      <c r="M1092" s="68">
        <v>46203</v>
      </c>
      <c r="N1092" s="69">
        <f t="shared" si="52"/>
        <v>-7</v>
      </c>
      <c r="O1092" s="69">
        <f t="shared" si="53"/>
        <v>0</v>
      </c>
      <c r="P1092" s="70">
        <v>9</v>
      </c>
      <c r="Q1092" s="70">
        <v>2</v>
      </c>
      <c r="R1092" s="70">
        <v>2</v>
      </c>
      <c r="S1092" s="68" t="str">
        <f t="shared" si="54"/>
        <v/>
      </c>
      <c r="T1092" s="68"/>
      <c r="U1092" s="68"/>
      <c r="V1092" s="68"/>
      <c r="W1092" s="9"/>
      <c r="X1092" s="10"/>
      <c r="Y1092" s="71">
        <f t="shared" si="55"/>
        <v>2</v>
      </c>
      <c r="Z1092" s="73">
        <f t="shared" si="56"/>
        <v>2</v>
      </c>
      <c r="AA1092" s="11" t="str">
        <f t="shared" si="57"/>
        <v/>
      </c>
      <c r="AB1092" s="73">
        <f t="shared" si="58"/>
        <v>-7</v>
      </c>
      <c r="AC1092" s="11" t="str">
        <f t="shared" si="59"/>
        <v/>
      </c>
      <c r="AD1092" s="73">
        <f t="shared" si="60"/>
        <v>0</v>
      </c>
      <c r="AE1092" s="11" t="str">
        <f t="shared" si="61"/>
        <v/>
      </c>
      <c r="AF1092" s="73">
        <f t="shared" si="62"/>
        <v>-6.9989080000000001</v>
      </c>
      <c r="AG1092" s="11" t="str">
        <f t="shared" si="63"/>
        <v/>
      </c>
      <c r="AH1092" s="73">
        <f t="shared" si="64"/>
        <v>1.0920000000000001E-3</v>
      </c>
    </row>
    <row r="1093" spans="1:34" ht="14.25" customHeight="1">
      <c r="A1093" s="11">
        <v>1078</v>
      </c>
      <c r="B1093" s="66"/>
      <c r="C1093" s="67"/>
      <c r="D1093" s="67"/>
      <c r="E1093" s="67"/>
      <c r="F1093" s="67"/>
      <c r="G1093" s="67" t="s">
        <v>35</v>
      </c>
      <c r="H1093" s="67">
        <v>44455</v>
      </c>
      <c r="I1093" s="6" t="s">
        <v>1703</v>
      </c>
      <c r="J1093" s="9">
        <v>6028168504</v>
      </c>
      <c r="K1093" s="68">
        <v>44439</v>
      </c>
      <c r="L1093" s="68">
        <v>46022</v>
      </c>
      <c r="M1093" s="68">
        <v>46203</v>
      </c>
      <c r="N1093" s="69">
        <f t="shared" si="52"/>
        <v>4</v>
      </c>
      <c r="O1093" s="69">
        <f t="shared" si="53"/>
        <v>2</v>
      </c>
      <c r="P1093" s="70">
        <v>6</v>
      </c>
      <c r="Q1093" s="70">
        <v>8</v>
      </c>
      <c r="R1093" s="70">
        <v>10</v>
      </c>
      <c r="S1093" s="68" t="str">
        <f t="shared" si="54"/>
        <v/>
      </c>
      <c r="T1093" s="68"/>
      <c r="U1093" s="68"/>
      <c r="V1093" s="68"/>
      <c r="W1093" s="9"/>
      <c r="X1093" s="10"/>
      <c r="Y1093" s="71">
        <f t="shared" si="55"/>
        <v>8</v>
      </c>
      <c r="Z1093" s="73">
        <f t="shared" si="56"/>
        <v>10</v>
      </c>
      <c r="AA1093" s="11" t="str">
        <f t="shared" si="57"/>
        <v/>
      </c>
      <c r="AB1093" s="73">
        <f t="shared" si="58"/>
        <v>4</v>
      </c>
      <c r="AC1093" s="11" t="str">
        <f t="shared" si="59"/>
        <v/>
      </c>
      <c r="AD1093" s="73">
        <f t="shared" si="60"/>
        <v>2</v>
      </c>
      <c r="AE1093" s="11" t="str">
        <f t="shared" si="61"/>
        <v/>
      </c>
      <c r="AF1093" s="73">
        <f t="shared" si="62"/>
        <v>4.001093</v>
      </c>
      <c r="AG1093" s="11" t="str">
        <f t="shared" si="63"/>
        <v/>
      </c>
      <c r="AH1093" s="73">
        <f t="shared" si="64"/>
        <v>2.001093</v>
      </c>
    </row>
    <row r="1094" spans="1:34" ht="14.25" customHeight="1">
      <c r="A1094" s="11">
        <v>1079</v>
      </c>
      <c r="B1094" s="66"/>
      <c r="C1094" s="67"/>
      <c r="D1094" s="67"/>
      <c r="E1094" s="67"/>
      <c r="F1094" s="67"/>
      <c r="G1094" s="124" t="s">
        <v>24</v>
      </c>
      <c r="H1094" s="67">
        <v>44764</v>
      </c>
      <c r="I1094" s="6" t="s">
        <v>1704</v>
      </c>
      <c r="J1094" s="9">
        <v>6028701922</v>
      </c>
      <c r="K1094" s="68">
        <v>44742</v>
      </c>
      <c r="L1094" s="68">
        <v>46022</v>
      </c>
      <c r="M1094" s="68">
        <v>46203</v>
      </c>
      <c r="N1094" s="69">
        <f t="shared" si="52"/>
        <v>-6</v>
      </c>
      <c r="O1094" s="69">
        <f t="shared" si="53"/>
        <v>0</v>
      </c>
      <c r="P1094" s="70">
        <v>6</v>
      </c>
      <c r="Q1094" s="70">
        <v>0</v>
      </c>
      <c r="R1094" s="70">
        <v>0</v>
      </c>
      <c r="S1094" s="68">
        <f t="shared" si="54"/>
        <v>46188</v>
      </c>
      <c r="T1094" s="68">
        <v>46188</v>
      </c>
      <c r="U1094" s="68"/>
      <c r="V1094" s="68"/>
      <c r="W1094" s="9"/>
      <c r="X1094" s="10"/>
      <c r="Y1094" s="71">
        <f t="shared" si="55"/>
        <v>0</v>
      </c>
      <c r="Z1094" s="73">
        <f t="shared" si="56"/>
        <v>0</v>
      </c>
      <c r="AA1094" s="11" t="str">
        <f t="shared" si="57"/>
        <v/>
      </c>
      <c r="AB1094" s="73">
        <f t="shared" si="58"/>
        <v>-6</v>
      </c>
      <c r="AC1094" s="11" t="str">
        <f t="shared" si="59"/>
        <v/>
      </c>
      <c r="AD1094" s="73">
        <f t="shared" si="60"/>
        <v>0</v>
      </c>
      <c r="AE1094" s="11" t="str">
        <f t="shared" si="61"/>
        <v/>
      </c>
      <c r="AF1094" s="73">
        <f t="shared" si="62"/>
        <v>-5.9989059999999998</v>
      </c>
      <c r="AG1094" s="11" t="str">
        <f t="shared" si="63"/>
        <v/>
      </c>
      <c r="AH1094" s="73">
        <f t="shared" si="64"/>
        <v>1.0939999999999999E-3</v>
      </c>
    </row>
    <row r="1095" spans="1:34" ht="14.25" customHeight="1">
      <c r="A1095" s="11">
        <v>1080</v>
      </c>
      <c r="B1095" s="66"/>
      <c r="C1095" s="67"/>
      <c r="D1095" s="67"/>
      <c r="E1095" s="67"/>
      <c r="F1095" s="67"/>
      <c r="G1095" s="67" t="s">
        <v>35</v>
      </c>
      <c r="H1095" s="67">
        <v>44508</v>
      </c>
      <c r="I1095" s="6" t="s">
        <v>1705</v>
      </c>
      <c r="J1095" s="9">
        <v>6028702294</v>
      </c>
      <c r="K1095" s="68">
        <v>44500</v>
      </c>
      <c r="L1095" s="68">
        <v>46022</v>
      </c>
      <c r="M1095" s="68">
        <v>46203</v>
      </c>
      <c r="N1095" s="69">
        <f t="shared" si="52"/>
        <v>8</v>
      </c>
      <c r="O1095" s="69">
        <f t="shared" si="53"/>
        <v>4</v>
      </c>
      <c r="P1095" s="70">
        <v>2</v>
      </c>
      <c r="Q1095" s="70">
        <v>6</v>
      </c>
      <c r="R1095" s="70">
        <v>10</v>
      </c>
      <c r="S1095" s="68" t="str">
        <f t="shared" si="54"/>
        <v/>
      </c>
      <c r="T1095" s="68"/>
      <c r="U1095" s="68"/>
      <c r="V1095" s="68"/>
      <c r="W1095" s="9"/>
      <c r="X1095" s="10"/>
      <c r="Y1095" s="71">
        <f t="shared" si="55"/>
        <v>6</v>
      </c>
      <c r="Z1095" s="73">
        <f t="shared" si="56"/>
        <v>10</v>
      </c>
      <c r="AA1095" s="11" t="str">
        <f t="shared" si="57"/>
        <v/>
      </c>
      <c r="AB1095" s="73">
        <f t="shared" si="58"/>
        <v>8</v>
      </c>
      <c r="AC1095" s="11" t="str">
        <f t="shared" si="59"/>
        <v/>
      </c>
      <c r="AD1095" s="73">
        <f t="shared" si="60"/>
        <v>4</v>
      </c>
      <c r="AE1095" s="11" t="str">
        <f t="shared" si="61"/>
        <v/>
      </c>
      <c r="AF1095" s="73">
        <f t="shared" si="62"/>
        <v>8.0010949999999994</v>
      </c>
      <c r="AG1095" s="11" t="str">
        <f t="shared" si="63"/>
        <v/>
      </c>
      <c r="AH1095" s="73">
        <f t="shared" si="64"/>
        <v>4.0010950000000003</v>
      </c>
    </row>
    <row r="1096" spans="1:34" ht="14.25" customHeight="1">
      <c r="A1096" s="11">
        <v>1081</v>
      </c>
      <c r="B1096" s="66" t="s">
        <v>35</v>
      </c>
      <c r="C1096" s="67">
        <v>44057</v>
      </c>
      <c r="D1096" s="67">
        <v>44126</v>
      </c>
      <c r="E1096" s="67"/>
      <c r="F1096" s="67"/>
      <c r="G1096" s="67" t="s">
        <v>35</v>
      </c>
      <c r="H1096" s="67">
        <v>44789</v>
      </c>
      <c r="I1096" s="6" t="s">
        <v>1706</v>
      </c>
      <c r="J1096" s="9">
        <v>6038800597</v>
      </c>
      <c r="K1096" s="68">
        <v>44043</v>
      </c>
      <c r="L1096" s="68">
        <v>46022</v>
      </c>
      <c r="M1096" s="68">
        <v>46203</v>
      </c>
      <c r="N1096" s="69">
        <f t="shared" si="52"/>
        <v>5</v>
      </c>
      <c r="O1096" s="69">
        <f t="shared" si="53"/>
        <v>-34</v>
      </c>
      <c r="P1096" s="70">
        <v>16</v>
      </c>
      <c r="Q1096" s="70">
        <v>55</v>
      </c>
      <c r="R1096" s="70">
        <v>21</v>
      </c>
      <c r="S1096" s="68" t="str">
        <f t="shared" si="54"/>
        <v/>
      </c>
      <c r="T1096" s="68"/>
      <c r="U1096" s="68"/>
      <c r="V1096" s="68"/>
      <c r="W1096" s="9"/>
      <c r="X1096" s="10"/>
      <c r="Y1096" s="71">
        <f t="shared" si="55"/>
        <v>55</v>
      </c>
      <c r="Z1096" s="73">
        <f t="shared" si="56"/>
        <v>21</v>
      </c>
      <c r="AA1096" s="73">
        <f t="shared" si="57"/>
        <v>5</v>
      </c>
      <c r="AB1096" s="73">
        <f t="shared" si="58"/>
        <v>5</v>
      </c>
      <c r="AC1096" s="73">
        <f t="shared" si="59"/>
        <v>-34</v>
      </c>
      <c r="AD1096" s="73">
        <f t="shared" si="60"/>
        <v>-34</v>
      </c>
      <c r="AE1096" s="73">
        <f t="shared" si="61"/>
        <v>5.0010960000000004</v>
      </c>
      <c r="AF1096" s="73">
        <f t="shared" si="62"/>
        <v>5.0010960000000004</v>
      </c>
      <c r="AG1096" s="73">
        <f t="shared" si="63"/>
        <v>-33.998904000000003</v>
      </c>
      <c r="AH1096" s="73">
        <f t="shared" si="64"/>
        <v>-33.998904000000003</v>
      </c>
    </row>
    <row r="1097" spans="1:34" ht="14.25" customHeight="1">
      <c r="A1097" s="11">
        <v>1082</v>
      </c>
      <c r="B1097" s="66"/>
      <c r="C1097" s="67"/>
      <c r="D1097" s="67"/>
      <c r="E1097" s="67"/>
      <c r="F1097" s="67"/>
      <c r="G1097" s="67" t="s">
        <v>35</v>
      </c>
      <c r="H1097" s="67">
        <v>44260</v>
      </c>
      <c r="I1097" s="6" t="s">
        <v>1707</v>
      </c>
      <c r="J1097" s="9">
        <v>6048601708</v>
      </c>
      <c r="K1097" s="68">
        <v>44255</v>
      </c>
      <c r="L1097" s="68">
        <v>46022</v>
      </c>
      <c r="M1097" s="68">
        <v>46203</v>
      </c>
      <c r="N1097" s="69">
        <f t="shared" si="52"/>
        <v>7</v>
      </c>
      <c r="O1097" s="69">
        <f t="shared" si="53"/>
        <v>0</v>
      </c>
      <c r="P1097" s="70">
        <v>3</v>
      </c>
      <c r="Q1097" s="70">
        <v>10</v>
      </c>
      <c r="R1097" s="70">
        <v>10</v>
      </c>
      <c r="S1097" s="68" t="str">
        <f t="shared" si="54"/>
        <v/>
      </c>
      <c r="T1097" s="68"/>
      <c r="U1097" s="68"/>
      <c r="V1097" s="68"/>
      <c r="W1097" s="9"/>
      <c r="X1097" s="10"/>
      <c r="Y1097" s="71">
        <f t="shared" si="55"/>
        <v>10</v>
      </c>
      <c r="Z1097" s="73">
        <f t="shared" si="56"/>
        <v>10</v>
      </c>
      <c r="AA1097" s="11" t="str">
        <f t="shared" si="57"/>
        <v/>
      </c>
      <c r="AB1097" s="73">
        <f t="shared" si="58"/>
        <v>7</v>
      </c>
      <c r="AC1097" s="11" t="str">
        <f t="shared" si="59"/>
        <v/>
      </c>
      <c r="AD1097" s="73">
        <f t="shared" si="60"/>
        <v>0</v>
      </c>
      <c r="AE1097" s="11" t="str">
        <f t="shared" si="61"/>
        <v/>
      </c>
      <c r="AF1097" s="73">
        <f t="shared" si="62"/>
        <v>7.0010969999999997</v>
      </c>
      <c r="AG1097" s="11" t="str">
        <f t="shared" si="63"/>
        <v/>
      </c>
      <c r="AH1097" s="73">
        <f t="shared" si="64"/>
        <v>1.0970000000000001E-3</v>
      </c>
    </row>
    <row r="1098" spans="1:34" ht="14.25" customHeight="1">
      <c r="A1098" s="11">
        <v>1083</v>
      </c>
      <c r="B1098" s="66"/>
      <c r="C1098" s="67"/>
      <c r="D1098" s="67"/>
      <c r="E1098" s="67"/>
      <c r="F1098" s="67"/>
      <c r="G1098" s="67" t="s">
        <v>35</v>
      </c>
      <c r="H1098" s="67">
        <v>41793</v>
      </c>
      <c r="I1098" s="6" t="s">
        <v>1708</v>
      </c>
      <c r="J1098" s="9">
        <v>6068633899</v>
      </c>
      <c r="K1098" s="68">
        <v>41790</v>
      </c>
      <c r="L1098" s="68">
        <v>46022</v>
      </c>
      <c r="M1098" s="68">
        <v>46203</v>
      </c>
      <c r="N1098" s="69">
        <f t="shared" si="52"/>
        <v>4</v>
      </c>
      <c r="O1098" s="69">
        <f t="shared" si="53"/>
        <v>1</v>
      </c>
      <c r="P1098" s="70">
        <v>0</v>
      </c>
      <c r="Q1098" s="70">
        <v>3</v>
      </c>
      <c r="R1098" s="70">
        <v>4</v>
      </c>
      <c r="S1098" s="68" t="str">
        <f t="shared" si="54"/>
        <v/>
      </c>
      <c r="T1098" s="68"/>
      <c r="U1098" s="68"/>
      <c r="V1098" s="68"/>
      <c r="W1098" s="9"/>
      <c r="X1098" s="10"/>
      <c r="Y1098" s="71">
        <f t="shared" si="55"/>
        <v>3</v>
      </c>
      <c r="Z1098" s="73">
        <f t="shared" si="56"/>
        <v>4</v>
      </c>
      <c r="AA1098" s="11" t="str">
        <f t="shared" si="57"/>
        <v/>
      </c>
      <c r="AB1098" s="73">
        <f t="shared" si="58"/>
        <v>4</v>
      </c>
      <c r="AC1098" s="11" t="str">
        <f t="shared" si="59"/>
        <v/>
      </c>
      <c r="AD1098" s="73">
        <f t="shared" si="60"/>
        <v>1</v>
      </c>
      <c r="AE1098" s="11" t="str">
        <f t="shared" si="61"/>
        <v/>
      </c>
      <c r="AF1098" s="73">
        <f t="shared" si="62"/>
        <v>4.0010979999999998</v>
      </c>
      <c r="AG1098" s="11" t="str">
        <f t="shared" si="63"/>
        <v/>
      </c>
      <c r="AH1098" s="73">
        <f t="shared" si="64"/>
        <v>1.001098</v>
      </c>
    </row>
    <row r="1099" spans="1:34" ht="14.25" customHeight="1">
      <c r="A1099" s="11">
        <v>1084</v>
      </c>
      <c r="B1099" s="66"/>
      <c r="C1099" s="67"/>
      <c r="D1099" s="67"/>
      <c r="E1099" s="67"/>
      <c r="F1099" s="67"/>
      <c r="G1099" s="67" t="s">
        <v>35</v>
      </c>
      <c r="H1099" s="67">
        <v>42233</v>
      </c>
      <c r="I1099" s="6" t="s">
        <v>1709</v>
      </c>
      <c r="J1099" s="9">
        <v>6068800621</v>
      </c>
      <c r="K1099" s="68">
        <v>42216</v>
      </c>
      <c r="L1099" s="68">
        <v>46022</v>
      </c>
      <c r="M1099" s="68">
        <v>46203</v>
      </c>
      <c r="N1099" s="69">
        <f t="shared" si="52"/>
        <v>1</v>
      </c>
      <c r="O1099" s="69">
        <f t="shared" si="53"/>
        <v>0</v>
      </c>
      <c r="P1099" s="70">
        <v>0</v>
      </c>
      <c r="Q1099" s="70">
        <v>1</v>
      </c>
      <c r="R1099" s="70">
        <v>1</v>
      </c>
      <c r="S1099" s="68" t="str">
        <f t="shared" si="54"/>
        <v/>
      </c>
      <c r="T1099" s="68"/>
      <c r="U1099" s="68"/>
      <c r="V1099" s="68"/>
      <c r="W1099" s="9"/>
      <c r="X1099" s="10"/>
      <c r="Y1099" s="71">
        <f t="shared" si="55"/>
        <v>1</v>
      </c>
      <c r="Z1099" s="73">
        <f t="shared" si="56"/>
        <v>1</v>
      </c>
      <c r="AA1099" s="11" t="str">
        <f t="shared" si="57"/>
        <v/>
      </c>
      <c r="AB1099" s="73">
        <f t="shared" si="58"/>
        <v>1</v>
      </c>
      <c r="AC1099" s="11" t="str">
        <f t="shared" si="59"/>
        <v/>
      </c>
      <c r="AD1099" s="73">
        <f t="shared" si="60"/>
        <v>0</v>
      </c>
      <c r="AE1099" s="11" t="str">
        <f t="shared" si="61"/>
        <v/>
      </c>
      <c r="AF1099" s="73">
        <f t="shared" si="62"/>
        <v>1.001099</v>
      </c>
      <c r="AG1099" s="11" t="str">
        <f t="shared" si="63"/>
        <v/>
      </c>
      <c r="AH1099" s="73">
        <f t="shared" si="64"/>
        <v>1.0989999999999999E-3</v>
      </c>
    </row>
    <row r="1100" spans="1:34" ht="14.25" customHeight="1">
      <c r="A1100" s="11">
        <v>1085</v>
      </c>
      <c r="B1100" s="66"/>
      <c r="C1100" s="67"/>
      <c r="D1100" s="67"/>
      <c r="E1100" s="67"/>
      <c r="F1100" s="67"/>
      <c r="G1100" s="67" t="s">
        <v>35</v>
      </c>
      <c r="H1100" s="67">
        <v>45411</v>
      </c>
      <c r="I1100" s="6" t="s">
        <v>1710</v>
      </c>
      <c r="J1100" s="9">
        <v>6068802328</v>
      </c>
      <c r="K1100" s="68">
        <v>45382</v>
      </c>
      <c r="L1100" s="68">
        <v>46022</v>
      </c>
      <c r="M1100" s="68">
        <v>46203</v>
      </c>
      <c r="N1100" s="69">
        <f t="shared" si="52"/>
        <v>19</v>
      </c>
      <c r="O1100" s="69">
        <f t="shared" si="53"/>
        <v>-2</v>
      </c>
      <c r="P1100" s="70">
        <v>3</v>
      </c>
      <c r="Q1100" s="70">
        <v>24</v>
      </c>
      <c r="R1100" s="70">
        <v>22</v>
      </c>
      <c r="S1100" s="68" t="str">
        <f t="shared" si="54"/>
        <v/>
      </c>
      <c r="T1100" s="68"/>
      <c r="U1100" s="68"/>
      <c r="V1100" s="68"/>
      <c r="W1100" s="9"/>
      <c r="X1100" s="10"/>
      <c r="Y1100" s="71">
        <f t="shared" si="55"/>
        <v>24</v>
      </c>
      <c r="Z1100" s="73">
        <f t="shared" si="56"/>
        <v>22</v>
      </c>
      <c r="AA1100" s="11" t="str">
        <f t="shared" si="57"/>
        <v/>
      </c>
      <c r="AB1100" s="73">
        <f t="shared" si="58"/>
        <v>19</v>
      </c>
      <c r="AC1100" s="11" t="str">
        <f t="shared" si="59"/>
        <v/>
      </c>
      <c r="AD1100" s="73">
        <f t="shared" si="60"/>
        <v>-2</v>
      </c>
      <c r="AE1100" s="11" t="str">
        <f t="shared" si="61"/>
        <v/>
      </c>
      <c r="AF1100" s="73">
        <f t="shared" si="62"/>
        <v>19.001100000000001</v>
      </c>
      <c r="AG1100" s="11" t="str">
        <f t="shared" si="63"/>
        <v/>
      </c>
      <c r="AH1100" s="73">
        <f t="shared" si="64"/>
        <v>-1.9988999999999999</v>
      </c>
    </row>
    <row r="1101" spans="1:34" ht="14.25" customHeight="1">
      <c r="A1101" s="11">
        <v>1086</v>
      </c>
      <c r="B1101" s="66"/>
      <c r="C1101" s="67"/>
      <c r="D1101" s="67"/>
      <c r="E1101" s="67"/>
      <c r="F1101" s="67"/>
      <c r="G1101" s="67" t="s">
        <v>35</v>
      </c>
      <c r="H1101" s="67">
        <v>45924</v>
      </c>
      <c r="I1101" s="6" t="s">
        <v>1711</v>
      </c>
      <c r="J1101" s="94">
        <v>6078703788</v>
      </c>
      <c r="K1101" s="68">
        <v>45900</v>
      </c>
      <c r="L1101" s="68">
        <v>46022</v>
      </c>
      <c r="M1101" s="68">
        <v>46203</v>
      </c>
      <c r="N1101" s="69">
        <f t="shared" si="52"/>
        <v>5</v>
      </c>
      <c r="O1101" s="69">
        <f t="shared" si="53"/>
        <v>1</v>
      </c>
      <c r="P1101" s="70">
        <v>2</v>
      </c>
      <c r="Q1101" s="70">
        <v>6</v>
      </c>
      <c r="R1101" s="70">
        <v>7</v>
      </c>
      <c r="S1101" s="68" t="str">
        <f t="shared" si="54"/>
        <v/>
      </c>
      <c r="T1101" s="68"/>
      <c r="U1101" s="95"/>
      <c r="V1101" s="68"/>
      <c r="W1101" s="6"/>
      <c r="X1101" s="10"/>
      <c r="Y1101" s="71">
        <f t="shared" si="55"/>
        <v>6</v>
      </c>
      <c r="Z1101" s="73">
        <f t="shared" si="56"/>
        <v>7</v>
      </c>
      <c r="AA1101" s="11" t="str">
        <f t="shared" si="57"/>
        <v/>
      </c>
      <c r="AB1101" s="73">
        <f t="shared" si="58"/>
        <v>5</v>
      </c>
      <c r="AC1101" s="11" t="str">
        <f t="shared" si="59"/>
        <v/>
      </c>
      <c r="AD1101" s="73">
        <f t="shared" si="60"/>
        <v>1</v>
      </c>
      <c r="AE1101" s="11" t="str">
        <f t="shared" si="61"/>
        <v/>
      </c>
      <c r="AF1101" s="73">
        <f t="shared" si="62"/>
        <v>5.0011010000000002</v>
      </c>
      <c r="AG1101" s="11" t="str">
        <f t="shared" si="63"/>
        <v/>
      </c>
      <c r="AH1101" s="73">
        <f t="shared" si="64"/>
        <v>1.001101</v>
      </c>
    </row>
    <row r="1102" spans="1:34" ht="14.25" customHeight="1">
      <c r="A1102" s="11">
        <v>1087</v>
      </c>
      <c r="B1102" s="66"/>
      <c r="C1102" s="67"/>
      <c r="D1102" s="67"/>
      <c r="E1102" s="67"/>
      <c r="F1102" s="67"/>
      <c r="G1102" s="67" t="s">
        <v>35</v>
      </c>
      <c r="H1102" s="67">
        <v>44316</v>
      </c>
      <c r="I1102" s="6" t="s">
        <v>1712</v>
      </c>
      <c r="J1102" s="9">
        <v>6098702131</v>
      </c>
      <c r="K1102" s="68">
        <v>44286</v>
      </c>
      <c r="L1102" s="68">
        <v>46022</v>
      </c>
      <c r="M1102" s="68">
        <v>46203</v>
      </c>
      <c r="N1102" s="69">
        <f t="shared" si="52"/>
        <v>46</v>
      </c>
      <c r="O1102" s="69">
        <f t="shared" si="53"/>
        <v>-1</v>
      </c>
      <c r="P1102" s="70">
        <v>3</v>
      </c>
      <c r="Q1102" s="70">
        <v>50</v>
      </c>
      <c r="R1102" s="70">
        <v>49</v>
      </c>
      <c r="S1102" s="68" t="str">
        <f t="shared" si="54"/>
        <v/>
      </c>
      <c r="T1102" s="68"/>
      <c r="U1102" s="68"/>
      <c r="V1102" s="68"/>
      <c r="W1102" s="9"/>
      <c r="X1102" s="10"/>
      <c r="Y1102" s="71">
        <f t="shared" si="55"/>
        <v>50</v>
      </c>
      <c r="Z1102" s="73">
        <f t="shared" si="56"/>
        <v>49</v>
      </c>
      <c r="AA1102" s="11" t="str">
        <f t="shared" si="57"/>
        <v/>
      </c>
      <c r="AB1102" s="73">
        <f t="shared" si="58"/>
        <v>46</v>
      </c>
      <c r="AC1102" s="11" t="str">
        <f t="shared" si="59"/>
        <v/>
      </c>
      <c r="AD1102" s="73">
        <f t="shared" si="60"/>
        <v>-1</v>
      </c>
      <c r="AE1102" s="11" t="str">
        <f t="shared" si="61"/>
        <v/>
      </c>
      <c r="AF1102" s="73">
        <f t="shared" si="62"/>
        <v>46.001102000000003</v>
      </c>
      <c r="AG1102" s="11" t="str">
        <f t="shared" si="63"/>
        <v/>
      </c>
      <c r="AH1102" s="73">
        <f t="shared" si="64"/>
        <v>-0.99889799999999995</v>
      </c>
    </row>
    <row r="1103" spans="1:34" ht="14.25" customHeight="1">
      <c r="A1103" s="11">
        <v>1088</v>
      </c>
      <c r="B1103" s="66"/>
      <c r="C1103" s="67"/>
      <c r="D1103" s="67"/>
      <c r="E1103" s="67"/>
      <c r="F1103" s="67"/>
      <c r="G1103" s="67" t="s">
        <v>35</v>
      </c>
      <c r="H1103" s="67">
        <v>44860</v>
      </c>
      <c r="I1103" s="6" t="s">
        <v>1713</v>
      </c>
      <c r="J1103" s="9">
        <v>6098801541</v>
      </c>
      <c r="K1103" s="68">
        <v>44834</v>
      </c>
      <c r="L1103" s="68">
        <v>46022</v>
      </c>
      <c r="M1103" s="68">
        <v>46203</v>
      </c>
      <c r="N1103" s="69">
        <f t="shared" si="52"/>
        <v>1</v>
      </c>
      <c r="O1103" s="69">
        <f t="shared" si="53"/>
        <v>0</v>
      </c>
      <c r="P1103" s="70">
        <v>3</v>
      </c>
      <c r="Q1103" s="70">
        <v>4</v>
      </c>
      <c r="R1103" s="70">
        <v>4</v>
      </c>
      <c r="S1103" s="68" t="str">
        <f t="shared" si="54"/>
        <v/>
      </c>
      <c r="T1103" s="68"/>
      <c r="U1103" s="68"/>
      <c r="V1103" s="68"/>
      <c r="W1103" s="9"/>
      <c r="X1103" s="10"/>
      <c r="Y1103" s="71">
        <f t="shared" si="55"/>
        <v>4</v>
      </c>
      <c r="Z1103" s="73">
        <f t="shared" si="56"/>
        <v>4</v>
      </c>
      <c r="AA1103" s="11" t="str">
        <f t="shared" si="57"/>
        <v/>
      </c>
      <c r="AB1103" s="73">
        <f t="shared" si="58"/>
        <v>1</v>
      </c>
      <c r="AC1103" s="11" t="str">
        <f t="shared" si="59"/>
        <v/>
      </c>
      <c r="AD1103" s="73">
        <f t="shared" si="60"/>
        <v>0</v>
      </c>
      <c r="AE1103" s="11" t="str">
        <f t="shared" si="61"/>
        <v/>
      </c>
      <c r="AF1103" s="73">
        <f t="shared" si="62"/>
        <v>1.0011030000000001</v>
      </c>
      <c r="AG1103" s="11" t="str">
        <f t="shared" si="63"/>
        <v/>
      </c>
      <c r="AH1103" s="73">
        <f t="shared" si="64"/>
        <v>1.103E-3</v>
      </c>
    </row>
    <row r="1104" spans="1:34" ht="14.25" customHeight="1">
      <c r="A1104" s="11">
        <v>1089</v>
      </c>
      <c r="B1104" s="66"/>
      <c r="C1104" s="67"/>
      <c r="D1104" s="67"/>
      <c r="E1104" s="67"/>
      <c r="F1104" s="67"/>
      <c r="G1104" s="67" t="s">
        <v>35</v>
      </c>
      <c r="H1104" s="67">
        <v>43189</v>
      </c>
      <c r="I1104" s="6" t="s">
        <v>1714</v>
      </c>
      <c r="J1104" s="9">
        <v>6108608308</v>
      </c>
      <c r="K1104" s="68">
        <v>43159</v>
      </c>
      <c r="L1104" s="68">
        <v>46022</v>
      </c>
      <c r="M1104" s="68">
        <v>46203</v>
      </c>
      <c r="N1104" s="69">
        <f t="shared" si="52"/>
        <v>-36</v>
      </c>
      <c r="O1104" s="69">
        <f t="shared" si="53"/>
        <v>-71</v>
      </c>
      <c r="P1104" s="70">
        <v>61</v>
      </c>
      <c r="Q1104" s="70">
        <v>96</v>
      </c>
      <c r="R1104" s="70">
        <v>25</v>
      </c>
      <c r="S1104" s="68" t="str">
        <f t="shared" si="54"/>
        <v/>
      </c>
      <c r="T1104" s="68"/>
      <c r="U1104" s="68"/>
      <c r="V1104" s="68"/>
      <c r="W1104" s="9"/>
      <c r="X1104" s="10"/>
      <c r="Y1104" s="71">
        <f t="shared" si="55"/>
        <v>96</v>
      </c>
      <c r="Z1104" s="73">
        <f t="shared" si="56"/>
        <v>25</v>
      </c>
      <c r="AA1104" s="11" t="str">
        <f t="shared" si="57"/>
        <v/>
      </c>
      <c r="AB1104" s="73">
        <f t="shared" si="58"/>
        <v>-36</v>
      </c>
      <c r="AC1104" s="11" t="str">
        <f t="shared" si="59"/>
        <v/>
      </c>
      <c r="AD1104" s="73">
        <f t="shared" si="60"/>
        <v>-71</v>
      </c>
      <c r="AE1104" s="11" t="str">
        <f t="shared" si="61"/>
        <v/>
      </c>
      <c r="AF1104" s="73">
        <f t="shared" si="62"/>
        <v>-35.998896000000002</v>
      </c>
      <c r="AG1104" s="11" t="str">
        <f t="shared" si="63"/>
        <v/>
      </c>
      <c r="AH1104" s="73">
        <f t="shared" si="64"/>
        <v>-70.998896000000002</v>
      </c>
    </row>
    <row r="1105" spans="1:34" ht="14.25" customHeight="1">
      <c r="A1105" s="11">
        <v>1090</v>
      </c>
      <c r="B1105" s="66"/>
      <c r="C1105" s="67"/>
      <c r="D1105" s="67"/>
      <c r="E1105" s="67"/>
      <c r="F1105" s="67"/>
      <c r="G1105" s="67" t="s">
        <v>35</v>
      </c>
      <c r="H1105" s="67">
        <v>45770</v>
      </c>
      <c r="I1105" s="6" t="s">
        <v>1715</v>
      </c>
      <c r="J1105" s="9">
        <v>6108635654</v>
      </c>
      <c r="K1105" s="68">
        <v>45747</v>
      </c>
      <c r="L1105" s="68">
        <v>46022</v>
      </c>
      <c r="M1105" s="68">
        <v>46203</v>
      </c>
      <c r="N1105" s="69">
        <f t="shared" si="52"/>
        <v>12</v>
      </c>
      <c r="O1105" s="69">
        <f t="shared" si="53"/>
        <v>6</v>
      </c>
      <c r="P1105" s="70">
        <v>12</v>
      </c>
      <c r="Q1105" s="70">
        <v>18</v>
      </c>
      <c r="R1105" s="70">
        <v>24</v>
      </c>
      <c r="S1105" s="68" t="str">
        <f t="shared" si="54"/>
        <v/>
      </c>
      <c r="T1105" s="68"/>
      <c r="U1105" s="68"/>
      <c r="V1105" s="68"/>
      <c r="W1105" s="9"/>
      <c r="X1105" s="10"/>
      <c r="Y1105" s="71">
        <f t="shared" si="55"/>
        <v>18</v>
      </c>
      <c r="Z1105" s="73">
        <f t="shared" si="56"/>
        <v>24</v>
      </c>
      <c r="AA1105" s="11" t="str">
        <f t="shared" si="57"/>
        <v/>
      </c>
      <c r="AB1105" s="73">
        <f t="shared" si="58"/>
        <v>12</v>
      </c>
      <c r="AC1105" s="11" t="str">
        <f t="shared" si="59"/>
        <v/>
      </c>
      <c r="AD1105" s="73">
        <f t="shared" si="60"/>
        <v>6</v>
      </c>
      <c r="AE1105" s="11" t="str">
        <f t="shared" si="61"/>
        <v/>
      </c>
      <c r="AF1105" s="73">
        <f t="shared" si="62"/>
        <v>12.001105000000001</v>
      </c>
      <c r="AG1105" s="11" t="str">
        <f t="shared" si="63"/>
        <v/>
      </c>
      <c r="AH1105" s="73">
        <f t="shared" si="64"/>
        <v>6.0011049999999999</v>
      </c>
    </row>
    <row r="1106" spans="1:34" ht="14.25" customHeight="1">
      <c r="A1106" s="11">
        <v>1091</v>
      </c>
      <c r="B1106" s="66"/>
      <c r="C1106" s="67"/>
      <c r="D1106" s="67"/>
      <c r="E1106" s="67"/>
      <c r="F1106" s="67"/>
      <c r="G1106" s="67" t="s">
        <v>35</v>
      </c>
      <c r="H1106" s="67">
        <v>45190</v>
      </c>
      <c r="I1106" s="6" t="s">
        <v>1716</v>
      </c>
      <c r="J1106" s="9">
        <v>6108802384</v>
      </c>
      <c r="K1106" s="68">
        <v>45169</v>
      </c>
      <c r="L1106" s="68">
        <v>46022</v>
      </c>
      <c r="M1106" s="68">
        <v>46203</v>
      </c>
      <c r="N1106" s="69">
        <f t="shared" si="52"/>
        <v>-3</v>
      </c>
      <c r="O1106" s="69">
        <f t="shared" si="53"/>
        <v>1</v>
      </c>
      <c r="P1106" s="70">
        <v>10</v>
      </c>
      <c r="Q1106" s="70">
        <v>6</v>
      </c>
      <c r="R1106" s="70">
        <v>7</v>
      </c>
      <c r="S1106" s="68" t="str">
        <f t="shared" si="54"/>
        <v/>
      </c>
      <c r="T1106" s="68"/>
      <c r="U1106" s="68"/>
      <c r="V1106" s="68"/>
      <c r="W1106" s="9"/>
      <c r="X1106" s="10"/>
      <c r="Y1106" s="71">
        <f t="shared" si="55"/>
        <v>6</v>
      </c>
      <c r="Z1106" s="73">
        <f t="shared" si="56"/>
        <v>7</v>
      </c>
      <c r="AA1106" s="11" t="str">
        <f t="shared" si="57"/>
        <v/>
      </c>
      <c r="AB1106" s="73">
        <f t="shared" si="58"/>
        <v>-3</v>
      </c>
      <c r="AC1106" s="11" t="str">
        <f t="shared" si="59"/>
        <v/>
      </c>
      <c r="AD1106" s="73">
        <f t="shared" si="60"/>
        <v>1</v>
      </c>
      <c r="AE1106" s="11" t="str">
        <f t="shared" si="61"/>
        <v/>
      </c>
      <c r="AF1106" s="73">
        <f t="shared" si="62"/>
        <v>-2.9988939999999999</v>
      </c>
      <c r="AG1106" s="11" t="str">
        <f t="shared" si="63"/>
        <v/>
      </c>
      <c r="AH1106" s="73">
        <f t="shared" si="64"/>
        <v>1.0011060000000001</v>
      </c>
    </row>
    <row r="1107" spans="1:34" ht="14.25" customHeight="1">
      <c r="A1107" s="11">
        <v>1092</v>
      </c>
      <c r="B1107" s="66" t="s">
        <v>24</v>
      </c>
      <c r="C1107" s="67">
        <v>42552</v>
      </c>
      <c r="D1107" s="67"/>
      <c r="E1107" s="67"/>
      <c r="F1107" s="67"/>
      <c r="G1107" s="67"/>
      <c r="H1107" s="67"/>
      <c r="I1107" s="6" t="s">
        <v>1717</v>
      </c>
      <c r="J1107" s="9">
        <v>6122099018</v>
      </c>
      <c r="K1107" s="68">
        <v>42551</v>
      </c>
      <c r="L1107" s="68" t="s">
        <v>230</v>
      </c>
      <c r="M1107" s="68">
        <v>43190</v>
      </c>
      <c r="N1107" s="69">
        <f t="shared" si="52"/>
        <v>0</v>
      </c>
      <c r="O1107" s="69" t="str">
        <f t="shared" si="53"/>
        <v>N/A</v>
      </c>
      <c r="P1107" s="70">
        <v>0</v>
      </c>
      <c r="Q1107" s="70"/>
      <c r="R1107" s="70">
        <v>0</v>
      </c>
      <c r="S1107" s="68">
        <f t="shared" si="54"/>
        <v>43189</v>
      </c>
      <c r="T1107" s="68">
        <v>43189</v>
      </c>
      <c r="U1107" s="68"/>
      <c r="V1107" s="68"/>
      <c r="W1107" s="9"/>
      <c r="X1107" s="10"/>
      <c r="Y1107" s="65" t="str">
        <f t="shared" si="55"/>
        <v/>
      </c>
      <c r="Z1107" s="11" t="str">
        <f t="shared" si="56"/>
        <v/>
      </c>
      <c r="AA1107" s="73">
        <f t="shared" si="57"/>
        <v>0</v>
      </c>
      <c r="AB1107" s="11" t="str">
        <f t="shared" si="58"/>
        <v/>
      </c>
      <c r="AC1107" s="11" t="str">
        <f t="shared" si="59"/>
        <v/>
      </c>
      <c r="AD1107" s="11" t="str">
        <f t="shared" si="60"/>
        <v/>
      </c>
      <c r="AE1107" s="73">
        <f t="shared" si="61"/>
        <v>1.1069999999999999E-3</v>
      </c>
      <c r="AF1107" s="11" t="str">
        <f t="shared" si="62"/>
        <v/>
      </c>
      <c r="AG1107" s="11" t="str">
        <f t="shared" si="63"/>
        <v/>
      </c>
      <c r="AH1107" s="11" t="str">
        <f t="shared" si="64"/>
        <v/>
      </c>
    </row>
    <row r="1108" spans="1:34" ht="14.25" customHeight="1">
      <c r="A1108" s="11">
        <v>1093</v>
      </c>
      <c r="B1108" s="66"/>
      <c r="C1108" s="67"/>
      <c r="D1108" s="67"/>
      <c r="E1108" s="67"/>
      <c r="F1108" s="67"/>
      <c r="G1108" s="67" t="s">
        <v>35</v>
      </c>
      <c r="H1108" s="67">
        <v>45547</v>
      </c>
      <c r="I1108" s="6" t="s">
        <v>1718</v>
      </c>
      <c r="J1108" s="9">
        <v>6148107607</v>
      </c>
      <c r="K1108" s="68">
        <v>45535</v>
      </c>
      <c r="L1108" s="68">
        <v>46022</v>
      </c>
      <c r="M1108" s="68">
        <v>46203</v>
      </c>
      <c r="N1108" s="69">
        <f t="shared" si="52"/>
        <v>10</v>
      </c>
      <c r="O1108" s="69">
        <f t="shared" si="53"/>
        <v>3</v>
      </c>
      <c r="P1108" s="70">
        <v>0</v>
      </c>
      <c r="Q1108" s="70">
        <v>7</v>
      </c>
      <c r="R1108" s="70">
        <v>10</v>
      </c>
      <c r="S1108" s="68" t="str">
        <f t="shared" si="54"/>
        <v/>
      </c>
      <c r="T1108" s="68"/>
      <c r="U1108" s="68"/>
      <c r="V1108" s="68"/>
      <c r="W1108" s="9"/>
      <c r="X1108" s="10"/>
      <c r="Y1108" s="71">
        <f t="shared" si="55"/>
        <v>7</v>
      </c>
      <c r="Z1108" s="73">
        <f t="shared" si="56"/>
        <v>10</v>
      </c>
      <c r="AA1108" s="11" t="str">
        <f t="shared" si="57"/>
        <v/>
      </c>
      <c r="AB1108" s="73">
        <f t="shared" si="58"/>
        <v>10</v>
      </c>
      <c r="AC1108" s="11" t="str">
        <f t="shared" si="59"/>
        <v/>
      </c>
      <c r="AD1108" s="73">
        <f t="shared" si="60"/>
        <v>3</v>
      </c>
      <c r="AE1108" s="11" t="str">
        <f t="shared" si="61"/>
        <v/>
      </c>
      <c r="AF1108" s="73">
        <f t="shared" si="62"/>
        <v>10.001108</v>
      </c>
      <c r="AG1108" s="11" t="str">
        <f t="shared" si="63"/>
        <v/>
      </c>
      <c r="AH1108" s="73">
        <f t="shared" si="64"/>
        <v>3.0011079999999999</v>
      </c>
    </row>
    <row r="1109" spans="1:34" ht="14.25" customHeight="1">
      <c r="A1109" s="11">
        <v>1094</v>
      </c>
      <c r="B1109" s="66"/>
      <c r="C1109" s="67"/>
      <c r="D1109" s="67"/>
      <c r="E1109" s="67"/>
      <c r="F1109" s="67"/>
      <c r="G1109" s="67" t="s">
        <v>35</v>
      </c>
      <c r="H1109" s="67">
        <v>43931</v>
      </c>
      <c r="I1109" s="6" t="s">
        <v>1719</v>
      </c>
      <c r="J1109" s="9">
        <v>6148600685</v>
      </c>
      <c r="K1109" s="68">
        <v>43921</v>
      </c>
      <c r="L1109" s="68">
        <v>46022</v>
      </c>
      <c r="M1109" s="68">
        <v>46203</v>
      </c>
      <c r="N1109" s="69">
        <f t="shared" si="52"/>
        <v>-9</v>
      </c>
      <c r="O1109" s="69">
        <f t="shared" si="53"/>
        <v>0</v>
      </c>
      <c r="P1109" s="70">
        <v>10</v>
      </c>
      <c r="Q1109" s="70">
        <v>1</v>
      </c>
      <c r="R1109" s="70">
        <v>1</v>
      </c>
      <c r="S1109" s="68" t="str">
        <f t="shared" si="54"/>
        <v/>
      </c>
      <c r="T1109" s="68"/>
      <c r="U1109" s="68"/>
      <c r="V1109" s="68"/>
      <c r="W1109" s="9"/>
      <c r="X1109" s="10"/>
      <c r="Y1109" s="71">
        <f t="shared" si="55"/>
        <v>1</v>
      </c>
      <c r="Z1109" s="73">
        <f t="shared" si="56"/>
        <v>1</v>
      </c>
      <c r="AA1109" s="11" t="str">
        <f t="shared" si="57"/>
        <v/>
      </c>
      <c r="AB1109" s="73">
        <f t="shared" si="58"/>
        <v>-9</v>
      </c>
      <c r="AC1109" s="11" t="str">
        <f t="shared" si="59"/>
        <v/>
      </c>
      <c r="AD1109" s="73">
        <f t="shared" si="60"/>
        <v>0</v>
      </c>
      <c r="AE1109" s="11" t="str">
        <f t="shared" si="61"/>
        <v/>
      </c>
      <c r="AF1109" s="73">
        <f t="shared" si="62"/>
        <v>-8.9988910000000004</v>
      </c>
      <c r="AG1109" s="11" t="str">
        <f t="shared" si="63"/>
        <v/>
      </c>
      <c r="AH1109" s="73">
        <f t="shared" si="64"/>
        <v>1.109E-3</v>
      </c>
    </row>
    <row r="1110" spans="1:34" ht="14.25" customHeight="1">
      <c r="A1110" s="11">
        <v>1095</v>
      </c>
      <c r="B1110" s="66"/>
      <c r="C1110" s="67"/>
      <c r="D1110" s="67"/>
      <c r="E1110" s="67"/>
      <c r="F1110" s="67"/>
      <c r="G1110" s="67" t="s">
        <v>35</v>
      </c>
      <c r="H1110" s="67">
        <v>45527</v>
      </c>
      <c r="I1110" s="6" t="s">
        <v>1720</v>
      </c>
      <c r="J1110" s="9">
        <v>6158602347</v>
      </c>
      <c r="K1110" s="68">
        <v>45504</v>
      </c>
      <c r="L1110" s="68">
        <v>46022</v>
      </c>
      <c r="M1110" s="68">
        <v>46203</v>
      </c>
      <c r="N1110" s="69">
        <f t="shared" si="52"/>
        <v>18</v>
      </c>
      <c r="O1110" s="69">
        <f t="shared" si="53"/>
        <v>5</v>
      </c>
      <c r="P1110" s="70">
        <v>74</v>
      </c>
      <c r="Q1110" s="70">
        <v>87</v>
      </c>
      <c r="R1110" s="70">
        <v>92</v>
      </c>
      <c r="S1110" s="68" t="str">
        <f t="shared" si="54"/>
        <v/>
      </c>
      <c r="T1110" s="68"/>
      <c r="U1110" s="68"/>
      <c r="V1110" s="68"/>
      <c r="W1110" s="9"/>
      <c r="X1110" s="10"/>
      <c r="Y1110" s="71">
        <f t="shared" si="55"/>
        <v>87</v>
      </c>
      <c r="Z1110" s="73">
        <f t="shared" si="56"/>
        <v>92</v>
      </c>
      <c r="AA1110" s="11" t="str">
        <f t="shared" si="57"/>
        <v/>
      </c>
      <c r="AB1110" s="73">
        <f t="shared" si="58"/>
        <v>18</v>
      </c>
      <c r="AC1110" s="11" t="str">
        <f t="shared" si="59"/>
        <v/>
      </c>
      <c r="AD1110" s="73">
        <f t="shared" si="60"/>
        <v>5</v>
      </c>
      <c r="AE1110" s="11" t="str">
        <f t="shared" si="61"/>
        <v/>
      </c>
      <c r="AF1110" s="73">
        <f t="shared" si="62"/>
        <v>18.001110000000001</v>
      </c>
      <c r="AG1110" s="11" t="str">
        <f t="shared" si="63"/>
        <v/>
      </c>
      <c r="AH1110" s="73">
        <f t="shared" si="64"/>
        <v>5.0011099999999997</v>
      </c>
    </row>
    <row r="1111" spans="1:34" ht="14.25" customHeight="1">
      <c r="A1111" s="11">
        <v>1096</v>
      </c>
      <c r="B1111" s="66"/>
      <c r="C1111" s="67"/>
      <c r="D1111" s="67"/>
      <c r="E1111" s="67"/>
      <c r="F1111" s="67"/>
      <c r="G1111" s="67" t="s">
        <v>35</v>
      </c>
      <c r="H1111" s="67">
        <v>45520</v>
      </c>
      <c r="I1111" s="6" t="s">
        <v>1721</v>
      </c>
      <c r="J1111" s="9">
        <v>6158618887</v>
      </c>
      <c r="K1111" s="68">
        <v>45504</v>
      </c>
      <c r="L1111" s="68">
        <v>46022</v>
      </c>
      <c r="M1111" s="68">
        <v>46203</v>
      </c>
      <c r="N1111" s="69">
        <f t="shared" si="52"/>
        <v>0</v>
      </c>
      <c r="O1111" s="69">
        <f t="shared" si="53"/>
        <v>0</v>
      </c>
      <c r="P1111" s="70">
        <v>4</v>
      </c>
      <c r="Q1111" s="70">
        <v>4</v>
      </c>
      <c r="R1111" s="70">
        <v>4</v>
      </c>
      <c r="S1111" s="68" t="str">
        <f t="shared" si="54"/>
        <v/>
      </c>
      <c r="T1111" s="68"/>
      <c r="U1111" s="68"/>
      <c r="V1111" s="68"/>
      <c r="W1111" s="9"/>
      <c r="X1111" s="10"/>
      <c r="Y1111" s="71">
        <f t="shared" si="55"/>
        <v>4</v>
      </c>
      <c r="Z1111" s="73">
        <f t="shared" si="56"/>
        <v>4</v>
      </c>
      <c r="AA1111" s="11" t="str">
        <f t="shared" si="57"/>
        <v/>
      </c>
      <c r="AB1111" s="73">
        <f t="shared" si="58"/>
        <v>0</v>
      </c>
      <c r="AC1111" s="11" t="str">
        <f t="shared" si="59"/>
        <v/>
      </c>
      <c r="AD1111" s="73">
        <f t="shared" si="60"/>
        <v>0</v>
      </c>
      <c r="AE1111" s="11" t="str">
        <f t="shared" si="61"/>
        <v/>
      </c>
      <c r="AF1111" s="73">
        <f t="shared" si="62"/>
        <v>1.111E-3</v>
      </c>
      <c r="AG1111" s="11" t="str">
        <f t="shared" si="63"/>
        <v/>
      </c>
      <c r="AH1111" s="73">
        <f t="shared" si="64"/>
        <v>1.111E-3</v>
      </c>
    </row>
    <row r="1112" spans="1:34" ht="14.25" customHeight="1">
      <c r="A1112" s="11">
        <v>1097</v>
      </c>
      <c r="B1112" s="66"/>
      <c r="C1112" s="67"/>
      <c r="D1112" s="67"/>
      <c r="E1112" s="67"/>
      <c r="F1112" s="67"/>
      <c r="G1112" s="67" t="s">
        <v>35</v>
      </c>
      <c r="H1112" s="67">
        <v>45930</v>
      </c>
      <c r="I1112" s="6" t="s">
        <v>1722</v>
      </c>
      <c r="J1112" s="94">
        <v>6158702437</v>
      </c>
      <c r="K1112" s="68">
        <v>45900</v>
      </c>
      <c r="L1112" s="68">
        <v>46022</v>
      </c>
      <c r="M1112" s="68">
        <v>46203</v>
      </c>
      <c r="N1112" s="69">
        <f t="shared" si="52"/>
        <v>79</v>
      </c>
      <c r="O1112" s="69">
        <f t="shared" si="53"/>
        <v>50</v>
      </c>
      <c r="P1112" s="70">
        <v>219</v>
      </c>
      <c r="Q1112" s="70">
        <v>248</v>
      </c>
      <c r="R1112" s="70">
        <v>298</v>
      </c>
      <c r="S1112" s="68" t="str">
        <f t="shared" si="54"/>
        <v/>
      </c>
      <c r="T1112" s="68"/>
      <c r="U1112" s="95"/>
      <c r="V1112" s="68"/>
      <c r="W1112" s="6"/>
      <c r="X1112" s="10"/>
      <c r="Y1112" s="71">
        <f t="shared" si="55"/>
        <v>248</v>
      </c>
      <c r="Z1112" s="73">
        <f t="shared" si="56"/>
        <v>298</v>
      </c>
      <c r="AA1112" s="11" t="str">
        <f t="shared" si="57"/>
        <v/>
      </c>
      <c r="AB1112" s="73">
        <f t="shared" si="58"/>
        <v>79</v>
      </c>
      <c r="AC1112" s="11" t="str">
        <f t="shared" si="59"/>
        <v/>
      </c>
      <c r="AD1112" s="73">
        <f t="shared" si="60"/>
        <v>50</v>
      </c>
      <c r="AE1112" s="11" t="str">
        <f t="shared" si="61"/>
        <v/>
      </c>
      <c r="AF1112" s="73">
        <f t="shared" si="62"/>
        <v>79.001112000000006</v>
      </c>
      <c r="AG1112" s="11" t="str">
        <f t="shared" si="63"/>
        <v/>
      </c>
      <c r="AH1112" s="73">
        <f t="shared" si="64"/>
        <v>50.001111999999999</v>
      </c>
    </row>
    <row r="1113" spans="1:34" ht="14.25" customHeight="1">
      <c r="A1113" s="11">
        <v>1098</v>
      </c>
      <c r="B1113" s="66"/>
      <c r="C1113" s="67"/>
      <c r="D1113" s="67"/>
      <c r="E1113" s="67"/>
      <c r="F1113" s="67"/>
      <c r="G1113" s="67" t="s">
        <v>35</v>
      </c>
      <c r="H1113" s="67">
        <v>45098</v>
      </c>
      <c r="I1113" s="6" t="s">
        <v>1723</v>
      </c>
      <c r="J1113" s="9">
        <v>6168622439</v>
      </c>
      <c r="K1113" s="68">
        <v>45077</v>
      </c>
      <c r="L1113" s="68">
        <v>46022</v>
      </c>
      <c r="M1113" s="68">
        <v>46203</v>
      </c>
      <c r="N1113" s="69">
        <f t="shared" si="52"/>
        <v>1</v>
      </c>
      <c r="O1113" s="69">
        <f t="shared" si="53"/>
        <v>12</v>
      </c>
      <c r="P1113" s="70">
        <v>124</v>
      </c>
      <c r="Q1113" s="70">
        <v>113</v>
      </c>
      <c r="R1113" s="70">
        <v>125</v>
      </c>
      <c r="S1113" s="68" t="str">
        <f t="shared" si="54"/>
        <v/>
      </c>
      <c r="T1113" s="68"/>
      <c r="U1113" s="68"/>
      <c r="V1113" s="68"/>
      <c r="W1113" s="9"/>
      <c r="X1113" s="10"/>
      <c r="Y1113" s="71">
        <f t="shared" si="55"/>
        <v>113</v>
      </c>
      <c r="Z1113" s="73">
        <f t="shared" si="56"/>
        <v>125</v>
      </c>
      <c r="AA1113" s="11" t="str">
        <f t="shared" si="57"/>
        <v/>
      </c>
      <c r="AB1113" s="73">
        <f t="shared" si="58"/>
        <v>1</v>
      </c>
      <c r="AC1113" s="11" t="str">
        <f t="shared" si="59"/>
        <v/>
      </c>
      <c r="AD1113" s="73">
        <f t="shared" si="60"/>
        <v>12</v>
      </c>
      <c r="AE1113" s="11" t="str">
        <f t="shared" si="61"/>
        <v/>
      </c>
      <c r="AF1113" s="73">
        <f t="shared" si="62"/>
        <v>1.0011129999999999</v>
      </c>
      <c r="AG1113" s="11" t="str">
        <f t="shared" si="63"/>
        <v/>
      </c>
      <c r="AH1113" s="73">
        <f t="shared" si="64"/>
        <v>12.001113</v>
      </c>
    </row>
    <row r="1114" spans="1:34" ht="14.25" customHeight="1">
      <c r="A1114" s="11">
        <v>1099</v>
      </c>
      <c r="B1114" s="66"/>
      <c r="C1114" s="67"/>
      <c r="D1114" s="67"/>
      <c r="E1114" s="67"/>
      <c r="F1114" s="67"/>
      <c r="G1114" s="67" t="s">
        <v>35</v>
      </c>
      <c r="H1114" s="67">
        <v>45453</v>
      </c>
      <c r="I1114" s="6" t="s">
        <v>1724</v>
      </c>
      <c r="J1114" s="9">
        <v>6178614330</v>
      </c>
      <c r="K1114" s="68">
        <v>45443</v>
      </c>
      <c r="L1114" s="68">
        <v>46022</v>
      </c>
      <c r="M1114" s="68">
        <v>46203</v>
      </c>
      <c r="N1114" s="69">
        <f t="shared" si="52"/>
        <v>-20</v>
      </c>
      <c r="O1114" s="69">
        <f t="shared" si="53"/>
        <v>4</v>
      </c>
      <c r="P1114" s="70">
        <v>90</v>
      </c>
      <c r="Q1114" s="70">
        <v>66</v>
      </c>
      <c r="R1114" s="70">
        <v>70</v>
      </c>
      <c r="S1114" s="68" t="str">
        <f t="shared" si="54"/>
        <v/>
      </c>
      <c r="T1114" s="68"/>
      <c r="U1114" s="68"/>
      <c r="V1114" s="68"/>
      <c r="W1114" s="9"/>
      <c r="X1114" s="10"/>
      <c r="Y1114" s="71">
        <f t="shared" si="55"/>
        <v>66</v>
      </c>
      <c r="Z1114" s="73">
        <f t="shared" si="56"/>
        <v>70</v>
      </c>
      <c r="AA1114" s="11" t="str">
        <f t="shared" si="57"/>
        <v/>
      </c>
      <c r="AB1114" s="73">
        <f t="shared" si="58"/>
        <v>-20</v>
      </c>
      <c r="AC1114" s="11" t="str">
        <f t="shared" si="59"/>
        <v/>
      </c>
      <c r="AD1114" s="73">
        <f t="shared" si="60"/>
        <v>4</v>
      </c>
      <c r="AE1114" s="11" t="str">
        <f t="shared" si="61"/>
        <v/>
      </c>
      <c r="AF1114" s="73">
        <f t="shared" si="62"/>
        <v>-19.998885999999999</v>
      </c>
      <c r="AG1114" s="11" t="str">
        <f t="shared" si="63"/>
        <v/>
      </c>
      <c r="AH1114" s="73">
        <f t="shared" si="64"/>
        <v>4.0011140000000003</v>
      </c>
    </row>
    <row r="1115" spans="1:34" ht="14.25" customHeight="1">
      <c r="A1115" s="11">
        <v>1100</v>
      </c>
      <c r="B1115" s="66" t="s">
        <v>35</v>
      </c>
      <c r="C1115" s="67">
        <v>43243</v>
      </c>
      <c r="D1115" s="67"/>
      <c r="E1115" s="67"/>
      <c r="F1115" s="67"/>
      <c r="G1115" s="67" t="s">
        <v>35</v>
      </c>
      <c r="H1115" s="67">
        <v>43312</v>
      </c>
      <c r="I1115" s="6" t="s">
        <v>1725</v>
      </c>
      <c r="J1115" s="9">
        <v>6178625201</v>
      </c>
      <c r="K1115" s="68">
        <v>43220</v>
      </c>
      <c r="L1115" s="68">
        <v>46022</v>
      </c>
      <c r="M1115" s="68">
        <v>46203</v>
      </c>
      <c r="N1115" s="69">
        <f t="shared" si="52"/>
        <v>34</v>
      </c>
      <c r="O1115" s="69">
        <f t="shared" si="53"/>
        <v>11</v>
      </c>
      <c r="P1115" s="70">
        <v>6</v>
      </c>
      <c r="Q1115" s="70">
        <v>29</v>
      </c>
      <c r="R1115" s="70">
        <v>40</v>
      </c>
      <c r="S1115" s="68" t="str">
        <f t="shared" si="54"/>
        <v/>
      </c>
      <c r="T1115" s="68"/>
      <c r="U1115" s="68"/>
      <c r="V1115" s="68"/>
      <c r="W1115" s="9"/>
      <c r="X1115" s="10"/>
      <c r="Y1115" s="71">
        <f t="shared" si="55"/>
        <v>29</v>
      </c>
      <c r="Z1115" s="73">
        <f t="shared" si="56"/>
        <v>40</v>
      </c>
      <c r="AA1115" s="73">
        <f t="shared" si="57"/>
        <v>34</v>
      </c>
      <c r="AB1115" s="73">
        <f t="shared" si="58"/>
        <v>34</v>
      </c>
      <c r="AC1115" s="73">
        <f t="shared" si="59"/>
        <v>11</v>
      </c>
      <c r="AD1115" s="73">
        <f t="shared" si="60"/>
        <v>11</v>
      </c>
      <c r="AE1115" s="73">
        <f t="shared" si="61"/>
        <v>34.001114999999999</v>
      </c>
      <c r="AF1115" s="73">
        <f t="shared" si="62"/>
        <v>34.001114999999999</v>
      </c>
      <c r="AG1115" s="73">
        <f t="shared" si="63"/>
        <v>11.001115</v>
      </c>
      <c r="AH1115" s="73">
        <f t="shared" si="64"/>
        <v>11.001115</v>
      </c>
    </row>
    <row r="1116" spans="1:34" ht="14.25" customHeight="1">
      <c r="A1116" s="11">
        <v>1101</v>
      </c>
      <c r="B1116" s="66"/>
      <c r="C1116" s="67"/>
      <c r="D1116" s="67"/>
      <c r="E1116" s="67"/>
      <c r="F1116" s="67"/>
      <c r="G1116" s="67" t="s">
        <v>35</v>
      </c>
      <c r="H1116" s="67">
        <v>45435</v>
      </c>
      <c r="I1116" s="6" t="s">
        <v>1726</v>
      </c>
      <c r="J1116" s="9">
        <v>6178627572</v>
      </c>
      <c r="K1116" s="68">
        <v>45412</v>
      </c>
      <c r="L1116" s="68">
        <v>46022</v>
      </c>
      <c r="M1116" s="68">
        <v>46203</v>
      </c>
      <c r="N1116" s="69">
        <f t="shared" si="52"/>
        <v>6</v>
      </c>
      <c r="O1116" s="69">
        <f t="shared" si="53"/>
        <v>4</v>
      </c>
      <c r="P1116" s="70">
        <v>8</v>
      </c>
      <c r="Q1116" s="70">
        <v>10</v>
      </c>
      <c r="R1116" s="70">
        <v>14</v>
      </c>
      <c r="S1116" s="68" t="str">
        <f t="shared" si="54"/>
        <v/>
      </c>
      <c r="T1116" s="68"/>
      <c r="U1116" s="68"/>
      <c r="V1116" s="68"/>
      <c r="W1116" s="9"/>
      <c r="X1116" s="10"/>
      <c r="Y1116" s="71">
        <f t="shared" si="55"/>
        <v>10</v>
      </c>
      <c r="Z1116" s="73">
        <f t="shared" si="56"/>
        <v>14</v>
      </c>
      <c r="AA1116" s="11" t="str">
        <f t="shared" si="57"/>
        <v/>
      </c>
      <c r="AB1116" s="73">
        <f t="shared" si="58"/>
        <v>6</v>
      </c>
      <c r="AC1116" s="11" t="str">
        <f t="shared" si="59"/>
        <v/>
      </c>
      <c r="AD1116" s="73">
        <f t="shared" si="60"/>
        <v>4</v>
      </c>
      <c r="AE1116" s="11" t="str">
        <f t="shared" si="61"/>
        <v/>
      </c>
      <c r="AF1116" s="73">
        <f t="shared" si="62"/>
        <v>6.0011159999999997</v>
      </c>
      <c r="AG1116" s="11" t="str">
        <f t="shared" si="63"/>
        <v/>
      </c>
      <c r="AH1116" s="73">
        <f t="shared" si="64"/>
        <v>4.0011159999999997</v>
      </c>
    </row>
    <row r="1117" spans="1:34" ht="14.25" customHeight="1">
      <c r="A1117" s="11">
        <v>1102</v>
      </c>
      <c r="B1117" s="66"/>
      <c r="C1117" s="67"/>
      <c r="D1117" s="67"/>
      <c r="E1117" s="67"/>
      <c r="F1117" s="67"/>
      <c r="G1117" s="67" t="s">
        <v>35</v>
      </c>
      <c r="H1117" s="67">
        <v>45422</v>
      </c>
      <c r="I1117" s="6" t="s">
        <v>1727</v>
      </c>
      <c r="J1117" s="9">
        <v>6178701851</v>
      </c>
      <c r="K1117" s="68">
        <v>45412</v>
      </c>
      <c r="L1117" s="68">
        <v>46022</v>
      </c>
      <c r="M1117" s="68">
        <v>46203</v>
      </c>
      <c r="N1117" s="69">
        <f t="shared" si="52"/>
        <v>-2</v>
      </c>
      <c r="O1117" s="69">
        <f t="shared" si="53"/>
        <v>2</v>
      </c>
      <c r="P1117" s="70">
        <v>20</v>
      </c>
      <c r="Q1117" s="70">
        <v>16</v>
      </c>
      <c r="R1117" s="70">
        <v>18</v>
      </c>
      <c r="S1117" s="68" t="str">
        <f t="shared" si="54"/>
        <v/>
      </c>
      <c r="T1117" s="68"/>
      <c r="U1117" s="68"/>
      <c r="V1117" s="68"/>
      <c r="W1117" s="9"/>
      <c r="X1117" s="10"/>
      <c r="Y1117" s="71">
        <f t="shared" si="55"/>
        <v>16</v>
      </c>
      <c r="Z1117" s="73">
        <f t="shared" si="56"/>
        <v>18</v>
      </c>
      <c r="AA1117" s="11" t="str">
        <f t="shared" si="57"/>
        <v/>
      </c>
      <c r="AB1117" s="73">
        <f t="shared" si="58"/>
        <v>-2</v>
      </c>
      <c r="AC1117" s="11" t="str">
        <f t="shared" si="59"/>
        <v/>
      </c>
      <c r="AD1117" s="73">
        <f t="shared" si="60"/>
        <v>2</v>
      </c>
      <c r="AE1117" s="11" t="str">
        <f t="shared" si="61"/>
        <v/>
      </c>
      <c r="AF1117" s="73">
        <f t="shared" si="62"/>
        <v>-1.998883</v>
      </c>
      <c r="AG1117" s="11" t="str">
        <f t="shared" si="63"/>
        <v/>
      </c>
      <c r="AH1117" s="73">
        <f t="shared" si="64"/>
        <v>2.0011169999999998</v>
      </c>
    </row>
    <row r="1118" spans="1:34" ht="14.25" customHeight="1">
      <c r="A1118" s="11">
        <v>1103</v>
      </c>
      <c r="B1118" s="66" t="s">
        <v>35</v>
      </c>
      <c r="C1118" s="67">
        <v>46082</v>
      </c>
      <c r="D1118" s="67"/>
      <c r="E1118" s="67">
        <v>46023</v>
      </c>
      <c r="F1118" s="67"/>
      <c r="G1118" s="67"/>
      <c r="H1118" s="67"/>
      <c r="I1118" s="6" t="s">
        <v>1728</v>
      </c>
      <c r="J1118" s="37">
        <v>6178703204</v>
      </c>
      <c r="K1118" s="68">
        <v>46022</v>
      </c>
      <c r="L1118" s="68">
        <v>46022</v>
      </c>
      <c r="M1118" s="68">
        <v>46203</v>
      </c>
      <c r="N1118" s="69">
        <f t="shared" si="52"/>
        <v>5</v>
      </c>
      <c r="O1118" s="69">
        <f t="shared" si="53"/>
        <v>5</v>
      </c>
      <c r="P1118" s="70">
        <v>7</v>
      </c>
      <c r="Q1118" s="70">
        <v>7</v>
      </c>
      <c r="R1118" s="70">
        <v>12</v>
      </c>
      <c r="S1118" s="68" t="str">
        <f t="shared" si="54"/>
        <v/>
      </c>
      <c r="T1118" s="68"/>
      <c r="U1118" s="95"/>
      <c r="V1118" s="68"/>
      <c r="W1118" s="6"/>
      <c r="X1118" s="10"/>
      <c r="Y1118" s="71">
        <f t="shared" si="55"/>
        <v>7</v>
      </c>
      <c r="Z1118" s="73">
        <f t="shared" si="56"/>
        <v>12</v>
      </c>
      <c r="AA1118" s="73">
        <f t="shared" si="57"/>
        <v>5</v>
      </c>
      <c r="AB1118" s="11" t="str">
        <f t="shared" si="58"/>
        <v/>
      </c>
      <c r="AC1118" s="73">
        <f t="shared" si="59"/>
        <v>5</v>
      </c>
      <c r="AD1118" s="11" t="str">
        <f t="shared" si="60"/>
        <v/>
      </c>
      <c r="AE1118" s="73">
        <f t="shared" si="61"/>
        <v>5.001118</v>
      </c>
      <c r="AF1118" s="11" t="str">
        <f t="shared" si="62"/>
        <v/>
      </c>
      <c r="AG1118" s="73">
        <f t="shared" si="63"/>
        <v>5.001118</v>
      </c>
      <c r="AH1118" s="11" t="str">
        <f t="shared" si="64"/>
        <v/>
      </c>
    </row>
    <row r="1119" spans="1:34" ht="14.25" customHeight="1">
      <c r="A1119" s="11">
        <v>1104</v>
      </c>
      <c r="B1119" s="66"/>
      <c r="C1119" s="67"/>
      <c r="D1119" s="67"/>
      <c r="E1119" s="67"/>
      <c r="F1119" s="67"/>
      <c r="G1119" s="67" t="s">
        <v>35</v>
      </c>
      <c r="H1119" s="67">
        <v>45146</v>
      </c>
      <c r="I1119" s="6" t="s">
        <v>1729</v>
      </c>
      <c r="J1119" s="9">
        <v>6188128526</v>
      </c>
      <c r="K1119" s="68">
        <v>45138</v>
      </c>
      <c r="L1119" s="68">
        <v>46022</v>
      </c>
      <c r="M1119" s="68">
        <v>46203</v>
      </c>
      <c r="N1119" s="69">
        <f t="shared" si="52"/>
        <v>5</v>
      </c>
      <c r="O1119" s="69">
        <f t="shared" si="53"/>
        <v>2</v>
      </c>
      <c r="P1119" s="70">
        <v>13</v>
      </c>
      <c r="Q1119" s="70">
        <v>16</v>
      </c>
      <c r="R1119" s="70">
        <v>18</v>
      </c>
      <c r="S1119" s="68" t="str">
        <f t="shared" si="54"/>
        <v/>
      </c>
      <c r="T1119" s="68"/>
      <c r="U1119" s="68"/>
      <c r="V1119" s="68"/>
      <c r="W1119" s="9"/>
      <c r="X1119" s="10"/>
      <c r="Y1119" s="71">
        <f t="shared" si="55"/>
        <v>16</v>
      </c>
      <c r="Z1119" s="73">
        <f t="shared" si="56"/>
        <v>18</v>
      </c>
      <c r="AA1119" s="11" t="str">
        <f t="shared" si="57"/>
        <v/>
      </c>
      <c r="AB1119" s="73">
        <f t="shared" si="58"/>
        <v>5</v>
      </c>
      <c r="AC1119" s="11" t="str">
        <f t="shared" si="59"/>
        <v/>
      </c>
      <c r="AD1119" s="73">
        <f t="shared" si="60"/>
        <v>2</v>
      </c>
      <c r="AE1119" s="11" t="str">
        <f t="shared" si="61"/>
        <v/>
      </c>
      <c r="AF1119" s="73">
        <f t="shared" si="62"/>
        <v>5.0011190000000001</v>
      </c>
      <c r="AG1119" s="11" t="str">
        <f t="shared" si="63"/>
        <v/>
      </c>
      <c r="AH1119" s="73">
        <f t="shared" si="64"/>
        <v>2.0011190000000001</v>
      </c>
    </row>
    <row r="1120" spans="1:34" ht="14.25" customHeight="1">
      <c r="A1120" s="11">
        <v>1105</v>
      </c>
      <c r="B1120" s="66"/>
      <c r="C1120" s="67"/>
      <c r="D1120" s="67"/>
      <c r="E1120" s="67"/>
      <c r="F1120" s="67"/>
      <c r="G1120" s="67" t="s">
        <v>35</v>
      </c>
      <c r="H1120" s="67">
        <v>45407</v>
      </c>
      <c r="I1120" s="6" t="s">
        <v>1730</v>
      </c>
      <c r="J1120" s="9">
        <v>6188801282</v>
      </c>
      <c r="K1120" s="68">
        <v>45382</v>
      </c>
      <c r="L1120" s="68">
        <v>46022</v>
      </c>
      <c r="M1120" s="68">
        <v>46203</v>
      </c>
      <c r="N1120" s="69">
        <f t="shared" si="52"/>
        <v>4</v>
      </c>
      <c r="O1120" s="69">
        <f t="shared" si="53"/>
        <v>-3</v>
      </c>
      <c r="P1120" s="70">
        <v>5</v>
      </c>
      <c r="Q1120" s="70">
        <v>12</v>
      </c>
      <c r="R1120" s="70">
        <v>9</v>
      </c>
      <c r="S1120" s="68" t="str">
        <f t="shared" si="54"/>
        <v/>
      </c>
      <c r="T1120" s="68"/>
      <c r="U1120" s="68"/>
      <c r="V1120" s="68"/>
      <c r="W1120" s="9"/>
      <c r="X1120" s="10"/>
      <c r="Y1120" s="71">
        <f t="shared" si="55"/>
        <v>12</v>
      </c>
      <c r="Z1120" s="73">
        <f t="shared" si="56"/>
        <v>9</v>
      </c>
      <c r="AA1120" s="11" t="str">
        <f t="shared" si="57"/>
        <v/>
      </c>
      <c r="AB1120" s="73">
        <f t="shared" si="58"/>
        <v>4</v>
      </c>
      <c r="AC1120" s="11" t="str">
        <f t="shared" si="59"/>
        <v/>
      </c>
      <c r="AD1120" s="73">
        <f t="shared" si="60"/>
        <v>-3</v>
      </c>
      <c r="AE1120" s="11" t="str">
        <f t="shared" si="61"/>
        <v/>
      </c>
      <c r="AF1120" s="73">
        <f t="shared" si="62"/>
        <v>4.0011200000000002</v>
      </c>
      <c r="AG1120" s="11" t="str">
        <f t="shared" si="63"/>
        <v/>
      </c>
      <c r="AH1120" s="73">
        <f t="shared" si="64"/>
        <v>-2.9988800000000002</v>
      </c>
    </row>
    <row r="1121" spans="1:34" ht="14.25" customHeight="1">
      <c r="A1121" s="11">
        <v>1106</v>
      </c>
      <c r="B1121" s="66"/>
      <c r="C1121" s="67"/>
      <c r="D1121" s="67"/>
      <c r="E1121" s="67"/>
      <c r="F1121" s="67"/>
      <c r="G1121" s="67" t="s">
        <v>35</v>
      </c>
      <c r="H1121" s="67">
        <v>45162</v>
      </c>
      <c r="I1121" s="6" t="s">
        <v>1731</v>
      </c>
      <c r="J1121" s="9">
        <v>6188802127</v>
      </c>
      <c r="K1121" s="68">
        <v>45138</v>
      </c>
      <c r="L1121" s="68">
        <v>46022</v>
      </c>
      <c r="M1121" s="68">
        <v>46203</v>
      </c>
      <c r="N1121" s="69">
        <f t="shared" si="52"/>
        <v>3</v>
      </c>
      <c r="O1121" s="69">
        <f t="shared" si="53"/>
        <v>1</v>
      </c>
      <c r="P1121" s="70">
        <v>13</v>
      </c>
      <c r="Q1121" s="70">
        <v>15</v>
      </c>
      <c r="R1121" s="70">
        <v>16</v>
      </c>
      <c r="S1121" s="68" t="str">
        <f t="shared" si="54"/>
        <v/>
      </c>
      <c r="T1121" s="68"/>
      <c r="U1121" s="68"/>
      <c r="V1121" s="68"/>
      <c r="W1121" s="9"/>
      <c r="X1121" s="10"/>
      <c r="Y1121" s="71">
        <f t="shared" si="55"/>
        <v>15</v>
      </c>
      <c r="Z1121" s="73">
        <f t="shared" si="56"/>
        <v>16</v>
      </c>
      <c r="AA1121" s="11" t="str">
        <f t="shared" si="57"/>
        <v/>
      </c>
      <c r="AB1121" s="73">
        <f t="shared" si="58"/>
        <v>3</v>
      </c>
      <c r="AC1121" s="11" t="str">
        <f t="shared" si="59"/>
        <v/>
      </c>
      <c r="AD1121" s="73">
        <f t="shared" si="60"/>
        <v>1</v>
      </c>
      <c r="AE1121" s="11" t="str">
        <f t="shared" si="61"/>
        <v/>
      </c>
      <c r="AF1121" s="73">
        <f t="shared" si="62"/>
        <v>3.0011209999999999</v>
      </c>
      <c r="AG1121" s="11" t="str">
        <f t="shared" si="63"/>
        <v/>
      </c>
      <c r="AH1121" s="73">
        <f t="shared" si="64"/>
        <v>1.0011209999999999</v>
      </c>
    </row>
    <row r="1122" spans="1:34" ht="14.25" customHeight="1">
      <c r="A1122" s="11">
        <v>1107</v>
      </c>
      <c r="B1122" s="66"/>
      <c r="C1122" s="67"/>
      <c r="D1122" s="67"/>
      <c r="E1122" s="67"/>
      <c r="F1122" s="67"/>
      <c r="G1122" s="67" t="s">
        <v>35</v>
      </c>
      <c r="H1122" s="67">
        <v>44827</v>
      </c>
      <c r="I1122" s="6" t="s">
        <v>1732</v>
      </c>
      <c r="J1122" s="9">
        <v>6218197238</v>
      </c>
      <c r="K1122" s="68">
        <v>44804</v>
      </c>
      <c r="L1122" s="68">
        <v>46022</v>
      </c>
      <c r="M1122" s="68">
        <v>46203</v>
      </c>
      <c r="N1122" s="69">
        <f t="shared" si="52"/>
        <v>-38</v>
      </c>
      <c r="O1122" s="69">
        <f t="shared" si="53"/>
        <v>0</v>
      </c>
      <c r="P1122" s="70">
        <v>59</v>
      </c>
      <c r="Q1122" s="70">
        <v>21</v>
      </c>
      <c r="R1122" s="70">
        <v>21</v>
      </c>
      <c r="S1122" s="68" t="str">
        <f t="shared" si="54"/>
        <v/>
      </c>
      <c r="T1122" s="68"/>
      <c r="U1122" s="68"/>
      <c r="V1122" s="68"/>
      <c r="W1122" s="9"/>
      <c r="X1122" s="10"/>
      <c r="Y1122" s="71">
        <f t="shared" si="55"/>
        <v>21</v>
      </c>
      <c r="Z1122" s="73">
        <f t="shared" si="56"/>
        <v>21</v>
      </c>
      <c r="AA1122" s="11" t="str">
        <f t="shared" si="57"/>
        <v/>
      </c>
      <c r="AB1122" s="73">
        <f t="shared" si="58"/>
        <v>-38</v>
      </c>
      <c r="AC1122" s="11" t="str">
        <f t="shared" si="59"/>
        <v/>
      </c>
      <c r="AD1122" s="73">
        <f t="shared" si="60"/>
        <v>0</v>
      </c>
      <c r="AE1122" s="11" t="str">
        <f t="shared" si="61"/>
        <v/>
      </c>
      <c r="AF1122" s="73">
        <f t="shared" si="62"/>
        <v>-37.998877999999998</v>
      </c>
      <c r="AG1122" s="11" t="str">
        <f t="shared" si="63"/>
        <v/>
      </c>
      <c r="AH1122" s="73">
        <f t="shared" si="64"/>
        <v>1.122E-3</v>
      </c>
    </row>
    <row r="1123" spans="1:34" ht="14.25" customHeight="1">
      <c r="A1123" s="11">
        <v>1108</v>
      </c>
      <c r="B1123" s="66" t="s">
        <v>35</v>
      </c>
      <c r="C1123" s="67"/>
      <c r="D1123" s="67"/>
      <c r="E1123" s="67"/>
      <c r="F1123" s="67">
        <v>46154</v>
      </c>
      <c r="G1123" s="67" t="s">
        <v>35</v>
      </c>
      <c r="H1123" s="67">
        <v>43384</v>
      </c>
      <c r="I1123" s="6" t="s">
        <v>1733</v>
      </c>
      <c r="J1123" s="9">
        <v>6218610861</v>
      </c>
      <c r="K1123" s="68">
        <v>43373</v>
      </c>
      <c r="L1123" s="68">
        <v>46022</v>
      </c>
      <c r="M1123" s="68">
        <v>46203</v>
      </c>
      <c r="N1123" s="69">
        <f t="shared" si="52"/>
        <v>81</v>
      </c>
      <c r="O1123" s="69">
        <f t="shared" si="53"/>
        <v>2</v>
      </c>
      <c r="P1123" s="70">
        <v>3</v>
      </c>
      <c r="Q1123" s="70">
        <v>82</v>
      </c>
      <c r="R1123" s="70">
        <v>84</v>
      </c>
      <c r="S1123" s="68" t="str">
        <f t="shared" si="54"/>
        <v/>
      </c>
      <c r="T1123" s="68"/>
      <c r="U1123" s="68"/>
      <c r="V1123" s="68"/>
      <c r="W1123" s="9"/>
      <c r="X1123" s="10"/>
      <c r="Y1123" s="71">
        <f t="shared" si="55"/>
        <v>82</v>
      </c>
      <c r="Z1123" s="73">
        <f t="shared" si="56"/>
        <v>84</v>
      </c>
      <c r="AA1123" s="73">
        <f t="shared" si="57"/>
        <v>81</v>
      </c>
      <c r="AB1123" s="73">
        <f t="shared" si="58"/>
        <v>81</v>
      </c>
      <c r="AC1123" s="73">
        <f t="shared" si="59"/>
        <v>2</v>
      </c>
      <c r="AD1123" s="73">
        <f t="shared" si="60"/>
        <v>2</v>
      </c>
      <c r="AE1123" s="73">
        <f t="shared" si="61"/>
        <v>81.001123000000007</v>
      </c>
      <c r="AF1123" s="73">
        <f t="shared" si="62"/>
        <v>81.001123000000007</v>
      </c>
      <c r="AG1123" s="73">
        <f t="shared" si="63"/>
        <v>2.0011230000000002</v>
      </c>
      <c r="AH1123" s="73">
        <f t="shared" si="64"/>
        <v>2.0011230000000002</v>
      </c>
    </row>
    <row r="1124" spans="1:34" ht="14.25" customHeight="1">
      <c r="A1124" s="11">
        <v>1109</v>
      </c>
      <c r="B1124" s="66" t="s">
        <v>35</v>
      </c>
      <c r="C1124" s="67">
        <v>45261</v>
      </c>
      <c r="D1124" s="67">
        <v>45258</v>
      </c>
      <c r="E1124" s="67"/>
      <c r="F1124" s="67"/>
      <c r="G1124" s="67" t="s">
        <v>35</v>
      </c>
      <c r="H1124" s="67">
        <v>45007</v>
      </c>
      <c r="I1124" s="6" t="s">
        <v>1734</v>
      </c>
      <c r="J1124" s="9">
        <v>6218802778</v>
      </c>
      <c r="K1124" s="68">
        <v>44985</v>
      </c>
      <c r="L1124" s="68">
        <v>46022</v>
      </c>
      <c r="M1124" s="68">
        <v>46203</v>
      </c>
      <c r="N1124" s="69">
        <f t="shared" si="52"/>
        <v>7</v>
      </c>
      <c r="O1124" s="69">
        <f t="shared" si="53"/>
        <v>-1</v>
      </c>
      <c r="P1124" s="70">
        <v>2</v>
      </c>
      <c r="Q1124" s="70">
        <v>10</v>
      </c>
      <c r="R1124" s="70">
        <v>9</v>
      </c>
      <c r="S1124" s="68" t="str">
        <f t="shared" si="54"/>
        <v/>
      </c>
      <c r="T1124" s="68"/>
      <c r="U1124" s="68"/>
      <c r="V1124" s="68"/>
      <c r="W1124" s="9"/>
      <c r="X1124" s="10"/>
      <c r="Y1124" s="71">
        <f t="shared" si="55"/>
        <v>10</v>
      </c>
      <c r="Z1124" s="73">
        <f t="shared" si="56"/>
        <v>9</v>
      </c>
      <c r="AA1124" s="73">
        <f t="shared" si="57"/>
        <v>7</v>
      </c>
      <c r="AB1124" s="73">
        <f t="shared" si="58"/>
        <v>7</v>
      </c>
      <c r="AC1124" s="73">
        <f t="shared" si="59"/>
        <v>-1</v>
      </c>
      <c r="AD1124" s="73">
        <f t="shared" si="60"/>
        <v>-1</v>
      </c>
      <c r="AE1124" s="73">
        <f t="shared" si="61"/>
        <v>7.0011239999999999</v>
      </c>
      <c r="AF1124" s="73">
        <f t="shared" si="62"/>
        <v>7.0011239999999999</v>
      </c>
      <c r="AG1124" s="73">
        <f t="shared" si="63"/>
        <v>-0.99887599999999999</v>
      </c>
      <c r="AH1124" s="73">
        <f t="shared" si="64"/>
        <v>-0.99887599999999999</v>
      </c>
    </row>
    <row r="1125" spans="1:34" ht="14.25" customHeight="1">
      <c r="A1125" s="11">
        <v>1110</v>
      </c>
      <c r="B1125" s="66" t="s">
        <v>35</v>
      </c>
      <c r="C1125" s="67"/>
      <c r="D1125" s="67"/>
      <c r="E1125" s="67">
        <v>45944</v>
      </c>
      <c r="F1125" s="67"/>
      <c r="G1125" s="67" t="s">
        <v>35</v>
      </c>
      <c r="H1125" s="67">
        <v>45639</v>
      </c>
      <c r="I1125" s="6" t="s">
        <v>1735</v>
      </c>
      <c r="J1125" s="9">
        <v>6228129219</v>
      </c>
      <c r="K1125" s="68">
        <v>45626</v>
      </c>
      <c r="L1125" s="68">
        <v>46022</v>
      </c>
      <c r="M1125" s="68">
        <v>46203</v>
      </c>
      <c r="N1125" s="69">
        <f t="shared" si="52"/>
        <v>3</v>
      </c>
      <c r="O1125" s="69">
        <f t="shared" si="53"/>
        <v>-1</v>
      </c>
      <c r="P1125" s="70">
        <v>11</v>
      </c>
      <c r="Q1125" s="70">
        <v>15</v>
      </c>
      <c r="R1125" s="70">
        <v>14</v>
      </c>
      <c r="S1125" s="68" t="str">
        <f t="shared" si="54"/>
        <v/>
      </c>
      <c r="T1125" s="68"/>
      <c r="U1125" s="68"/>
      <c r="V1125" s="68"/>
      <c r="W1125" s="9"/>
      <c r="X1125" s="10"/>
      <c r="Y1125" s="71">
        <f t="shared" si="55"/>
        <v>15</v>
      </c>
      <c r="Z1125" s="73">
        <f t="shared" si="56"/>
        <v>14</v>
      </c>
      <c r="AA1125" s="73">
        <f t="shared" si="57"/>
        <v>3</v>
      </c>
      <c r="AB1125" s="73">
        <f t="shared" si="58"/>
        <v>3</v>
      </c>
      <c r="AC1125" s="73">
        <f t="shared" si="59"/>
        <v>-1</v>
      </c>
      <c r="AD1125" s="73">
        <f t="shared" si="60"/>
        <v>-1</v>
      </c>
      <c r="AE1125" s="73">
        <f t="shared" si="61"/>
        <v>3.001125</v>
      </c>
      <c r="AF1125" s="73">
        <f t="shared" si="62"/>
        <v>3.001125</v>
      </c>
      <c r="AG1125" s="73">
        <f t="shared" si="63"/>
        <v>-0.99887499999999996</v>
      </c>
      <c r="AH1125" s="73">
        <f t="shared" si="64"/>
        <v>-0.99887499999999996</v>
      </c>
    </row>
    <row r="1126" spans="1:34" ht="14.25" customHeight="1">
      <c r="A1126" s="11">
        <v>1111</v>
      </c>
      <c r="B1126" s="66" t="s">
        <v>24</v>
      </c>
      <c r="C1126" s="67">
        <v>43038</v>
      </c>
      <c r="D1126" s="67"/>
      <c r="E1126" s="67"/>
      <c r="F1126" s="67"/>
      <c r="G1126" s="67"/>
      <c r="H1126" s="67"/>
      <c r="I1126" s="6" t="s">
        <v>1736</v>
      </c>
      <c r="J1126" s="9">
        <v>6236300055</v>
      </c>
      <c r="K1126" s="68">
        <v>43008</v>
      </c>
      <c r="L1126" s="68" t="s">
        <v>230</v>
      </c>
      <c r="M1126" s="68">
        <v>43281</v>
      </c>
      <c r="N1126" s="69">
        <f t="shared" si="52"/>
        <v>-2</v>
      </c>
      <c r="O1126" s="69" t="str">
        <f t="shared" si="53"/>
        <v>N/A</v>
      </c>
      <c r="P1126" s="70">
        <v>2</v>
      </c>
      <c r="Q1126" s="70"/>
      <c r="R1126" s="70">
        <v>0</v>
      </c>
      <c r="S1126" s="68">
        <f t="shared" si="54"/>
        <v>43252</v>
      </c>
      <c r="T1126" s="68">
        <v>43252</v>
      </c>
      <c r="U1126" s="68"/>
      <c r="V1126" s="68"/>
      <c r="W1126" s="9"/>
      <c r="X1126" s="10"/>
      <c r="Y1126" s="65" t="str">
        <f t="shared" si="55"/>
        <v/>
      </c>
      <c r="Z1126" s="11" t="str">
        <f t="shared" si="56"/>
        <v/>
      </c>
      <c r="AA1126" s="73">
        <f t="shared" si="57"/>
        <v>-2</v>
      </c>
      <c r="AB1126" s="11" t="str">
        <f t="shared" si="58"/>
        <v/>
      </c>
      <c r="AC1126" s="11" t="str">
        <f t="shared" si="59"/>
        <v/>
      </c>
      <c r="AD1126" s="11" t="str">
        <f t="shared" si="60"/>
        <v/>
      </c>
      <c r="AE1126" s="73">
        <f t="shared" si="61"/>
        <v>-1.998874</v>
      </c>
      <c r="AF1126" s="11" t="str">
        <f t="shared" si="62"/>
        <v/>
      </c>
      <c r="AG1126" s="11" t="str">
        <f t="shared" si="63"/>
        <v/>
      </c>
      <c r="AH1126" s="11" t="str">
        <f t="shared" si="64"/>
        <v/>
      </c>
    </row>
    <row r="1127" spans="1:34" ht="14.25" customHeight="1">
      <c r="A1127" s="11">
        <v>1112</v>
      </c>
      <c r="B1127" s="66" t="s">
        <v>24</v>
      </c>
      <c r="C1127" s="67">
        <v>43218</v>
      </c>
      <c r="D1127" s="67"/>
      <c r="E1127" s="67"/>
      <c r="F1127" s="67"/>
      <c r="G1127" s="67"/>
      <c r="H1127" s="67"/>
      <c r="I1127" s="6" t="s">
        <v>1737</v>
      </c>
      <c r="J1127" s="9">
        <v>6238800849</v>
      </c>
      <c r="K1127" s="68">
        <v>43190</v>
      </c>
      <c r="L1127" s="68" t="s">
        <v>230</v>
      </c>
      <c r="M1127" s="68">
        <v>45688</v>
      </c>
      <c r="N1127" s="69">
        <f t="shared" si="52"/>
        <v>0</v>
      </c>
      <c r="O1127" s="69" t="str">
        <f t="shared" si="53"/>
        <v>N/A</v>
      </c>
      <c r="P1127" s="70">
        <v>0</v>
      </c>
      <c r="Q1127" s="70"/>
      <c r="R1127" s="70">
        <v>0</v>
      </c>
      <c r="S1127" s="68">
        <f t="shared" si="54"/>
        <v>45682</v>
      </c>
      <c r="T1127" s="68">
        <v>45682</v>
      </c>
      <c r="U1127" s="68"/>
      <c r="V1127" s="68"/>
      <c r="W1127" s="9"/>
      <c r="X1127" s="10"/>
      <c r="Y1127" s="65" t="str">
        <f t="shared" si="55"/>
        <v/>
      </c>
      <c r="Z1127" s="11" t="str">
        <f t="shared" si="56"/>
        <v/>
      </c>
      <c r="AA1127" s="73">
        <f t="shared" si="57"/>
        <v>0</v>
      </c>
      <c r="AB1127" s="11" t="str">
        <f t="shared" si="58"/>
        <v/>
      </c>
      <c r="AC1127" s="11" t="str">
        <f t="shared" si="59"/>
        <v/>
      </c>
      <c r="AD1127" s="11" t="str">
        <f t="shared" si="60"/>
        <v/>
      </c>
      <c r="AE1127" s="73">
        <f t="shared" si="61"/>
        <v>1.127E-3</v>
      </c>
      <c r="AF1127" s="11" t="str">
        <f t="shared" si="62"/>
        <v/>
      </c>
      <c r="AG1127" s="11" t="str">
        <f t="shared" si="63"/>
        <v/>
      </c>
      <c r="AH1127" s="11" t="str">
        <f t="shared" si="64"/>
        <v/>
      </c>
    </row>
    <row r="1128" spans="1:34" ht="14.25" customHeight="1">
      <c r="A1128" s="11">
        <v>1113</v>
      </c>
      <c r="B1128" s="66" t="s">
        <v>24</v>
      </c>
      <c r="C1128" s="67">
        <v>44986</v>
      </c>
      <c r="D1128" s="67"/>
      <c r="E1128" s="67"/>
      <c r="F1128" s="67"/>
      <c r="G1128" s="67"/>
      <c r="H1128" s="67"/>
      <c r="I1128" s="6" t="s">
        <v>1738</v>
      </c>
      <c r="J1128" s="9">
        <v>6238802115</v>
      </c>
      <c r="K1128" s="68">
        <v>44985</v>
      </c>
      <c r="L1128" s="68" t="s">
        <v>230</v>
      </c>
      <c r="M1128" s="68">
        <v>45565</v>
      </c>
      <c r="N1128" s="69">
        <f t="shared" si="52"/>
        <v>-8</v>
      </c>
      <c r="O1128" s="69" t="str">
        <f t="shared" si="53"/>
        <v>N/A</v>
      </c>
      <c r="P1128" s="70">
        <v>8</v>
      </c>
      <c r="Q1128" s="70"/>
      <c r="R1128" s="70">
        <v>0</v>
      </c>
      <c r="S1128" s="68">
        <f t="shared" si="54"/>
        <v>45539</v>
      </c>
      <c r="T1128" s="68">
        <v>45539</v>
      </c>
      <c r="U1128" s="68"/>
      <c r="V1128" s="68"/>
      <c r="W1128" s="9"/>
      <c r="X1128" s="10"/>
      <c r="Y1128" s="65" t="str">
        <f t="shared" si="55"/>
        <v/>
      </c>
      <c r="Z1128" s="11" t="str">
        <f t="shared" si="56"/>
        <v/>
      </c>
      <c r="AA1128" s="73">
        <f t="shared" si="57"/>
        <v>-8</v>
      </c>
      <c r="AB1128" s="11" t="str">
        <f t="shared" si="58"/>
        <v/>
      </c>
      <c r="AC1128" s="11" t="str">
        <f t="shared" si="59"/>
        <v/>
      </c>
      <c r="AD1128" s="11" t="str">
        <f t="shared" si="60"/>
        <v/>
      </c>
      <c r="AE1128" s="73">
        <f t="shared" si="61"/>
        <v>-7.9988720000000004</v>
      </c>
      <c r="AF1128" s="11" t="str">
        <f t="shared" si="62"/>
        <v/>
      </c>
      <c r="AG1128" s="11" t="str">
        <f t="shared" si="63"/>
        <v/>
      </c>
      <c r="AH1128" s="11" t="str">
        <f t="shared" si="64"/>
        <v/>
      </c>
    </row>
    <row r="1129" spans="1:34" ht="14.25" customHeight="1">
      <c r="A1129" s="11">
        <v>1114</v>
      </c>
      <c r="B1129" s="66"/>
      <c r="C1129" s="67"/>
      <c r="D1129" s="67"/>
      <c r="E1129" s="67"/>
      <c r="F1129" s="67"/>
      <c r="G1129" s="67" t="s">
        <v>35</v>
      </c>
      <c r="H1129" s="67">
        <v>44130</v>
      </c>
      <c r="I1129" s="6" t="s">
        <v>1739</v>
      </c>
      <c r="J1129" s="9">
        <v>6248601696</v>
      </c>
      <c r="K1129" s="68">
        <v>44104</v>
      </c>
      <c r="L1129" s="68">
        <v>46022</v>
      </c>
      <c r="M1129" s="68">
        <v>46203</v>
      </c>
      <c r="N1129" s="69">
        <f t="shared" si="52"/>
        <v>47</v>
      </c>
      <c r="O1129" s="69">
        <f t="shared" si="53"/>
        <v>0</v>
      </c>
      <c r="P1129" s="70">
        <v>8</v>
      </c>
      <c r="Q1129" s="70">
        <v>55</v>
      </c>
      <c r="R1129" s="70">
        <v>55</v>
      </c>
      <c r="S1129" s="68" t="str">
        <f t="shared" si="54"/>
        <v/>
      </c>
      <c r="T1129" s="68"/>
      <c r="U1129" s="68"/>
      <c r="V1129" s="68"/>
      <c r="W1129" s="9"/>
      <c r="X1129" s="10"/>
      <c r="Y1129" s="71">
        <f t="shared" si="55"/>
        <v>55</v>
      </c>
      <c r="Z1129" s="73">
        <f t="shared" si="56"/>
        <v>55</v>
      </c>
      <c r="AA1129" s="11" t="str">
        <f t="shared" si="57"/>
        <v/>
      </c>
      <c r="AB1129" s="73">
        <f t="shared" si="58"/>
        <v>47</v>
      </c>
      <c r="AC1129" s="11" t="str">
        <f t="shared" si="59"/>
        <v/>
      </c>
      <c r="AD1129" s="73">
        <f t="shared" si="60"/>
        <v>0</v>
      </c>
      <c r="AE1129" s="11" t="str">
        <f t="shared" si="61"/>
        <v/>
      </c>
      <c r="AF1129" s="73">
        <f t="shared" si="62"/>
        <v>47.001128999999999</v>
      </c>
      <c r="AG1129" s="11" t="str">
        <f t="shared" si="63"/>
        <v/>
      </c>
      <c r="AH1129" s="73">
        <f t="shared" si="64"/>
        <v>1.129E-3</v>
      </c>
    </row>
    <row r="1130" spans="1:34" ht="14.25" customHeight="1">
      <c r="A1130" s="11">
        <v>1115</v>
      </c>
      <c r="B1130" s="66"/>
      <c r="C1130" s="67"/>
      <c r="D1130" s="67"/>
      <c r="E1130" s="67"/>
      <c r="F1130" s="67"/>
      <c r="G1130" s="67" t="s">
        <v>35</v>
      </c>
      <c r="H1130" s="67">
        <v>45915</v>
      </c>
      <c r="I1130" s="6" t="s">
        <v>1740</v>
      </c>
      <c r="J1130" s="94">
        <v>6248702464</v>
      </c>
      <c r="K1130" s="68">
        <v>45900</v>
      </c>
      <c r="L1130" s="68">
        <v>46022</v>
      </c>
      <c r="M1130" s="68">
        <v>46203</v>
      </c>
      <c r="N1130" s="69">
        <f t="shared" si="52"/>
        <v>0</v>
      </c>
      <c r="O1130" s="69">
        <f t="shared" si="53"/>
        <v>0</v>
      </c>
      <c r="P1130" s="70">
        <v>10</v>
      </c>
      <c r="Q1130" s="70">
        <v>10</v>
      </c>
      <c r="R1130" s="70">
        <v>10</v>
      </c>
      <c r="S1130" s="68" t="str">
        <f t="shared" si="54"/>
        <v/>
      </c>
      <c r="T1130" s="68"/>
      <c r="U1130" s="95"/>
      <c r="V1130" s="68"/>
      <c r="W1130" s="6"/>
      <c r="X1130" s="10"/>
      <c r="Y1130" s="71">
        <f t="shared" si="55"/>
        <v>10</v>
      </c>
      <c r="Z1130" s="73">
        <f t="shared" si="56"/>
        <v>10</v>
      </c>
      <c r="AA1130" s="11" t="str">
        <f t="shared" si="57"/>
        <v/>
      </c>
      <c r="AB1130" s="73">
        <f t="shared" si="58"/>
        <v>0</v>
      </c>
      <c r="AC1130" s="11" t="str">
        <f t="shared" si="59"/>
        <v/>
      </c>
      <c r="AD1130" s="73">
        <f t="shared" si="60"/>
        <v>0</v>
      </c>
      <c r="AE1130" s="11" t="str">
        <f t="shared" si="61"/>
        <v/>
      </c>
      <c r="AF1130" s="73">
        <f t="shared" si="62"/>
        <v>1.1299999999999999E-3</v>
      </c>
      <c r="AG1130" s="11" t="str">
        <f t="shared" si="63"/>
        <v/>
      </c>
      <c r="AH1130" s="73">
        <f t="shared" si="64"/>
        <v>1.1299999999999999E-3</v>
      </c>
    </row>
    <row r="1131" spans="1:34" ht="14.25" customHeight="1">
      <c r="A1131" s="11">
        <v>1116</v>
      </c>
      <c r="B1131" s="66"/>
      <c r="C1131" s="67"/>
      <c r="D1131" s="67"/>
      <c r="E1131" s="67"/>
      <c r="F1131" s="67"/>
      <c r="G1131" s="67" t="s">
        <v>35</v>
      </c>
      <c r="H1131" s="67">
        <v>43020</v>
      </c>
      <c r="I1131" s="6" t="s">
        <v>1741</v>
      </c>
      <c r="J1131" s="9">
        <v>6258100680</v>
      </c>
      <c r="K1131" s="68">
        <v>43008</v>
      </c>
      <c r="L1131" s="68">
        <v>46022</v>
      </c>
      <c r="M1131" s="68">
        <v>46203</v>
      </c>
      <c r="N1131" s="69">
        <f t="shared" si="52"/>
        <v>23</v>
      </c>
      <c r="O1131" s="69">
        <f t="shared" si="53"/>
        <v>-1</v>
      </c>
      <c r="P1131" s="70">
        <v>0</v>
      </c>
      <c r="Q1131" s="70">
        <v>24</v>
      </c>
      <c r="R1131" s="70">
        <v>23</v>
      </c>
      <c r="S1131" s="68" t="str">
        <f t="shared" si="54"/>
        <v/>
      </c>
      <c r="T1131" s="68"/>
      <c r="U1131" s="68"/>
      <c r="V1131" s="68"/>
      <c r="W1131" s="9"/>
      <c r="X1131" s="10"/>
      <c r="Y1131" s="71">
        <f t="shared" si="55"/>
        <v>24</v>
      </c>
      <c r="Z1131" s="73">
        <f t="shared" si="56"/>
        <v>23</v>
      </c>
      <c r="AA1131" s="11" t="str">
        <f t="shared" si="57"/>
        <v/>
      </c>
      <c r="AB1131" s="73">
        <f t="shared" si="58"/>
        <v>23</v>
      </c>
      <c r="AC1131" s="11" t="str">
        <f t="shared" si="59"/>
        <v/>
      </c>
      <c r="AD1131" s="73">
        <f t="shared" si="60"/>
        <v>-1</v>
      </c>
      <c r="AE1131" s="11" t="str">
        <f t="shared" si="61"/>
        <v/>
      </c>
      <c r="AF1131" s="73">
        <f t="shared" si="62"/>
        <v>23.001131000000001</v>
      </c>
      <c r="AG1131" s="11" t="str">
        <f t="shared" si="63"/>
        <v/>
      </c>
      <c r="AH1131" s="73">
        <f t="shared" si="64"/>
        <v>-0.99886900000000001</v>
      </c>
    </row>
    <row r="1132" spans="1:34" ht="14.25" customHeight="1">
      <c r="A1132" s="11">
        <v>1117</v>
      </c>
      <c r="B1132" s="66"/>
      <c r="C1132" s="67"/>
      <c r="D1132" s="67"/>
      <c r="E1132" s="67"/>
      <c r="F1132" s="67"/>
      <c r="G1132" s="67" t="s">
        <v>35</v>
      </c>
      <c r="H1132" s="67">
        <v>44790</v>
      </c>
      <c r="I1132" s="6" t="s">
        <v>1742</v>
      </c>
      <c r="J1132" s="9">
        <v>6278101536</v>
      </c>
      <c r="K1132" s="68">
        <v>44773</v>
      </c>
      <c r="L1132" s="68">
        <v>46022</v>
      </c>
      <c r="M1132" s="68">
        <v>46203</v>
      </c>
      <c r="N1132" s="69">
        <f t="shared" si="52"/>
        <v>6</v>
      </c>
      <c r="O1132" s="69">
        <f t="shared" si="53"/>
        <v>4</v>
      </c>
      <c r="P1132" s="70">
        <v>33</v>
      </c>
      <c r="Q1132" s="70">
        <v>35</v>
      </c>
      <c r="R1132" s="70">
        <v>39</v>
      </c>
      <c r="S1132" s="68" t="str">
        <f t="shared" si="54"/>
        <v/>
      </c>
      <c r="T1132" s="68"/>
      <c r="U1132" s="68"/>
      <c r="V1132" s="68"/>
      <c r="W1132" s="9"/>
      <c r="X1132" s="10"/>
      <c r="Y1132" s="71">
        <f t="shared" si="55"/>
        <v>35</v>
      </c>
      <c r="Z1132" s="73">
        <f t="shared" si="56"/>
        <v>39</v>
      </c>
      <c r="AA1132" s="11" t="str">
        <f t="shared" si="57"/>
        <v/>
      </c>
      <c r="AB1132" s="73">
        <f t="shared" si="58"/>
        <v>6</v>
      </c>
      <c r="AC1132" s="11" t="str">
        <f t="shared" si="59"/>
        <v/>
      </c>
      <c r="AD1132" s="73">
        <f t="shared" si="60"/>
        <v>4</v>
      </c>
      <c r="AE1132" s="11" t="str">
        <f t="shared" si="61"/>
        <v/>
      </c>
      <c r="AF1132" s="73">
        <f t="shared" si="62"/>
        <v>6.0011320000000001</v>
      </c>
      <c r="AG1132" s="11" t="str">
        <f t="shared" si="63"/>
        <v/>
      </c>
      <c r="AH1132" s="73">
        <f t="shared" si="64"/>
        <v>4.0011320000000001</v>
      </c>
    </row>
    <row r="1133" spans="1:34" ht="14.25" customHeight="1">
      <c r="A1133" s="11">
        <v>1118</v>
      </c>
      <c r="B1133" s="66"/>
      <c r="C1133" s="67"/>
      <c r="D1133" s="67"/>
      <c r="E1133" s="67"/>
      <c r="F1133" s="67"/>
      <c r="G1133" s="67" t="s">
        <v>35</v>
      </c>
      <c r="H1133" s="67">
        <v>45818</v>
      </c>
      <c r="I1133" s="6" t="s">
        <v>1743</v>
      </c>
      <c r="J1133" s="9">
        <v>6278703195</v>
      </c>
      <c r="K1133" s="68">
        <v>45808</v>
      </c>
      <c r="L1133" s="68">
        <v>46022</v>
      </c>
      <c r="M1133" s="68">
        <v>46203</v>
      </c>
      <c r="N1133" s="69">
        <f t="shared" si="52"/>
        <v>0</v>
      </c>
      <c r="O1133" s="69">
        <f t="shared" si="53"/>
        <v>-1</v>
      </c>
      <c r="P1133" s="70">
        <v>3</v>
      </c>
      <c r="Q1133" s="70">
        <v>4</v>
      </c>
      <c r="R1133" s="70">
        <v>3</v>
      </c>
      <c r="S1133" s="68" t="str">
        <f t="shared" si="54"/>
        <v/>
      </c>
      <c r="T1133" s="68"/>
      <c r="U1133" s="68"/>
      <c r="V1133" s="68"/>
      <c r="W1133" s="9"/>
      <c r="X1133" s="10"/>
      <c r="Y1133" s="71">
        <f t="shared" si="55"/>
        <v>4</v>
      </c>
      <c r="Z1133" s="73">
        <f t="shared" si="56"/>
        <v>3</v>
      </c>
      <c r="AA1133" s="11" t="str">
        <f t="shared" si="57"/>
        <v/>
      </c>
      <c r="AB1133" s="73">
        <f t="shared" si="58"/>
        <v>0</v>
      </c>
      <c r="AC1133" s="11" t="str">
        <f t="shared" si="59"/>
        <v/>
      </c>
      <c r="AD1133" s="73">
        <f t="shared" si="60"/>
        <v>-1</v>
      </c>
      <c r="AE1133" s="11" t="str">
        <f t="shared" si="61"/>
        <v/>
      </c>
      <c r="AF1133" s="73">
        <f t="shared" si="62"/>
        <v>1.1329999999999999E-3</v>
      </c>
      <c r="AG1133" s="11" t="str">
        <f t="shared" si="63"/>
        <v/>
      </c>
      <c r="AH1133" s="73">
        <f t="shared" si="64"/>
        <v>-0.99886699999999995</v>
      </c>
    </row>
    <row r="1134" spans="1:34" ht="14.25" customHeight="1">
      <c r="A1134" s="11">
        <v>1119</v>
      </c>
      <c r="B1134" s="66"/>
      <c r="C1134" s="67"/>
      <c r="D1134" s="67"/>
      <c r="E1134" s="67"/>
      <c r="F1134" s="67"/>
      <c r="G1134" s="67" t="s">
        <v>35</v>
      </c>
      <c r="H1134" s="67">
        <v>44064</v>
      </c>
      <c r="I1134" s="6" t="s">
        <v>1744</v>
      </c>
      <c r="J1134" s="9">
        <v>6278801011</v>
      </c>
      <c r="K1134" s="68">
        <v>44043</v>
      </c>
      <c r="L1134" s="68">
        <v>46022</v>
      </c>
      <c r="M1134" s="68">
        <v>46203</v>
      </c>
      <c r="N1134" s="69">
        <f t="shared" si="52"/>
        <v>-2</v>
      </c>
      <c r="O1134" s="69">
        <f t="shared" si="53"/>
        <v>0</v>
      </c>
      <c r="P1134" s="70">
        <v>5</v>
      </c>
      <c r="Q1134" s="70">
        <v>3</v>
      </c>
      <c r="R1134" s="70">
        <v>3</v>
      </c>
      <c r="S1134" s="68" t="str">
        <f t="shared" si="54"/>
        <v/>
      </c>
      <c r="T1134" s="68"/>
      <c r="U1134" s="68"/>
      <c r="V1134" s="68"/>
      <c r="W1134" s="9"/>
      <c r="X1134" s="10"/>
      <c r="Y1134" s="71">
        <f t="shared" si="55"/>
        <v>3</v>
      </c>
      <c r="Z1134" s="73">
        <f t="shared" si="56"/>
        <v>3</v>
      </c>
      <c r="AA1134" s="11" t="str">
        <f t="shared" si="57"/>
        <v/>
      </c>
      <c r="AB1134" s="73">
        <f t="shared" si="58"/>
        <v>-2</v>
      </c>
      <c r="AC1134" s="11" t="str">
        <f t="shared" si="59"/>
        <v/>
      </c>
      <c r="AD1134" s="73">
        <f t="shared" si="60"/>
        <v>0</v>
      </c>
      <c r="AE1134" s="11" t="str">
        <f t="shared" si="61"/>
        <v/>
      </c>
      <c r="AF1134" s="73">
        <f t="shared" si="62"/>
        <v>-1.998866</v>
      </c>
      <c r="AG1134" s="11" t="str">
        <f t="shared" si="63"/>
        <v/>
      </c>
      <c r="AH1134" s="73">
        <f t="shared" si="64"/>
        <v>1.134E-3</v>
      </c>
    </row>
    <row r="1135" spans="1:34" ht="14.25" customHeight="1">
      <c r="A1135" s="11">
        <v>1120</v>
      </c>
      <c r="B1135" s="66" t="s">
        <v>35</v>
      </c>
      <c r="C1135" s="67">
        <v>45352</v>
      </c>
      <c r="D1135" s="67"/>
      <c r="E1135" s="67"/>
      <c r="F1135" s="67"/>
      <c r="G1135" s="67" t="s">
        <v>35</v>
      </c>
      <c r="H1135" s="67">
        <v>44895</v>
      </c>
      <c r="I1135" s="6" t="s">
        <v>1745</v>
      </c>
      <c r="J1135" s="9">
        <v>6288102391</v>
      </c>
      <c r="K1135" s="68">
        <v>44865</v>
      </c>
      <c r="L1135" s="68">
        <v>46022</v>
      </c>
      <c r="M1135" s="68">
        <v>46203</v>
      </c>
      <c r="N1135" s="69">
        <f t="shared" si="52"/>
        <v>-3</v>
      </c>
      <c r="O1135" s="69">
        <f t="shared" si="53"/>
        <v>0</v>
      </c>
      <c r="P1135" s="70">
        <v>5</v>
      </c>
      <c r="Q1135" s="70">
        <v>2</v>
      </c>
      <c r="R1135" s="70">
        <v>2</v>
      </c>
      <c r="S1135" s="68" t="str">
        <f t="shared" si="54"/>
        <v/>
      </c>
      <c r="T1135" s="68"/>
      <c r="U1135" s="68"/>
      <c r="V1135" s="68"/>
      <c r="W1135" s="9"/>
      <c r="X1135" s="10"/>
      <c r="Y1135" s="71">
        <f t="shared" si="55"/>
        <v>2</v>
      </c>
      <c r="Z1135" s="73">
        <f t="shared" si="56"/>
        <v>2</v>
      </c>
      <c r="AA1135" s="73">
        <f t="shared" si="57"/>
        <v>-3</v>
      </c>
      <c r="AB1135" s="73">
        <f t="shared" si="58"/>
        <v>-3</v>
      </c>
      <c r="AC1135" s="73">
        <f t="shared" si="59"/>
        <v>0</v>
      </c>
      <c r="AD1135" s="73">
        <f t="shared" si="60"/>
        <v>0</v>
      </c>
      <c r="AE1135" s="73">
        <f t="shared" si="61"/>
        <v>-2.9988649999999999</v>
      </c>
      <c r="AF1135" s="73">
        <f t="shared" si="62"/>
        <v>-2.9988649999999999</v>
      </c>
      <c r="AG1135" s="73">
        <f t="shared" si="63"/>
        <v>1.1349999999999999E-3</v>
      </c>
      <c r="AH1135" s="73">
        <f t="shared" si="64"/>
        <v>1.1349999999999999E-3</v>
      </c>
    </row>
    <row r="1136" spans="1:34" ht="14.25" customHeight="1">
      <c r="A1136" s="11">
        <v>1121</v>
      </c>
      <c r="B1136" s="66"/>
      <c r="C1136" s="67"/>
      <c r="D1136" s="67"/>
      <c r="E1136" s="67"/>
      <c r="F1136" s="67"/>
      <c r="G1136" s="67" t="s">
        <v>35</v>
      </c>
      <c r="H1136" s="67">
        <v>44398</v>
      </c>
      <c r="I1136" s="6" t="s">
        <v>1746</v>
      </c>
      <c r="J1136" s="9">
        <v>6298600538</v>
      </c>
      <c r="K1136" s="68">
        <v>44377</v>
      </c>
      <c r="L1136" s="68">
        <v>46022</v>
      </c>
      <c r="M1136" s="68">
        <v>46203</v>
      </c>
      <c r="N1136" s="69">
        <f t="shared" si="52"/>
        <v>-7</v>
      </c>
      <c r="O1136" s="69">
        <f t="shared" si="53"/>
        <v>-1</v>
      </c>
      <c r="P1136" s="70">
        <v>10</v>
      </c>
      <c r="Q1136" s="70">
        <v>4</v>
      </c>
      <c r="R1136" s="70">
        <v>3</v>
      </c>
      <c r="S1136" s="68" t="str">
        <f t="shared" si="54"/>
        <v/>
      </c>
      <c r="T1136" s="68"/>
      <c r="U1136" s="68"/>
      <c r="V1136" s="68"/>
      <c r="W1136" s="9"/>
      <c r="X1136" s="10"/>
      <c r="Y1136" s="71">
        <f t="shared" si="55"/>
        <v>4</v>
      </c>
      <c r="Z1136" s="73">
        <f t="shared" si="56"/>
        <v>3</v>
      </c>
      <c r="AA1136" s="11" t="str">
        <f t="shared" si="57"/>
        <v/>
      </c>
      <c r="AB1136" s="73">
        <f t="shared" si="58"/>
        <v>-7</v>
      </c>
      <c r="AC1136" s="11" t="str">
        <f t="shared" si="59"/>
        <v/>
      </c>
      <c r="AD1136" s="73">
        <f t="shared" si="60"/>
        <v>-1</v>
      </c>
      <c r="AE1136" s="11" t="str">
        <f t="shared" si="61"/>
        <v/>
      </c>
      <c r="AF1136" s="73">
        <f t="shared" si="62"/>
        <v>-6.9988640000000002</v>
      </c>
      <c r="AG1136" s="11" t="str">
        <f t="shared" si="63"/>
        <v/>
      </c>
      <c r="AH1136" s="73">
        <f t="shared" si="64"/>
        <v>-0.99886399999999997</v>
      </c>
    </row>
    <row r="1137" spans="1:34" ht="14.25" customHeight="1">
      <c r="A1137" s="11">
        <v>1122</v>
      </c>
      <c r="B1137" s="66"/>
      <c r="C1137" s="67"/>
      <c r="D1137" s="67"/>
      <c r="E1137" s="67"/>
      <c r="F1137" s="67"/>
      <c r="G1137" s="67" t="s">
        <v>35</v>
      </c>
      <c r="H1137" s="67">
        <v>43027</v>
      </c>
      <c r="I1137" s="6" t="s">
        <v>1747</v>
      </c>
      <c r="J1137" s="9">
        <v>6298600896</v>
      </c>
      <c r="K1137" s="68">
        <v>43008</v>
      </c>
      <c r="L1137" s="68">
        <v>46022</v>
      </c>
      <c r="M1137" s="68">
        <v>46203</v>
      </c>
      <c r="N1137" s="69">
        <f t="shared" si="52"/>
        <v>5</v>
      </c>
      <c r="O1137" s="69">
        <f t="shared" si="53"/>
        <v>0</v>
      </c>
      <c r="P1137" s="70">
        <v>0</v>
      </c>
      <c r="Q1137" s="70">
        <v>5</v>
      </c>
      <c r="R1137" s="70">
        <v>5</v>
      </c>
      <c r="S1137" s="68" t="str">
        <f t="shared" si="54"/>
        <v/>
      </c>
      <c r="T1137" s="68"/>
      <c r="U1137" s="68"/>
      <c r="V1137" s="68"/>
      <c r="W1137" s="9"/>
      <c r="X1137" s="10"/>
      <c r="Y1137" s="71">
        <f t="shared" si="55"/>
        <v>5</v>
      </c>
      <c r="Z1137" s="73">
        <f t="shared" si="56"/>
        <v>5</v>
      </c>
      <c r="AA1137" s="11" t="str">
        <f t="shared" si="57"/>
        <v/>
      </c>
      <c r="AB1137" s="73">
        <f t="shared" si="58"/>
        <v>5</v>
      </c>
      <c r="AC1137" s="11" t="str">
        <f t="shared" si="59"/>
        <v/>
      </c>
      <c r="AD1137" s="73">
        <f t="shared" si="60"/>
        <v>0</v>
      </c>
      <c r="AE1137" s="11" t="str">
        <f t="shared" si="61"/>
        <v/>
      </c>
      <c r="AF1137" s="73">
        <f t="shared" si="62"/>
        <v>5.0011369999999999</v>
      </c>
      <c r="AG1137" s="11" t="str">
        <f t="shared" si="63"/>
        <v/>
      </c>
      <c r="AH1137" s="73">
        <f t="shared" si="64"/>
        <v>1.137E-3</v>
      </c>
    </row>
    <row r="1138" spans="1:34" ht="14.25" customHeight="1">
      <c r="A1138" s="11">
        <v>1123</v>
      </c>
      <c r="B1138" s="66"/>
      <c r="C1138" s="67"/>
      <c r="D1138" s="67"/>
      <c r="E1138" s="67"/>
      <c r="F1138" s="67"/>
      <c r="G1138" s="67" t="s">
        <v>35</v>
      </c>
      <c r="H1138" s="67">
        <v>45953</v>
      </c>
      <c r="I1138" s="6" t="s">
        <v>1748</v>
      </c>
      <c r="J1138" s="94">
        <v>6298602894</v>
      </c>
      <c r="K1138" s="68">
        <v>45930</v>
      </c>
      <c r="L1138" s="68">
        <v>46022</v>
      </c>
      <c r="M1138" s="68">
        <v>46203</v>
      </c>
      <c r="N1138" s="69">
        <f t="shared" si="52"/>
        <v>3</v>
      </c>
      <c r="O1138" s="69">
        <f t="shared" si="53"/>
        <v>3</v>
      </c>
      <c r="P1138" s="70">
        <v>6</v>
      </c>
      <c r="Q1138" s="70">
        <v>6</v>
      </c>
      <c r="R1138" s="70">
        <v>9</v>
      </c>
      <c r="S1138" s="68" t="str">
        <f t="shared" si="54"/>
        <v/>
      </c>
      <c r="T1138" s="68"/>
      <c r="U1138" s="95"/>
      <c r="V1138" s="68"/>
      <c r="W1138" s="6"/>
      <c r="X1138" s="10"/>
      <c r="Y1138" s="71">
        <f t="shared" si="55"/>
        <v>6</v>
      </c>
      <c r="Z1138" s="73">
        <f t="shared" si="56"/>
        <v>9</v>
      </c>
      <c r="AA1138" s="11" t="str">
        <f t="shared" si="57"/>
        <v/>
      </c>
      <c r="AB1138" s="73">
        <f t="shared" si="58"/>
        <v>3</v>
      </c>
      <c r="AC1138" s="11" t="str">
        <f t="shared" si="59"/>
        <v/>
      </c>
      <c r="AD1138" s="73">
        <f t="shared" si="60"/>
        <v>3</v>
      </c>
      <c r="AE1138" s="11" t="str">
        <f t="shared" si="61"/>
        <v/>
      </c>
      <c r="AF1138" s="73">
        <f t="shared" si="62"/>
        <v>3.0011380000000001</v>
      </c>
      <c r="AG1138" s="11" t="str">
        <f t="shared" si="63"/>
        <v/>
      </c>
      <c r="AH1138" s="73">
        <f t="shared" si="64"/>
        <v>3.0011380000000001</v>
      </c>
    </row>
    <row r="1139" spans="1:34" ht="14.25" customHeight="1">
      <c r="A1139" s="11">
        <v>1124</v>
      </c>
      <c r="B1139" s="66"/>
      <c r="C1139" s="67"/>
      <c r="D1139" s="67"/>
      <c r="E1139" s="67"/>
      <c r="F1139" s="67"/>
      <c r="G1139" s="67" t="s">
        <v>35</v>
      </c>
      <c r="H1139" s="67">
        <v>43864</v>
      </c>
      <c r="I1139" s="6" t="s">
        <v>1749</v>
      </c>
      <c r="J1139" s="9">
        <v>6308700933</v>
      </c>
      <c r="K1139" s="68">
        <v>43861</v>
      </c>
      <c r="L1139" s="68">
        <v>46022</v>
      </c>
      <c r="M1139" s="68">
        <v>46203</v>
      </c>
      <c r="N1139" s="69">
        <f t="shared" si="52"/>
        <v>73</v>
      </c>
      <c r="O1139" s="69">
        <f t="shared" si="53"/>
        <v>7</v>
      </c>
      <c r="P1139" s="70">
        <v>11</v>
      </c>
      <c r="Q1139" s="70">
        <v>77</v>
      </c>
      <c r="R1139" s="70">
        <v>84</v>
      </c>
      <c r="S1139" s="68" t="str">
        <f t="shared" si="54"/>
        <v/>
      </c>
      <c r="T1139" s="68"/>
      <c r="U1139" s="68"/>
      <c r="V1139" s="68"/>
      <c r="W1139" s="9"/>
      <c r="X1139" s="10"/>
      <c r="Y1139" s="71">
        <f t="shared" si="55"/>
        <v>77</v>
      </c>
      <c r="Z1139" s="73">
        <f t="shared" si="56"/>
        <v>84</v>
      </c>
      <c r="AA1139" s="11" t="str">
        <f t="shared" si="57"/>
        <v/>
      </c>
      <c r="AB1139" s="73">
        <f t="shared" si="58"/>
        <v>73</v>
      </c>
      <c r="AC1139" s="11" t="str">
        <f t="shared" si="59"/>
        <v/>
      </c>
      <c r="AD1139" s="73">
        <f t="shared" si="60"/>
        <v>7</v>
      </c>
      <c r="AE1139" s="11" t="str">
        <f t="shared" si="61"/>
        <v/>
      </c>
      <c r="AF1139" s="73">
        <f t="shared" si="62"/>
        <v>73.001138999999995</v>
      </c>
      <c r="AG1139" s="11" t="str">
        <f t="shared" si="63"/>
        <v/>
      </c>
      <c r="AH1139" s="73">
        <f t="shared" si="64"/>
        <v>7.0011390000000002</v>
      </c>
    </row>
    <row r="1140" spans="1:34" ht="14.25" customHeight="1">
      <c r="A1140" s="11">
        <v>1125</v>
      </c>
      <c r="B1140" s="66"/>
      <c r="C1140" s="67"/>
      <c r="D1140" s="67"/>
      <c r="E1140" s="67"/>
      <c r="F1140" s="67"/>
      <c r="G1140" s="67" t="s">
        <v>35</v>
      </c>
      <c r="H1140" s="67">
        <v>45076</v>
      </c>
      <c r="I1140" s="6" t="s">
        <v>1750</v>
      </c>
      <c r="J1140" s="9">
        <v>6318702633</v>
      </c>
      <c r="K1140" s="68">
        <v>45046</v>
      </c>
      <c r="L1140" s="68">
        <v>46022</v>
      </c>
      <c r="M1140" s="68">
        <v>46203</v>
      </c>
      <c r="N1140" s="69">
        <f t="shared" si="52"/>
        <v>4</v>
      </c>
      <c r="O1140" s="69">
        <f t="shared" si="53"/>
        <v>-2</v>
      </c>
      <c r="P1140" s="70">
        <v>0</v>
      </c>
      <c r="Q1140" s="70">
        <v>6</v>
      </c>
      <c r="R1140" s="70">
        <v>4</v>
      </c>
      <c r="S1140" s="68" t="str">
        <f t="shared" si="54"/>
        <v/>
      </c>
      <c r="T1140" s="68"/>
      <c r="U1140" s="68"/>
      <c r="V1140" s="68"/>
      <c r="W1140" s="9"/>
      <c r="X1140" s="10"/>
      <c r="Y1140" s="71">
        <f t="shared" si="55"/>
        <v>6</v>
      </c>
      <c r="Z1140" s="73">
        <f t="shared" si="56"/>
        <v>4</v>
      </c>
      <c r="AA1140" s="11" t="str">
        <f t="shared" si="57"/>
        <v/>
      </c>
      <c r="AB1140" s="73">
        <f t="shared" si="58"/>
        <v>4</v>
      </c>
      <c r="AC1140" s="11" t="str">
        <f t="shared" si="59"/>
        <v/>
      </c>
      <c r="AD1140" s="73">
        <f t="shared" si="60"/>
        <v>-2</v>
      </c>
      <c r="AE1140" s="11" t="str">
        <f t="shared" si="61"/>
        <v/>
      </c>
      <c r="AF1140" s="73">
        <f t="shared" si="62"/>
        <v>4.0011400000000004</v>
      </c>
      <c r="AG1140" s="11" t="str">
        <f t="shared" si="63"/>
        <v/>
      </c>
      <c r="AH1140" s="73">
        <f t="shared" si="64"/>
        <v>-1.9988600000000001</v>
      </c>
    </row>
    <row r="1141" spans="1:34" ht="14.25" customHeight="1">
      <c r="A1141" s="11">
        <v>1126</v>
      </c>
      <c r="B1141" s="66"/>
      <c r="C1141" s="67"/>
      <c r="D1141" s="67"/>
      <c r="E1141" s="67"/>
      <c r="F1141" s="67"/>
      <c r="G1141" s="67" t="s">
        <v>35</v>
      </c>
      <c r="H1141" s="67">
        <v>44263</v>
      </c>
      <c r="I1141" s="6" t="s">
        <v>1751</v>
      </c>
      <c r="J1141" s="9">
        <v>6328101159</v>
      </c>
      <c r="K1141" s="68">
        <v>44255</v>
      </c>
      <c r="L1141" s="68">
        <v>46022</v>
      </c>
      <c r="M1141" s="68">
        <v>46203</v>
      </c>
      <c r="N1141" s="69">
        <f t="shared" si="52"/>
        <v>16</v>
      </c>
      <c r="O1141" s="69">
        <f t="shared" si="53"/>
        <v>-1</v>
      </c>
      <c r="P1141" s="70">
        <v>11</v>
      </c>
      <c r="Q1141" s="70">
        <v>28</v>
      </c>
      <c r="R1141" s="70">
        <v>27</v>
      </c>
      <c r="S1141" s="68" t="str">
        <f t="shared" si="54"/>
        <v/>
      </c>
      <c r="T1141" s="68"/>
      <c r="U1141" s="68"/>
      <c r="V1141" s="68"/>
      <c r="W1141" s="9"/>
      <c r="X1141" s="10"/>
      <c r="Y1141" s="71">
        <f t="shared" si="55"/>
        <v>28</v>
      </c>
      <c r="Z1141" s="73">
        <f t="shared" si="56"/>
        <v>27</v>
      </c>
      <c r="AA1141" s="11" t="str">
        <f t="shared" si="57"/>
        <v/>
      </c>
      <c r="AB1141" s="73">
        <f t="shared" si="58"/>
        <v>16</v>
      </c>
      <c r="AC1141" s="11" t="str">
        <f t="shared" si="59"/>
        <v/>
      </c>
      <c r="AD1141" s="73">
        <f t="shared" si="60"/>
        <v>-1</v>
      </c>
      <c r="AE1141" s="11" t="str">
        <f t="shared" si="61"/>
        <v/>
      </c>
      <c r="AF1141" s="73">
        <f t="shared" si="62"/>
        <v>16.001141000000001</v>
      </c>
      <c r="AG1141" s="11" t="str">
        <f t="shared" si="63"/>
        <v/>
      </c>
      <c r="AH1141" s="73">
        <f t="shared" si="64"/>
        <v>-0.99885900000000005</v>
      </c>
    </row>
    <row r="1142" spans="1:34" ht="14.25" customHeight="1">
      <c r="A1142" s="11">
        <v>1127</v>
      </c>
      <c r="B1142" s="66" t="s">
        <v>35</v>
      </c>
      <c r="C1142" s="67">
        <v>42725</v>
      </c>
      <c r="D1142" s="67">
        <v>42930</v>
      </c>
      <c r="E1142" s="67"/>
      <c r="F1142" s="67"/>
      <c r="G1142" s="67" t="s">
        <v>35</v>
      </c>
      <c r="H1142" s="67">
        <v>44407</v>
      </c>
      <c r="I1142" s="6" t="s">
        <v>1752</v>
      </c>
      <c r="J1142" s="9">
        <v>6328600723</v>
      </c>
      <c r="K1142" s="68">
        <v>42704</v>
      </c>
      <c r="L1142" s="68">
        <v>46022</v>
      </c>
      <c r="M1142" s="68">
        <v>46203</v>
      </c>
      <c r="N1142" s="69">
        <f t="shared" si="52"/>
        <v>2</v>
      </c>
      <c r="O1142" s="69">
        <f t="shared" si="53"/>
        <v>0</v>
      </c>
      <c r="P1142" s="70">
        <v>0</v>
      </c>
      <c r="Q1142" s="70">
        <v>2</v>
      </c>
      <c r="R1142" s="70">
        <v>2</v>
      </c>
      <c r="S1142" s="68" t="str">
        <f t="shared" si="54"/>
        <v/>
      </c>
      <c r="T1142" s="68"/>
      <c r="U1142" s="68"/>
      <c r="V1142" s="68"/>
      <c r="W1142" s="9"/>
      <c r="X1142" s="10"/>
      <c r="Y1142" s="71">
        <f t="shared" si="55"/>
        <v>2</v>
      </c>
      <c r="Z1142" s="73">
        <f t="shared" si="56"/>
        <v>2</v>
      </c>
      <c r="AA1142" s="73">
        <f t="shared" si="57"/>
        <v>2</v>
      </c>
      <c r="AB1142" s="73">
        <f t="shared" si="58"/>
        <v>2</v>
      </c>
      <c r="AC1142" s="73">
        <f t="shared" si="59"/>
        <v>0</v>
      </c>
      <c r="AD1142" s="73">
        <f t="shared" si="60"/>
        <v>0</v>
      </c>
      <c r="AE1142" s="73">
        <f t="shared" si="61"/>
        <v>2.0011420000000002</v>
      </c>
      <c r="AF1142" s="73">
        <f t="shared" si="62"/>
        <v>2.0011420000000002</v>
      </c>
      <c r="AG1142" s="73">
        <f t="shared" si="63"/>
        <v>1.142E-3</v>
      </c>
      <c r="AH1142" s="73">
        <f t="shared" si="64"/>
        <v>1.142E-3</v>
      </c>
    </row>
    <row r="1143" spans="1:34" ht="14.25" customHeight="1">
      <c r="A1143" s="11">
        <v>1128</v>
      </c>
      <c r="B1143" s="121" t="s">
        <v>24</v>
      </c>
      <c r="C1143" s="67"/>
      <c r="D1143" s="67">
        <v>44746</v>
      </c>
      <c r="E1143" s="67"/>
      <c r="F1143" s="67"/>
      <c r="G1143" s="67"/>
      <c r="H1143" s="67"/>
      <c r="I1143" s="6" t="s">
        <v>1753</v>
      </c>
      <c r="J1143" s="37">
        <v>6328602717</v>
      </c>
      <c r="K1143" s="68">
        <v>44742</v>
      </c>
      <c r="L1143" s="68" t="s">
        <v>230</v>
      </c>
      <c r="M1143" s="68">
        <v>45291</v>
      </c>
      <c r="N1143" s="69">
        <f t="shared" si="52"/>
        <v>-1</v>
      </c>
      <c r="O1143" s="69" t="str">
        <f t="shared" si="53"/>
        <v>N/A</v>
      </c>
      <c r="P1143" s="78">
        <v>1</v>
      </c>
      <c r="Q1143" s="78"/>
      <c r="R1143" s="78">
        <v>0</v>
      </c>
      <c r="S1143" s="68">
        <f t="shared" si="54"/>
        <v>45291</v>
      </c>
      <c r="T1143" s="68">
        <v>45909</v>
      </c>
      <c r="U1143" s="68">
        <v>45291</v>
      </c>
      <c r="V1143" s="68">
        <v>45926</v>
      </c>
      <c r="W1143" s="6"/>
      <c r="X1143" s="93" t="s">
        <v>1754</v>
      </c>
      <c r="Y1143" s="65" t="str">
        <f t="shared" si="55"/>
        <v/>
      </c>
      <c r="Z1143" s="11" t="str">
        <f t="shared" si="56"/>
        <v/>
      </c>
      <c r="AA1143" s="73">
        <f t="shared" si="57"/>
        <v>-1</v>
      </c>
      <c r="AB1143" s="11" t="str">
        <f t="shared" si="58"/>
        <v/>
      </c>
      <c r="AC1143" s="11" t="str">
        <f t="shared" si="59"/>
        <v/>
      </c>
      <c r="AD1143" s="11" t="str">
        <f t="shared" si="60"/>
        <v/>
      </c>
      <c r="AE1143" s="73">
        <f t="shared" si="61"/>
        <v>-0.99885699999999999</v>
      </c>
      <c r="AF1143" s="11" t="str">
        <f t="shared" si="62"/>
        <v/>
      </c>
      <c r="AG1143" s="11" t="str">
        <f t="shared" si="63"/>
        <v/>
      </c>
      <c r="AH1143" s="11" t="str">
        <f t="shared" si="64"/>
        <v/>
      </c>
    </row>
    <row r="1144" spans="1:34" ht="14.25" customHeight="1">
      <c r="A1144" s="11">
        <v>1129</v>
      </c>
      <c r="B1144" s="66"/>
      <c r="C1144" s="67"/>
      <c r="D1144" s="67"/>
      <c r="E1144" s="67"/>
      <c r="F1144" s="67"/>
      <c r="G1144" s="67" t="s">
        <v>35</v>
      </c>
      <c r="H1144" s="67">
        <v>45545</v>
      </c>
      <c r="I1144" s="6" t="s">
        <v>1755</v>
      </c>
      <c r="J1144" s="9">
        <v>6328703125</v>
      </c>
      <c r="K1144" s="68">
        <v>45535</v>
      </c>
      <c r="L1144" s="68">
        <v>46022</v>
      </c>
      <c r="M1144" s="68">
        <v>46203</v>
      </c>
      <c r="N1144" s="69">
        <f t="shared" si="52"/>
        <v>6</v>
      </c>
      <c r="O1144" s="69">
        <f t="shared" si="53"/>
        <v>3</v>
      </c>
      <c r="P1144" s="70">
        <v>8</v>
      </c>
      <c r="Q1144" s="70">
        <v>11</v>
      </c>
      <c r="R1144" s="70">
        <v>14</v>
      </c>
      <c r="S1144" s="68" t="str">
        <f t="shared" si="54"/>
        <v/>
      </c>
      <c r="T1144" s="68"/>
      <c r="U1144" s="68"/>
      <c r="V1144" s="68"/>
      <c r="W1144" s="9"/>
      <c r="X1144" s="10"/>
      <c r="Y1144" s="71">
        <f t="shared" si="55"/>
        <v>11</v>
      </c>
      <c r="Z1144" s="73">
        <f t="shared" si="56"/>
        <v>14</v>
      </c>
      <c r="AA1144" s="11" t="str">
        <f t="shared" si="57"/>
        <v/>
      </c>
      <c r="AB1144" s="73">
        <f t="shared" si="58"/>
        <v>6</v>
      </c>
      <c r="AC1144" s="11" t="str">
        <f t="shared" si="59"/>
        <v/>
      </c>
      <c r="AD1144" s="73">
        <f t="shared" si="60"/>
        <v>3</v>
      </c>
      <c r="AE1144" s="11" t="str">
        <f t="shared" si="61"/>
        <v/>
      </c>
      <c r="AF1144" s="73">
        <f t="shared" si="62"/>
        <v>6.001144</v>
      </c>
      <c r="AG1144" s="11" t="str">
        <f t="shared" si="63"/>
        <v/>
      </c>
      <c r="AH1144" s="73">
        <f t="shared" si="64"/>
        <v>3.001144</v>
      </c>
    </row>
    <row r="1145" spans="1:34" ht="14.25" customHeight="1">
      <c r="A1145" s="11">
        <v>1130</v>
      </c>
      <c r="B1145" s="66"/>
      <c r="C1145" s="67"/>
      <c r="D1145" s="67"/>
      <c r="E1145" s="67"/>
      <c r="F1145" s="67"/>
      <c r="G1145" s="67" t="s">
        <v>35</v>
      </c>
      <c r="H1145" s="67">
        <v>45167</v>
      </c>
      <c r="I1145" s="6" t="s">
        <v>1756</v>
      </c>
      <c r="J1145" s="9">
        <v>6338102170</v>
      </c>
      <c r="K1145" s="68">
        <v>45138</v>
      </c>
      <c r="L1145" s="68">
        <v>46022</v>
      </c>
      <c r="M1145" s="68">
        <v>46203</v>
      </c>
      <c r="N1145" s="69">
        <f t="shared" si="52"/>
        <v>-1</v>
      </c>
      <c r="O1145" s="69">
        <f t="shared" si="53"/>
        <v>-4</v>
      </c>
      <c r="P1145" s="70">
        <v>11</v>
      </c>
      <c r="Q1145" s="70">
        <v>14</v>
      </c>
      <c r="R1145" s="70">
        <v>10</v>
      </c>
      <c r="S1145" s="68" t="str">
        <f t="shared" si="54"/>
        <v/>
      </c>
      <c r="T1145" s="68"/>
      <c r="U1145" s="68"/>
      <c r="V1145" s="68"/>
      <c r="W1145" s="9"/>
      <c r="X1145" s="10"/>
      <c r="Y1145" s="71">
        <f t="shared" si="55"/>
        <v>14</v>
      </c>
      <c r="Z1145" s="73">
        <f t="shared" si="56"/>
        <v>10</v>
      </c>
      <c r="AA1145" s="11" t="str">
        <f t="shared" si="57"/>
        <v/>
      </c>
      <c r="AB1145" s="73">
        <f t="shared" si="58"/>
        <v>-1</v>
      </c>
      <c r="AC1145" s="11" t="str">
        <f t="shared" si="59"/>
        <v/>
      </c>
      <c r="AD1145" s="73">
        <f t="shared" si="60"/>
        <v>-4</v>
      </c>
      <c r="AE1145" s="11" t="str">
        <f t="shared" si="61"/>
        <v/>
      </c>
      <c r="AF1145" s="73">
        <f t="shared" si="62"/>
        <v>-0.99885500000000005</v>
      </c>
      <c r="AG1145" s="11" t="str">
        <f t="shared" si="63"/>
        <v/>
      </c>
      <c r="AH1145" s="73">
        <f t="shared" si="64"/>
        <v>-3.9988549999999998</v>
      </c>
    </row>
    <row r="1146" spans="1:34" ht="14.25" customHeight="1">
      <c r="A1146" s="11">
        <v>1131</v>
      </c>
      <c r="B1146" s="66"/>
      <c r="C1146" s="67"/>
      <c r="D1146" s="67"/>
      <c r="E1146" s="67"/>
      <c r="F1146" s="67"/>
      <c r="G1146" s="67" t="s">
        <v>35</v>
      </c>
      <c r="H1146" s="67">
        <v>45723</v>
      </c>
      <c r="I1146" s="6" t="s">
        <v>1757</v>
      </c>
      <c r="J1146" s="9">
        <v>6338801020</v>
      </c>
      <c r="K1146" s="68">
        <v>45716</v>
      </c>
      <c r="L1146" s="68">
        <v>46022</v>
      </c>
      <c r="M1146" s="68">
        <v>46203</v>
      </c>
      <c r="N1146" s="69">
        <f t="shared" si="52"/>
        <v>35</v>
      </c>
      <c r="O1146" s="69">
        <f t="shared" si="53"/>
        <v>15</v>
      </c>
      <c r="P1146" s="70">
        <v>17</v>
      </c>
      <c r="Q1146" s="70">
        <v>37</v>
      </c>
      <c r="R1146" s="70">
        <v>52</v>
      </c>
      <c r="S1146" s="68" t="str">
        <f t="shared" si="54"/>
        <v/>
      </c>
      <c r="T1146" s="68"/>
      <c r="U1146" s="68"/>
      <c r="V1146" s="68"/>
      <c r="W1146" s="9"/>
      <c r="X1146" s="10"/>
      <c r="Y1146" s="71">
        <f t="shared" si="55"/>
        <v>37</v>
      </c>
      <c r="Z1146" s="73">
        <f t="shared" si="56"/>
        <v>52</v>
      </c>
      <c r="AA1146" s="11" t="str">
        <f t="shared" si="57"/>
        <v/>
      </c>
      <c r="AB1146" s="73">
        <f t="shared" si="58"/>
        <v>35</v>
      </c>
      <c r="AC1146" s="11" t="str">
        <f t="shared" si="59"/>
        <v/>
      </c>
      <c r="AD1146" s="73">
        <f t="shared" si="60"/>
        <v>15</v>
      </c>
      <c r="AE1146" s="11" t="str">
        <f t="shared" si="61"/>
        <v/>
      </c>
      <c r="AF1146" s="73">
        <f t="shared" si="62"/>
        <v>35.001145999999999</v>
      </c>
      <c r="AG1146" s="11" t="str">
        <f t="shared" si="63"/>
        <v/>
      </c>
      <c r="AH1146" s="73">
        <f t="shared" si="64"/>
        <v>15.001146</v>
      </c>
    </row>
    <row r="1147" spans="1:34" ht="14.25" customHeight="1">
      <c r="A1147" s="11">
        <v>1132</v>
      </c>
      <c r="B1147" s="121" t="s">
        <v>24</v>
      </c>
      <c r="C1147" s="67"/>
      <c r="D1147" s="67">
        <v>43199</v>
      </c>
      <c r="E1147" s="67"/>
      <c r="F1147" s="67"/>
      <c r="G1147" s="67"/>
      <c r="H1147" s="67"/>
      <c r="I1147" s="6" t="s">
        <v>1758</v>
      </c>
      <c r="J1147" s="37">
        <v>6348800058</v>
      </c>
      <c r="K1147" s="68">
        <v>43190</v>
      </c>
      <c r="L1147" s="68" t="s">
        <v>230</v>
      </c>
      <c r="M1147" s="68">
        <v>44926</v>
      </c>
      <c r="N1147" s="69">
        <f t="shared" si="52"/>
        <v>-2</v>
      </c>
      <c r="O1147" s="69" t="str">
        <f t="shared" si="53"/>
        <v>N/A</v>
      </c>
      <c r="P1147" s="78">
        <v>2</v>
      </c>
      <c r="Q1147" s="78"/>
      <c r="R1147" s="78">
        <v>0</v>
      </c>
      <c r="S1147" s="68">
        <f t="shared" si="54"/>
        <v>44904</v>
      </c>
      <c r="T1147" s="68">
        <v>44904</v>
      </c>
      <c r="U1147" s="68">
        <v>44926</v>
      </c>
      <c r="V1147" s="68">
        <v>45926</v>
      </c>
      <c r="W1147" s="6"/>
      <c r="X1147" s="93" t="s">
        <v>1754</v>
      </c>
      <c r="Y1147" s="65" t="str">
        <f t="shared" si="55"/>
        <v/>
      </c>
      <c r="Z1147" s="11" t="str">
        <f t="shared" si="56"/>
        <v/>
      </c>
      <c r="AA1147" s="73">
        <f t="shared" si="57"/>
        <v>-2</v>
      </c>
      <c r="AB1147" s="11" t="str">
        <f t="shared" si="58"/>
        <v/>
      </c>
      <c r="AC1147" s="11" t="str">
        <f t="shared" si="59"/>
        <v/>
      </c>
      <c r="AD1147" s="11" t="str">
        <f t="shared" si="60"/>
        <v/>
      </c>
      <c r="AE1147" s="73">
        <f t="shared" si="61"/>
        <v>-1.998853</v>
      </c>
      <c r="AF1147" s="11" t="str">
        <f t="shared" si="62"/>
        <v/>
      </c>
      <c r="AG1147" s="11" t="str">
        <f t="shared" si="63"/>
        <v/>
      </c>
      <c r="AH1147" s="11" t="str">
        <f t="shared" si="64"/>
        <v/>
      </c>
    </row>
    <row r="1148" spans="1:34" ht="14.25" customHeight="1">
      <c r="A1148" s="11">
        <v>1133</v>
      </c>
      <c r="B1148" s="66"/>
      <c r="C1148" s="67"/>
      <c r="D1148" s="67"/>
      <c r="E1148" s="67"/>
      <c r="F1148" s="67"/>
      <c r="G1148" s="67" t="s">
        <v>24</v>
      </c>
      <c r="H1148" s="67">
        <v>44284</v>
      </c>
      <c r="I1148" s="6" t="s">
        <v>1759</v>
      </c>
      <c r="J1148" s="9">
        <v>6358101444</v>
      </c>
      <c r="K1148" s="68">
        <v>44255</v>
      </c>
      <c r="L1148" s="68" t="s">
        <v>230</v>
      </c>
      <c r="M1148" s="68">
        <v>45230</v>
      </c>
      <c r="N1148" s="69">
        <f t="shared" si="52"/>
        <v>-4</v>
      </c>
      <c r="O1148" s="69" t="str">
        <f t="shared" si="53"/>
        <v>N/A</v>
      </c>
      <c r="P1148" s="70">
        <v>4</v>
      </c>
      <c r="Q1148" s="70"/>
      <c r="R1148" s="70">
        <v>0</v>
      </c>
      <c r="S1148" s="68">
        <f t="shared" si="54"/>
        <v>45230</v>
      </c>
      <c r="T1148" s="68">
        <v>45230</v>
      </c>
      <c r="U1148" s="68"/>
      <c r="V1148" s="68"/>
      <c r="W1148" s="9"/>
      <c r="X1148" s="10"/>
      <c r="Y1148" s="65" t="str">
        <f t="shared" si="55"/>
        <v/>
      </c>
      <c r="Z1148" s="11" t="str">
        <f t="shared" si="56"/>
        <v/>
      </c>
      <c r="AA1148" s="11" t="str">
        <f t="shared" si="57"/>
        <v/>
      </c>
      <c r="AB1148" s="73">
        <f t="shared" si="58"/>
        <v>-4</v>
      </c>
      <c r="AC1148" s="11" t="str">
        <f t="shared" si="59"/>
        <v/>
      </c>
      <c r="AD1148" s="11" t="str">
        <f t="shared" si="60"/>
        <v/>
      </c>
      <c r="AE1148" s="11" t="str">
        <f t="shared" si="61"/>
        <v/>
      </c>
      <c r="AF1148" s="73">
        <f t="shared" si="62"/>
        <v>-3.9988519999999999</v>
      </c>
      <c r="AG1148" s="11" t="str">
        <f t="shared" si="63"/>
        <v/>
      </c>
      <c r="AH1148" s="11" t="str">
        <f t="shared" si="64"/>
        <v/>
      </c>
    </row>
    <row r="1149" spans="1:34" ht="14.25" customHeight="1">
      <c r="A1149" s="11">
        <v>1134</v>
      </c>
      <c r="B1149" s="66" t="s">
        <v>35</v>
      </c>
      <c r="C1149" s="67">
        <v>42443</v>
      </c>
      <c r="D1149" s="67">
        <v>42551</v>
      </c>
      <c r="E1149" s="67"/>
      <c r="F1149" s="67"/>
      <c r="G1149" s="67" t="s">
        <v>35</v>
      </c>
      <c r="H1149" s="67">
        <v>42551</v>
      </c>
      <c r="I1149" s="6" t="s">
        <v>1760</v>
      </c>
      <c r="J1149" s="9">
        <v>6368100400</v>
      </c>
      <c r="K1149" s="68">
        <v>42429</v>
      </c>
      <c r="L1149" s="68">
        <v>46022</v>
      </c>
      <c r="M1149" s="68">
        <v>46203</v>
      </c>
      <c r="N1149" s="69">
        <f t="shared" si="52"/>
        <v>67</v>
      </c>
      <c r="O1149" s="69">
        <f t="shared" si="53"/>
        <v>7</v>
      </c>
      <c r="P1149" s="70">
        <v>0</v>
      </c>
      <c r="Q1149" s="70">
        <v>60</v>
      </c>
      <c r="R1149" s="70">
        <v>67</v>
      </c>
      <c r="S1149" s="68" t="str">
        <f t="shared" si="54"/>
        <v/>
      </c>
      <c r="T1149" s="68"/>
      <c r="U1149" s="68"/>
      <c r="V1149" s="68"/>
      <c r="W1149" s="9"/>
      <c r="X1149" s="10"/>
      <c r="Y1149" s="71">
        <f t="shared" si="55"/>
        <v>60</v>
      </c>
      <c r="Z1149" s="73">
        <f t="shared" si="56"/>
        <v>67</v>
      </c>
      <c r="AA1149" s="73">
        <f t="shared" si="57"/>
        <v>67</v>
      </c>
      <c r="AB1149" s="73">
        <f t="shared" si="58"/>
        <v>67</v>
      </c>
      <c r="AC1149" s="73">
        <f t="shared" si="59"/>
        <v>7</v>
      </c>
      <c r="AD1149" s="73">
        <f t="shared" si="60"/>
        <v>7</v>
      </c>
      <c r="AE1149" s="73">
        <f t="shared" si="61"/>
        <v>67.001148999999998</v>
      </c>
      <c r="AF1149" s="73">
        <f t="shared" si="62"/>
        <v>67.001148999999998</v>
      </c>
      <c r="AG1149" s="73">
        <f t="shared" si="63"/>
        <v>7.0011489999999998</v>
      </c>
      <c r="AH1149" s="73">
        <f t="shared" si="64"/>
        <v>7.0011489999999998</v>
      </c>
    </row>
    <row r="1150" spans="1:34" ht="14.25" customHeight="1">
      <c r="A1150" s="11">
        <v>1135</v>
      </c>
      <c r="B1150" s="66" t="s">
        <v>35</v>
      </c>
      <c r="C1150" s="67">
        <v>45352</v>
      </c>
      <c r="D1150" s="67"/>
      <c r="E1150" s="67"/>
      <c r="F1150" s="67"/>
      <c r="G1150" s="67" t="s">
        <v>35</v>
      </c>
      <c r="H1150" s="67">
        <v>45259</v>
      </c>
      <c r="I1150" s="6" t="s">
        <v>1761</v>
      </c>
      <c r="J1150" s="9">
        <v>6368102484</v>
      </c>
      <c r="K1150" s="68">
        <v>45230</v>
      </c>
      <c r="L1150" s="68">
        <v>46022</v>
      </c>
      <c r="M1150" s="68">
        <v>46203</v>
      </c>
      <c r="N1150" s="69">
        <f t="shared" si="52"/>
        <v>0</v>
      </c>
      <c r="O1150" s="69">
        <f t="shared" si="53"/>
        <v>-1</v>
      </c>
      <c r="P1150" s="70">
        <v>5</v>
      </c>
      <c r="Q1150" s="70">
        <v>6</v>
      </c>
      <c r="R1150" s="70">
        <v>5</v>
      </c>
      <c r="S1150" s="68" t="str">
        <f t="shared" si="54"/>
        <v/>
      </c>
      <c r="T1150" s="68"/>
      <c r="U1150" s="68"/>
      <c r="V1150" s="68"/>
      <c r="W1150" s="9"/>
      <c r="X1150" s="10"/>
      <c r="Y1150" s="71">
        <f t="shared" si="55"/>
        <v>6</v>
      </c>
      <c r="Z1150" s="73">
        <f t="shared" si="56"/>
        <v>5</v>
      </c>
      <c r="AA1150" s="73">
        <f t="shared" si="57"/>
        <v>0</v>
      </c>
      <c r="AB1150" s="73">
        <f t="shared" si="58"/>
        <v>0</v>
      </c>
      <c r="AC1150" s="73">
        <f t="shared" si="59"/>
        <v>-1</v>
      </c>
      <c r="AD1150" s="73">
        <f t="shared" si="60"/>
        <v>-1</v>
      </c>
      <c r="AE1150" s="73">
        <f t="shared" si="61"/>
        <v>1.15E-3</v>
      </c>
      <c r="AF1150" s="73">
        <f t="shared" si="62"/>
        <v>1.15E-3</v>
      </c>
      <c r="AG1150" s="73">
        <f t="shared" si="63"/>
        <v>-0.99885000000000002</v>
      </c>
      <c r="AH1150" s="73">
        <f t="shared" si="64"/>
        <v>-0.99885000000000002</v>
      </c>
    </row>
    <row r="1151" spans="1:34" ht="14.25" customHeight="1">
      <c r="A1151" s="11">
        <v>1136</v>
      </c>
      <c r="B1151" s="66" t="s">
        <v>35</v>
      </c>
      <c r="C1151" s="67">
        <v>45444</v>
      </c>
      <c r="D1151" s="67">
        <v>45199</v>
      </c>
      <c r="E1151" s="67"/>
      <c r="F1151" s="67"/>
      <c r="G1151" s="67"/>
      <c r="H1151" s="67"/>
      <c r="I1151" s="6" t="s">
        <v>1762</v>
      </c>
      <c r="J1151" s="9">
        <v>6368602586</v>
      </c>
      <c r="K1151" s="68">
        <v>45169</v>
      </c>
      <c r="L1151" s="68">
        <v>46022</v>
      </c>
      <c r="M1151" s="68">
        <v>46203</v>
      </c>
      <c r="N1151" s="69">
        <f t="shared" si="52"/>
        <v>0</v>
      </c>
      <c r="O1151" s="69">
        <f t="shared" si="53"/>
        <v>-1</v>
      </c>
      <c r="P1151" s="70">
        <v>7</v>
      </c>
      <c r="Q1151" s="70">
        <v>8</v>
      </c>
      <c r="R1151" s="70">
        <v>7</v>
      </c>
      <c r="S1151" s="68" t="str">
        <f t="shared" si="54"/>
        <v/>
      </c>
      <c r="T1151" s="68"/>
      <c r="U1151" s="68"/>
      <c r="V1151" s="68"/>
      <c r="W1151" s="9"/>
      <c r="X1151" s="10"/>
      <c r="Y1151" s="71">
        <f t="shared" si="55"/>
        <v>8</v>
      </c>
      <c r="Z1151" s="73">
        <f t="shared" si="56"/>
        <v>7</v>
      </c>
      <c r="AA1151" s="73">
        <f t="shared" si="57"/>
        <v>0</v>
      </c>
      <c r="AB1151" s="11" t="str">
        <f t="shared" si="58"/>
        <v/>
      </c>
      <c r="AC1151" s="73">
        <f t="shared" si="59"/>
        <v>-1</v>
      </c>
      <c r="AD1151" s="11" t="str">
        <f t="shared" si="60"/>
        <v/>
      </c>
      <c r="AE1151" s="73">
        <f t="shared" si="61"/>
        <v>1.1509999999999999E-3</v>
      </c>
      <c r="AF1151" s="11" t="str">
        <f t="shared" si="62"/>
        <v/>
      </c>
      <c r="AG1151" s="73">
        <f t="shared" si="63"/>
        <v>-0.99884899999999999</v>
      </c>
      <c r="AH1151" s="11" t="str">
        <f t="shared" si="64"/>
        <v/>
      </c>
    </row>
    <row r="1152" spans="1:34" ht="14.25" customHeight="1">
      <c r="A1152" s="11">
        <v>1137</v>
      </c>
      <c r="B1152" s="66" t="s">
        <v>24</v>
      </c>
      <c r="C1152" s="67">
        <v>45078</v>
      </c>
      <c r="D1152" s="67"/>
      <c r="E1152" s="67"/>
      <c r="F1152" s="67"/>
      <c r="G1152" s="67"/>
      <c r="H1152" s="67"/>
      <c r="I1152" s="6" t="s">
        <v>1763</v>
      </c>
      <c r="J1152" s="9">
        <v>6378102134</v>
      </c>
      <c r="K1152" s="68">
        <v>45077</v>
      </c>
      <c r="L1152" s="68" t="s">
        <v>230</v>
      </c>
      <c r="M1152" s="68">
        <v>45657</v>
      </c>
      <c r="N1152" s="69">
        <f t="shared" si="52"/>
        <v>-4</v>
      </c>
      <c r="O1152" s="69" t="str">
        <f t="shared" si="53"/>
        <v>N/A</v>
      </c>
      <c r="P1152" s="70">
        <v>4</v>
      </c>
      <c r="Q1152" s="70"/>
      <c r="R1152" s="70">
        <v>0</v>
      </c>
      <c r="S1152" s="68">
        <f t="shared" si="54"/>
        <v>45637</v>
      </c>
      <c r="T1152" s="68">
        <v>45637</v>
      </c>
      <c r="U1152" s="68"/>
      <c r="V1152" s="68"/>
      <c r="W1152" s="9"/>
      <c r="X1152" s="10"/>
      <c r="Y1152" s="65" t="str">
        <f t="shared" si="55"/>
        <v/>
      </c>
      <c r="Z1152" s="11" t="str">
        <f t="shared" si="56"/>
        <v/>
      </c>
      <c r="AA1152" s="73">
        <f t="shared" si="57"/>
        <v>-4</v>
      </c>
      <c r="AB1152" s="11" t="str">
        <f t="shared" si="58"/>
        <v/>
      </c>
      <c r="AC1152" s="11" t="str">
        <f t="shared" si="59"/>
        <v/>
      </c>
      <c r="AD1152" s="11" t="str">
        <f t="shared" si="60"/>
        <v/>
      </c>
      <c r="AE1152" s="73">
        <f t="shared" si="61"/>
        <v>-3.9988480000000002</v>
      </c>
      <c r="AF1152" s="11" t="str">
        <f t="shared" si="62"/>
        <v/>
      </c>
      <c r="AG1152" s="11" t="str">
        <f t="shared" si="63"/>
        <v/>
      </c>
      <c r="AH1152" s="11" t="str">
        <f t="shared" si="64"/>
        <v/>
      </c>
    </row>
    <row r="1153" spans="1:34" ht="14.25" customHeight="1">
      <c r="A1153" s="11">
        <v>1138</v>
      </c>
      <c r="B1153" s="66"/>
      <c r="C1153" s="67"/>
      <c r="D1153" s="67"/>
      <c r="E1153" s="67"/>
      <c r="F1153" s="67"/>
      <c r="G1153" s="67" t="s">
        <v>35</v>
      </c>
      <c r="H1153" s="67">
        <v>42590</v>
      </c>
      <c r="I1153" s="6" t="s">
        <v>1764</v>
      </c>
      <c r="J1153" s="9">
        <v>6378600368</v>
      </c>
      <c r="K1153" s="68">
        <v>42582</v>
      </c>
      <c r="L1153" s="68">
        <v>46022</v>
      </c>
      <c r="M1153" s="68">
        <v>46203</v>
      </c>
      <c r="N1153" s="69">
        <f t="shared" si="52"/>
        <v>0</v>
      </c>
      <c r="O1153" s="69">
        <f t="shared" si="53"/>
        <v>0</v>
      </c>
      <c r="P1153" s="70">
        <v>0</v>
      </c>
      <c r="Q1153" s="70">
        <v>0</v>
      </c>
      <c r="R1153" s="70">
        <v>0</v>
      </c>
      <c r="S1153" s="68" t="str">
        <f t="shared" si="54"/>
        <v/>
      </c>
      <c r="T1153" s="68"/>
      <c r="U1153" s="68"/>
      <c r="V1153" s="68"/>
      <c r="W1153" s="9"/>
      <c r="X1153" s="10"/>
      <c r="Y1153" s="71">
        <f t="shared" si="55"/>
        <v>0</v>
      </c>
      <c r="Z1153" s="73">
        <f t="shared" si="56"/>
        <v>0</v>
      </c>
      <c r="AA1153" s="11" t="str">
        <f t="shared" si="57"/>
        <v/>
      </c>
      <c r="AB1153" s="73">
        <f t="shared" si="58"/>
        <v>0</v>
      </c>
      <c r="AC1153" s="11" t="str">
        <f t="shared" si="59"/>
        <v/>
      </c>
      <c r="AD1153" s="73">
        <f t="shared" si="60"/>
        <v>0</v>
      </c>
      <c r="AE1153" s="11" t="str">
        <f t="shared" si="61"/>
        <v/>
      </c>
      <c r="AF1153" s="73">
        <f t="shared" si="62"/>
        <v>1.1529999999999999E-3</v>
      </c>
      <c r="AG1153" s="11" t="str">
        <f t="shared" si="63"/>
        <v/>
      </c>
      <c r="AH1153" s="73">
        <f t="shared" si="64"/>
        <v>1.1529999999999999E-3</v>
      </c>
    </row>
    <row r="1154" spans="1:34" ht="14.25" customHeight="1">
      <c r="A1154" s="11">
        <v>1139</v>
      </c>
      <c r="B1154" s="66"/>
      <c r="C1154" s="67"/>
      <c r="D1154" s="67"/>
      <c r="E1154" s="67"/>
      <c r="F1154" s="67"/>
      <c r="G1154" s="67" t="s">
        <v>283</v>
      </c>
      <c r="H1154" s="67">
        <v>43664</v>
      </c>
      <c r="I1154" s="6" t="s">
        <v>1765</v>
      </c>
      <c r="J1154" s="9">
        <v>6378601483</v>
      </c>
      <c r="K1154" s="68">
        <v>43646</v>
      </c>
      <c r="L1154" s="68" t="s">
        <v>230</v>
      </c>
      <c r="M1154" s="68">
        <v>45747</v>
      </c>
      <c r="N1154" s="69">
        <f t="shared" si="52"/>
        <v>24</v>
      </c>
      <c r="O1154" s="69" t="str">
        <f t="shared" si="53"/>
        <v>N/A</v>
      </c>
      <c r="P1154" s="70">
        <v>0</v>
      </c>
      <c r="Q1154" s="70"/>
      <c r="R1154" s="70">
        <v>24</v>
      </c>
      <c r="S1154" s="68">
        <f t="shared" si="54"/>
        <v>45721</v>
      </c>
      <c r="T1154" s="68"/>
      <c r="U1154" s="68"/>
      <c r="V1154" s="68"/>
      <c r="W1154" s="68">
        <v>45721</v>
      </c>
      <c r="X1154" s="10"/>
      <c r="Y1154" s="65" t="str">
        <f t="shared" si="55"/>
        <v/>
      </c>
      <c r="Z1154" s="11" t="str">
        <f t="shared" si="56"/>
        <v/>
      </c>
      <c r="AA1154" s="11" t="str">
        <f t="shared" si="57"/>
        <v/>
      </c>
      <c r="AB1154" s="73">
        <f t="shared" si="58"/>
        <v>24</v>
      </c>
      <c r="AC1154" s="11" t="str">
        <f t="shared" si="59"/>
        <v/>
      </c>
      <c r="AD1154" s="11" t="str">
        <f t="shared" si="60"/>
        <v/>
      </c>
      <c r="AE1154" s="11" t="str">
        <f t="shared" si="61"/>
        <v/>
      </c>
      <c r="AF1154" s="73">
        <f t="shared" si="62"/>
        <v>24.001154</v>
      </c>
      <c r="AG1154" s="11" t="str">
        <f t="shared" si="63"/>
        <v/>
      </c>
      <c r="AH1154" s="11" t="str">
        <f t="shared" si="64"/>
        <v/>
      </c>
    </row>
    <row r="1155" spans="1:34" ht="14.25" customHeight="1">
      <c r="A1155" s="11">
        <v>1140</v>
      </c>
      <c r="B1155" s="66"/>
      <c r="C1155" s="67"/>
      <c r="D1155" s="67"/>
      <c r="E1155" s="67"/>
      <c r="F1155" s="67"/>
      <c r="G1155" s="67" t="s">
        <v>35</v>
      </c>
      <c r="H1155" s="67">
        <v>45910</v>
      </c>
      <c r="I1155" s="6" t="s">
        <v>1766</v>
      </c>
      <c r="J1155" s="94">
        <v>6388702032</v>
      </c>
      <c r="K1155" s="68">
        <v>45900</v>
      </c>
      <c r="L1155" s="68">
        <v>46022</v>
      </c>
      <c r="M1155" s="68">
        <v>46203</v>
      </c>
      <c r="N1155" s="69">
        <f t="shared" si="52"/>
        <v>3</v>
      </c>
      <c r="O1155" s="69">
        <f t="shared" si="53"/>
        <v>1</v>
      </c>
      <c r="P1155" s="70">
        <v>20</v>
      </c>
      <c r="Q1155" s="70">
        <v>22</v>
      </c>
      <c r="R1155" s="70">
        <v>23</v>
      </c>
      <c r="S1155" s="68" t="str">
        <f t="shared" si="54"/>
        <v/>
      </c>
      <c r="T1155" s="68"/>
      <c r="U1155" s="95"/>
      <c r="V1155" s="68"/>
      <c r="W1155" s="6"/>
      <c r="X1155" s="10"/>
      <c r="Y1155" s="71">
        <f t="shared" si="55"/>
        <v>22</v>
      </c>
      <c r="Z1155" s="73">
        <f t="shared" si="56"/>
        <v>23</v>
      </c>
      <c r="AA1155" s="11" t="str">
        <f t="shared" si="57"/>
        <v/>
      </c>
      <c r="AB1155" s="73">
        <f t="shared" si="58"/>
        <v>3</v>
      </c>
      <c r="AC1155" s="11" t="str">
        <f t="shared" si="59"/>
        <v/>
      </c>
      <c r="AD1155" s="73">
        <f t="shared" si="60"/>
        <v>1</v>
      </c>
      <c r="AE1155" s="11" t="str">
        <f t="shared" si="61"/>
        <v/>
      </c>
      <c r="AF1155" s="73">
        <f t="shared" si="62"/>
        <v>3.0011549999999998</v>
      </c>
      <c r="AG1155" s="11" t="str">
        <f t="shared" si="63"/>
        <v/>
      </c>
      <c r="AH1155" s="73">
        <f t="shared" si="64"/>
        <v>1.001155</v>
      </c>
    </row>
    <row r="1156" spans="1:34" ht="14.25" customHeight="1">
      <c r="A1156" s="11">
        <v>1141</v>
      </c>
      <c r="B1156" s="66" t="s">
        <v>35</v>
      </c>
      <c r="C1156" s="67">
        <v>43710</v>
      </c>
      <c r="D1156" s="67"/>
      <c r="E1156" s="67"/>
      <c r="F1156" s="67"/>
      <c r="G1156" s="67"/>
      <c r="H1156" s="67"/>
      <c r="I1156" s="6" t="s">
        <v>1767</v>
      </c>
      <c r="J1156" s="9">
        <v>6428700732</v>
      </c>
      <c r="K1156" s="68">
        <v>43708</v>
      </c>
      <c r="L1156" s="68">
        <v>46022</v>
      </c>
      <c r="M1156" s="68">
        <v>46203</v>
      </c>
      <c r="N1156" s="69">
        <f t="shared" si="52"/>
        <v>-2</v>
      </c>
      <c r="O1156" s="69">
        <f t="shared" si="53"/>
        <v>0</v>
      </c>
      <c r="P1156" s="70">
        <v>6</v>
      </c>
      <c r="Q1156" s="70">
        <v>4</v>
      </c>
      <c r="R1156" s="70">
        <v>4</v>
      </c>
      <c r="S1156" s="68" t="str">
        <f t="shared" si="54"/>
        <v/>
      </c>
      <c r="T1156" s="68"/>
      <c r="U1156" s="68"/>
      <c r="V1156" s="68"/>
      <c r="W1156" s="9"/>
      <c r="X1156" s="10"/>
      <c r="Y1156" s="71">
        <f t="shared" si="55"/>
        <v>4</v>
      </c>
      <c r="Z1156" s="73">
        <f t="shared" si="56"/>
        <v>4</v>
      </c>
      <c r="AA1156" s="73">
        <f t="shared" si="57"/>
        <v>-2</v>
      </c>
      <c r="AB1156" s="11" t="str">
        <f t="shared" si="58"/>
        <v/>
      </c>
      <c r="AC1156" s="73">
        <f t="shared" si="59"/>
        <v>0</v>
      </c>
      <c r="AD1156" s="11" t="str">
        <f t="shared" si="60"/>
        <v/>
      </c>
      <c r="AE1156" s="73">
        <f t="shared" si="61"/>
        <v>-1.9988440000000001</v>
      </c>
      <c r="AF1156" s="11" t="str">
        <f t="shared" si="62"/>
        <v/>
      </c>
      <c r="AG1156" s="73">
        <f t="shared" si="63"/>
        <v>1.1559999999999999E-3</v>
      </c>
      <c r="AH1156" s="11" t="str">
        <f t="shared" si="64"/>
        <v/>
      </c>
    </row>
    <row r="1157" spans="1:34" ht="14.25" customHeight="1">
      <c r="A1157" s="11">
        <v>1142</v>
      </c>
      <c r="B1157" s="66"/>
      <c r="C1157" s="67"/>
      <c r="D1157" s="67"/>
      <c r="E1157" s="67"/>
      <c r="F1157" s="67"/>
      <c r="G1157" s="67" t="s">
        <v>35</v>
      </c>
      <c r="H1157" s="67">
        <v>45210</v>
      </c>
      <c r="I1157" s="6" t="s">
        <v>1768</v>
      </c>
      <c r="J1157" s="94">
        <v>6438602226</v>
      </c>
      <c r="K1157" s="68">
        <v>45930</v>
      </c>
      <c r="L1157" s="68">
        <v>46022</v>
      </c>
      <c r="M1157" s="68">
        <v>46203</v>
      </c>
      <c r="N1157" s="69">
        <f t="shared" si="52"/>
        <v>1</v>
      </c>
      <c r="O1157" s="69">
        <f t="shared" si="53"/>
        <v>-1</v>
      </c>
      <c r="P1157" s="78">
        <v>24</v>
      </c>
      <c r="Q1157" s="78">
        <v>26</v>
      </c>
      <c r="R1157" s="78">
        <v>25</v>
      </c>
      <c r="S1157" s="68" t="str">
        <f t="shared" si="54"/>
        <v/>
      </c>
      <c r="T1157" s="68"/>
      <c r="U1157" s="95"/>
      <c r="V1157" s="68"/>
      <c r="W1157" s="6"/>
      <c r="X1157" s="93" t="s">
        <v>1123</v>
      </c>
      <c r="Y1157" s="71">
        <f t="shared" si="55"/>
        <v>26</v>
      </c>
      <c r="Z1157" s="73">
        <f t="shared" si="56"/>
        <v>25</v>
      </c>
      <c r="AA1157" s="11" t="str">
        <f t="shared" si="57"/>
        <v/>
      </c>
      <c r="AB1157" s="73">
        <f t="shared" si="58"/>
        <v>1</v>
      </c>
      <c r="AC1157" s="11" t="str">
        <f t="shared" si="59"/>
        <v/>
      </c>
      <c r="AD1157" s="73">
        <f t="shared" si="60"/>
        <v>-1</v>
      </c>
      <c r="AE1157" s="11" t="str">
        <f t="shared" si="61"/>
        <v/>
      </c>
      <c r="AF1157" s="73">
        <f t="shared" si="62"/>
        <v>1.0011570000000001</v>
      </c>
      <c r="AG1157" s="11" t="str">
        <f t="shared" si="63"/>
        <v/>
      </c>
      <c r="AH1157" s="73">
        <f t="shared" si="64"/>
        <v>-0.99884300000000004</v>
      </c>
    </row>
    <row r="1158" spans="1:34" ht="14.25" customHeight="1">
      <c r="A1158" s="11">
        <v>1143</v>
      </c>
      <c r="B1158" s="66" t="s">
        <v>35</v>
      </c>
      <c r="C1158" s="67"/>
      <c r="D1158" s="67"/>
      <c r="E1158" s="67"/>
      <c r="F1158" s="67">
        <v>46184</v>
      </c>
      <c r="G1158" s="67" t="s">
        <v>35</v>
      </c>
      <c r="H1158" s="67">
        <v>45709</v>
      </c>
      <c r="I1158" s="6" t="s">
        <v>1769</v>
      </c>
      <c r="J1158" s="9">
        <v>6458102192</v>
      </c>
      <c r="K1158" s="68">
        <v>45688</v>
      </c>
      <c r="L1158" s="68">
        <v>46022</v>
      </c>
      <c r="M1158" s="68">
        <v>46203</v>
      </c>
      <c r="N1158" s="69">
        <f t="shared" si="52"/>
        <v>10</v>
      </c>
      <c r="O1158" s="69">
        <f t="shared" si="53"/>
        <v>0</v>
      </c>
      <c r="P1158" s="70">
        <v>19</v>
      </c>
      <c r="Q1158" s="70">
        <v>29</v>
      </c>
      <c r="R1158" s="70">
        <v>29</v>
      </c>
      <c r="S1158" s="68" t="str">
        <f t="shared" si="54"/>
        <v/>
      </c>
      <c r="T1158" s="68"/>
      <c r="U1158" s="68"/>
      <c r="V1158" s="68"/>
      <c r="W1158" s="9"/>
      <c r="X1158" s="10"/>
      <c r="Y1158" s="71">
        <f t="shared" si="55"/>
        <v>29</v>
      </c>
      <c r="Z1158" s="73">
        <f t="shared" si="56"/>
        <v>29</v>
      </c>
      <c r="AA1158" s="73">
        <f t="shared" si="57"/>
        <v>10</v>
      </c>
      <c r="AB1158" s="73">
        <f t="shared" si="58"/>
        <v>10</v>
      </c>
      <c r="AC1158" s="73">
        <f t="shared" si="59"/>
        <v>0</v>
      </c>
      <c r="AD1158" s="73">
        <f t="shared" si="60"/>
        <v>0</v>
      </c>
      <c r="AE1158" s="73">
        <f t="shared" si="61"/>
        <v>10.001158</v>
      </c>
      <c r="AF1158" s="73">
        <f t="shared" si="62"/>
        <v>10.001158</v>
      </c>
      <c r="AG1158" s="73">
        <f t="shared" si="63"/>
        <v>1.158E-3</v>
      </c>
      <c r="AH1158" s="73">
        <f t="shared" si="64"/>
        <v>1.158E-3</v>
      </c>
    </row>
    <row r="1159" spans="1:34" ht="14.25" customHeight="1">
      <c r="A1159" s="11">
        <v>1144</v>
      </c>
      <c r="B1159" s="66"/>
      <c r="C1159" s="67"/>
      <c r="D1159" s="67"/>
      <c r="E1159" s="67"/>
      <c r="F1159" s="67"/>
      <c r="G1159" s="67" t="s">
        <v>35</v>
      </c>
      <c r="H1159" s="67">
        <v>44512</v>
      </c>
      <c r="I1159" s="6" t="s">
        <v>1770</v>
      </c>
      <c r="J1159" s="9">
        <v>6488801982</v>
      </c>
      <c r="K1159" s="68">
        <v>44500</v>
      </c>
      <c r="L1159" s="68">
        <v>46022</v>
      </c>
      <c r="M1159" s="68">
        <v>46203</v>
      </c>
      <c r="N1159" s="69">
        <f t="shared" si="52"/>
        <v>-1</v>
      </c>
      <c r="O1159" s="69">
        <f t="shared" si="53"/>
        <v>0</v>
      </c>
      <c r="P1159" s="70">
        <v>5</v>
      </c>
      <c r="Q1159" s="70">
        <v>4</v>
      </c>
      <c r="R1159" s="70">
        <v>4</v>
      </c>
      <c r="S1159" s="68" t="str">
        <f t="shared" si="54"/>
        <v/>
      </c>
      <c r="T1159" s="68"/>
      <c r="U1159" s="68"/>
      <c r="V1159" s="68"/>
      <c r="W1159" s="9"/>
      <c r="X1159" s="10"/>
      <c r="Y1159" s="71">
        <f t="shared" si="55"/>
        <v>4</v>
      </c>
      <c r="Z1159" s="73">
        <f t="shared" si="56"/>
        <v>4</v>
      </c>
      <c r="AA1159" s="11" t="str">
        <f t="shared" si="57"/>
        <v/>
      </c>
      <c r="AB1159" s="73">
        <f t="shared" si="58"/>
        <v>-1</v>
      </c>
      <c r="AC1159" s="11" t="str">
        <f t="shared" si="59"/>
        <v/>
      </c>
      <c r="AD1159" s="73">
        <f t="shared" si="60"/>
        <v>0</v>
      </c>
      <c r="AE1159" s="11" t="str">
        <f t="shared" si="61"/>
        <v/>
      </c>
      <c r="AF1159" s="73">
        <f t="shared" si="62"/>
        <v>-0.99884099999999998</v>
      </c>
      <c r="AG1159" s="11" t="str">
        <f t="shared" si="63"/>
        <v/>
      </c>
      <c r="AH1159" s="73">
        <f t="shared" si="64"/>
        <v>1.1590000000000001E-3</v>
      </c>
    </row>
    <row r="1160" spans="1:34" ht="14.25" customHeight="1">
      <c r="A1160" s="11">
        <v>1145</v>
      </c>
      <c r="B1160" s="66" t="s">
        <v>35</v>
      </c>
      <c r="C1160" s="67">
        <v>42705</v>
      </c>
      <c r="D1160" s="67"/>
      <c r="E1160" s="67"/>
      <c r="F1160" s="67"/>
      <c r="G1160" s="67"/>
      <c r="H1160" s="67"/>
      <c r="I1160" s="6" t="s">
        <v>1771</v>
      </c>
      <c r="J1160" s="9">
        <v>6498100202</v>
      </c>
      <c r="K1160" s="68">
        <v>42704</v>
      </c>
      <c r="L1160" s="68">
        <v>46022</v>
      </c>
      <c r="M1160" s="68">
        <v>46203</v>
      </c>
      <c r="N1160" s="69">
        <f t="shared" si="52"/>
        <v>0</v>
      </c>
      <c r="O1160" s="69">
        <f t="shared" si="53"/>
        <v>0</v>
      </c>
      <c r="P1160" s="70">
        <v>0</v>
      </c>
      <c r="Q1160" s="70">
        <v>0</v>
      </c>
      <c r="R1160" s="70">
        <v>0</v>
      </c>
      <c r="S1160" s="68" t="str">
        <f t="shared" si="54"/>
        <v/>
      </c>
      <c r="T1160" s="68"/>
      <c r="U1160" s="68"/>
      <c r="V1160" s="68"/>
      <c r="W1160" s="9"/>
      <c r="X1160" s="10" t="s">
        <v>1772</v>
      </c>
      <c r="Y1160" s="71">
        <f t="shared" si="55"/>
        <v>0</v>
      </c>
      <c r="Z1160" s="73">
        <f t="shared" si="56"/>
        <v>0</v>
      </c>
      <c r="AA1160" s="73">
        <f t="shared" si="57"/>
        <v>0</v>
      </c>
      <c r="AB1160" s="11" t="str">
        <f t="shared" si="58"/>
        <v/>
      </c>
      <c r="AC1160" s="73">
        <f t="shared" si="59"/>
        <v>0</v>
      </c>
      <c r="AD1160" s="11" t="str">
        <f t="shared" si="60"/>
        <v/>
      </c>
      <c r="AE1160" s="73">
        <f t="shared" si="61"/>
        <v>1.16E-3</v>
      </c>
      <c r="AF1160" s="11" t="str">
        <f t="shared" si="62"/>
        <v/>
      </c>
      <c r="AG1160" s="73">
        <f t="shared" si="63"/>
        <v>1.16E-3</v>
      </c>
      <c r="AH1160" s="11" t="str">
        <f t="shared" si="64"/>
        <v/>
      </c>
    </row>
    <row r="1161" spans="1:34" ht="14.25" customHeight="1">
      <c r="A1161" s="11">
        <v>1146</v>
      </c>
      <c r="B1161" s="66" t="s">
        <v>35</v>
      </c>
      <c r="C1161" s="67">
        <v>45839</v>
      </c>
      <c r="D1161" s="67">
        <v>45978</v>
      </c>
      <c r="E1161" s="67">
        <v>45839</v>
      </c>
      <c r="F1161" s="67"/>
      <c r="G1161" s="67" t="s">
        <v>35</v>
      </c>
      <c r="H1161" s="67">
        <v>45714</v>
      </c>
      <c r="I1161" s="6" t="s">
        <v>1773</v>
      </c>
      <c r="J1161" s="9">
        <v>6498103140</v>
      </c>
      <c r="K1161" s="68">
        <v>45688</v>
      </c>
      <c r="L1161" s="68">
        <v>46022</v>
      </c>
      <c r="M1161" s="68">
        <v>46203</v>
      </c>
      <c r="N1161" s="69">
        <f t="shared" si="52"/>
        <v>14</v>
      </c>
      <c r="O1161" s="69">
        <f t="shared" si="53"/>
        <v>2</v>
      </c>
      <c r="P1161" s="70">
        <v>0</v>
      </c>
      <c r="Q1161" s="70">
        <v>12</v>
      </c>
      <c r="R1161" s="70">
        <v>14</v>
      </c>
      <c r="S1161" s="68" t="str">
        <f t="shared" si="54"/>
        <v/>
      </c>
      <c r="T1161" s="68"/>
      <c r="U1161" s="68"/>
      <c r="V1161" s="68"/>
      <c r="W1161" s="9"/>
      <c r="X1161" s="10"/>
      <c r="Y1161" s="71">
        <f t="shared" si="55"/>
        <v>12</v>
      </c>
      <c r="Z1161" s="73">
        <f t="shared" si="56"/>
        <v>14</v>
      </c>
      <c r="AA1161" s="73">
        <f t="shared" si="57"/>
        <v>14</v>
      </c>
      <c r="AB1161" s="73">
        <f t="shared" si="58"/>
        <v>14</v>
      </c>
      <c r="AC1161" s="73">
        <f t="shared" si="59"/>
        <v>2</v>
      </c>
      <c r="AD1161" s="73">
        <f t="shared" si="60"/>
        <v>2</v>
      </c>
      <c r="AE1161" s="73">
        <f t="shared" si="61"/>
        <v>14.001161</v>
      </c>
      <c r="AF1161" s="73">
        <f t="shared" si="62"/>
        <v>14.001161</v>
      </c>
      <c r="AG1161" s="73">
        <f t="shared" si="63"/>
        <v>2.0011610000000002</v>
      </c>
      <c r="AH1161" s="73">
        <f t="shared" si="64"/>
        <v>2.0011610000000002</v>
      </c>
    </row>
    <row r="1162" spans="1:34" ht="14.25" customHeight="1">
      <c r="A1162" s="11">
        <v>1147</v>
      </c>
      <c r="B1162" s="66"/>
      <c r="C1162" s="67"/>
      <c r="D1162" s="67"/>
      <c r="E1162" s="67"/>
      <c r="F1162" s="67"/>
      <c r="G1162" s="67" t="s">
        <v>35</v>
      </c>
      <c r="H1162" s="67">
        <v>44721</v>
      </c>
      <c r="I1162" s="6" t="s">
        <v>1774</v>
      </c>
      <c r="J1162" s="9">
        <v>6498701668</v>
      </c>
      <c r="K1162" s="68">
        <v>44712</v>
      </c>
      <c r="L1162" s="68">
        <v>46022</v>
      </c>
      <c r="M1162" s="68">
        <v>46203</v>
      </c>
      <c r="N1162" s="69">
        <f t="shared" si="52"/>
        <v>-7</v>
      </c>
      <c r="O1162" s="69">
        <f t="shared" si="53"/>
        <v>0</v>
      </c>
      <c r="P1162" s="70">
        <v>9</v>
      </c>
      <c r="Q1162" s="70">
        <v>2</v>
      </c>
      <c r="R1162" s="70">
        <v>2</v>
      </c>
      <c r="S1162" s="68" t="str">
        <f t="shared" si="54"/>
        <v/>
      </c>
      <c r="T1162" s="68"/>
      <c r="U1162" s="68"/>
      <c r="V1162" s="68"/>
      <c r="W1162" s="9"/>
      <c r="X1162" s="10"/>
      <c r="Y1162" s="71">
        <f t="shared" si="55"/>
        <v>2</v>
      </c>
      <c r="Z1162" s="73">
        <f t="shared" si="56"/>
        <v>2</v>
      </c>
      <c r="AA1162" s="11" t="str">
        <f t="shared" si="57"/>
        <v/>
      </c>
      <c r="AB1162" s="73">
        <f t="shared" si="58"/>
        <v>-7</v>
      </c>
      <c r="AC1162" s="11" t="str">
        <f t="shared" si="59"/>
        <v/>
      </c>
      <c r="AD1162" s="73">
        <f t="shared" si="60"/>
        <v>0</v>
      </c>
      <c r="AE1162" s="11" t="str">
        <f t="shared" si="61"/>
        <v/>
      </c>
      <c r="AF1162" s="73">
        <f t="shared" si="62"/>
        <v>-6.9988380000000001</v>
      </c>
      <c r="AG1162" s="11" t="str">
        <f t="shared" si="63"/>
        <v/>
      </c>
      <c r="AH1162" s="73">
        <f t="shared" si="64"/>
        <v>1.1620000000000001E-3</v>
      </c>
    </row>
    <row r="1163" spans="1:34" ht="14.25" customHeight="1">
      <c r="A1163" s="11">
        <v>1148</v>
      </c>
      <c r="B1163" s="66"/>
      <c r="C1163" s="67"/>
      <c r="D1163" s="67"/>
      <c r="E1163" s="67"/>
      <c r="F1163" s="67"/>
      <c r="G1163" s="67" t="s">
        <v>283</v>
      </c>
      <c r="H1163" s="67">
        <v>43977</v>
      </c>
      <c r="I1163" s="6" t="s">
        <v>1775</v>
      </c>
      <c r="J1163" s="9">
        <v>6508100575</v>
      </c>
      <c r="K1163" s="68">
        <v>43951</v>
      </c>
      <c r="L1163" s="68" t="s">
        <v>230</v>
      </c>
      <c r="M1163" s="68">
        <v>45747</v>
      </c>
      <c r="N1163" s="69">
        <f t="shared" si="52"/>
        <v>36</v>
      </c>
      <c r="O1163" s="69" t="str">
        <f t="shared" si="53"/>
        <v>N/A</v>
      </c>
      <c r="P1163" s="70">
        <v>11</v>
      </c>
      <c r="Q1163" s="70"/>
      <c r="R1163" s="70">
        <v>47</v>
      </c>
      <c r="S1163" s="68">
        <f t="shared" si="54"/>
        <v>45721</v>
      </c>
      <c r="T1163" s="68"/>
      <c r="U1163" s="68"/>
      <c r="V1163" s="68"/>
      <c r="W1163" s="68">
        <v>45721</v>
      </c>
      <c r="X1163" s="10"/>
      <c r="Y1163" s="65" t="str">
        <f t="shared" si="55"/>
        <v/>
      </c>
      <c r="Z1163" s="11" t="str">
        <f t="shared" si="56"/>
        <v/>
      </c>
      <c r="AA1163" s="11" t="str">
        <f t="shared" si="57"/>
        <v/>
      </c>
      <c r="AB1163" s="73">
        <f t="shared" si="58"/>
        <v>36</v>
      </c>
      <c r="AC1163" s="11" t="str">
        <f t="shared" si="59"/>
        <v/>
      </c>
      <c r="AD1163" s="11" t="str">
        <f t="shared" si="60"/>
        <v/>
      </c>
      <c r="AE1163" s="11" t="str">
        <f t="shared" si="61"/>
        <v/>
      </c>
      <c r="AF1163" s="73">
        <f t="shared" si="62"/>
        <v>36.001162999999998</v>
      </c>
      <c r="AG1163" s="11" t="str">
        <f t="shared" si="63"/>
        <v/>
      </c>
      <c r="AH1163" s="11" t="str">
        <f t="shared" si="64"/>
        <v/>
      </c>
    </row>
    <row r="1164" spans="1:34" ht="14.25" customHeight="1">
      <c r="A1164" s="11">
        <v>1149</v>
      </c>
      <c r="B1164" s="66" t="s">
        <v>35</v>
      </c>
      <c r="C1164" s="67">
        <v>44986</v>
      </c>
      <c r="D1164" s="67"/>
      <c r="E1164" s="67"/>
      <c r="F1164" s="67"/>
      <c r="G1164" s="67"/>
      <c r="H1164" s="67"/>
      <c r="I1164" s="6" t="s">
        <v>1776</v>
      </c>
      <c r="J1164" s="9">
        <v>6518802600</v>
      </c>
      <c r="K1164" s="68">
        <v>44985</v>
      </c>
      <c r="L1164" s="68">
        <v>46022</v>
      </c>
      <c r="M1164" s="68">
        <v>46203</v>
      </c>
      <c r="N1164" s="69">
        <f t="shared" si="52"/>
        <v>-1</v>
      </c>
      <c r="O1164" s="69">
        <f t="shared" si="53"/>
        <v>-1</v>
      </c>
      <c r="P1164" s="70">
        <v>4</v>
      </c>
      <c r="Q1164" s="70">
        <v>4</v>
      </c>
      <c r="R1164" s="70">
        <v>3</v>
      </c>
      <c r="S1164" s="68" t="str">
        <f t="shared" si="54"/>
        <v/>
      </c>
      <c r="T1164" s="68"/>
      <c r="U1164" s="68"/>
      <c r="V1164" s="68"/>
      <c r="W1164" s="9"/>
      <c r="X1164" s="10"/>
      <c r="Y1164" s="71">
        <f t="shared" si="55"/>
        <v>4</v>
      </c>
      <c r="Z1164" s="73">
        <f t="shared" si="56"/>
        <v>3</v>
      </c>
      <c r="AA1164" s="73">
        <f t="shared" si="57"/>
        <v>-1</v>
      </c>
      <c r="AB1164" s="11" t="str">
        <f t="shared" si="58"/>
        <v/>
      </c>
      <c r="AC1164" s="73">
        <f t="shared" si="59"/>
        <v>-1</v>
      </c>
      <c r="AD1164" s="11" t="str">
        <f t="shared" si="60"/>
        <v/>
      </c>
      <c r="AE1164" s="73">
        <f t="shared" si="61"/>
        <v>-0.99883599999999995</v>
      </c>
      <c r="AF1164" s="11" t="str">
        <f t="shared" si="62"/>
        <v/>
      </c>
      <c r="AG1164" s="73">
        <f t="shared" si="63"/>
        <v>-0.99883599999999995</v>
      </c>
      <c r="AH1164" s="11" t="str">
        <f t="shared" si="64"/>
        <v/>
      </c>
    </row>
    <row r="1165" spans="1:34" ht="14.25" customHeight="1">
      <c r="A1165" s="11">
        <v>1150</v>
      </c>
      <c r="B1165" s="66" t="s">
        <v>681</v>
      </c>
      <c r="C1165" s="67"/>
      <c r="D1165" s="67">
        <v>44146</v>
      </c>
      <c r="E1165" s="67"/>
      <c r="F1165" s="67"/>
      <c r="G1165" s="67" t="s">
        <v>35</v>
      </c>
      <c r="H1165" s="67">
        <v>43616</v>
      </c>
      <c r="I1165" s="6" t="s">
        <v>1777</v>
      </c>
      <c r="J1165" s="9">
        <v>6528700893</v>
      </c>
      <c r="K1165" s="68">
        <v>43585</v>
      </c>
      <c r="L1165" s="68">
        <v>46022</v>
      </c>
      <c r="M1165" s="68">
        <v>46203</v>
      </c>
      <c r="N1165" s="69">
        <f t="shared" si="52"/>
        <v>237</v>
      </c>
      <c r="O1165" s="69">
        <f t="shared" si="53"/>
        <v>-1</v>
      </c>
      <c r="P1165" s="70">
        <v>8</v>
      </c>
      <c r="Q1165" s="70">
        <v>246</v>
      </c>
      <c r="R1165" s="70">
        <v>245</v>
      </c>
      <c r="S1165" s="68" t="str">
        <f t="shared" si="54"/>
        <v/>
      </c>
      <c r="T1165" s="68"/>
      <c r="U1165" s="68"/>
      <c r="V1165" s="68">
        <v>45506</v>
      </c>
      <c r="W1165" s="9"/>
      <c r="X1165" s="10"/>
      <c r="Y1165" s="71">
        <f t="shared" si="55"/>
        <v>246</v>
      </c>
      <c r="Z1165" s="73">
        <f t="shared" si="56"/>
        <v>245</v>
      </c>
      <c r="AA1165" s="73">
        <f t="shared" si="57"/>
        <v>237</v>
      </c>
      <c r="AB1165" s="73">
        <f t="shared" si="58"/>
        <v>237</v>
      </c>
      <c r="AC1165" s="73">
        <f t="shared" si="59"/>
        <v>-1</v>
      </c>
      <c r="AD1165" s="73">
        <f t="shared" si="60"/>
        <v>-1</v>
      </c>
      <c r="AE1165" s="73">
        <f t="shared" si="61"/>
        <v>237.00116499999999</v>
      </c>
      <c r="AF1165" s="73">
        <f t="shared" si="62"/>
        <v>237.00116499999999</v>
      </c>
      <c r="AG1165" s="73">
        <f t="shared" si="63"/>
        <v>-0.99883500000000003</v>
      </c>
      <c r="AH1165" s="73">
        <f t="shared" si="64"/>
        <v>-0.99883500000000003</v>
      </c>
    </row>
    <row r="1166" spans="1:34" ht="14.25" customHeight="1">
      <c r="A1166" s="11">
        <v>1151</v>
      </c>
      <c r="B1166" s="66"/>
      <c r="C1166" s="67"/>
      <c r="D1166" s="67"/>
      <c r="E1166" s="67"/>
      <c r="F1166" s="67"/>
      <c r="G1166" s="67" t="s">
        <v>35</v>
      </c>
      <c r="H1166" s="67">
        <v>45849</v>
      </c>
      <c r="I1166" s="6" t="s">
        <v>1778</v>
      </c>
      <c r="J1166" s="94">
        <v>6528702004</v>
      </c>
      <c r="K1166" s="68">
        <v>45838</v>
      </c>
      <c r="L1166" s="68">
        <v>46022</v>
      </c>
      <c r="M1166" s="68">
        <v>46203</v>
      </c>
      <c r="N1166" s="69">
        <f t="shared" si="52"/>
        <v>5</v>
      </c>
      <c r="O1166" s="69">
        <f t="shared" si="53"/>
        <v>2</v>
      </c>
      <c r="P1166" s="70">
        <v>7</v>
      </c>
      <c r="Q1166" s="70">
        <v>10</v>
      </c>
      <c r="R1166" s="70">
        <v>12</v>
      </c>
      <c r="S1166" s="68" t="str">
        <f t="shared" si="54"/>
        <v/>
      </c>
      <c r="T1166" s="68"/>
      <c r="U1166" s="95"/>
      <c r="V1166" s="68"/>
      <c r="W1166" s="6"/>
      <c r="X1166" s="10"/>
      <c r="Y1166" s="71">
        <f t="shared" si="55"/>
        <v>10</v>
      </c>
      <c r="Z1166" s="73">
        <f t="shared" si="56"/>
        <v>12</v>
      </c>
      <c r="AA1166" s="11" t="str">
        <f t="shared" si="57"/>
        <v/>
      </c>
      <c r="AB1166" s="73">
        <f t="shared" si="58"/>
        <v>5</v>
      </c>
      <c r="AC1166" s="11" t="str">
        <f t="shared" si="59"/>
        <v/>
      </c>
      <c r="AD1166" s="73">
        <f t="shared" si="60"/>
        <v>2</v>
      </c>
      <c r="AE1166" s="11" t="str">
        <f t="shared" si="61"/>
        <v/>
      </c>
      <c r="AF1166" s="73">
        <f t="shared" si="62"/>
        <v>5.0011659999999996</v>
      </c>
      <c r="AG1166" s="11" t="str">
        <f t="shared" si="63"/>
        <v/>
      </c>
      <c r="AH1166" s="73">
        <f t="shared" si="64"/>
        <v>2.001166</v>
      </c>
    </row>
    <row r="1167" spans="1:34" ht="14.25" customHeight="1">
      <c r="A1167" s="11">
        <v>1152</v>
      </c>
      <c r="B1167" s="66"/>
      <c r="C1167" s="67"/>
      <c r="D1167" s="67"/>
      <c r="E1167" s="67"/>
      <c r="F1167" s="67"/>
      <c r="G1167" s="67" t="s">
        <v>35</v>
      </c>
      <c r="H1167" s="67">
        <v>44820</v>
      </c>
      <c r="I1167" s="6" t="s">
        <v>1779</v>
      </c>
      <c r="J1167" s="9">
        <v>6528801185</v>
      </c>
      <c r="K1167" s="68">
        <v>44804</v>
      </c>
      <c r="L1167" s="68">
        <v>46022</v>
      </c>
      <c r="M1167" s="68">
        <v>46203</v>
      </c>
      <c r="N1167" s="69">
        <f t="shared" si="52"/>
        <v>-28</v>
      </c>
      <c r="O1167" s="69">
        <f t="shared" si="53"/>
        <v>0</v>
      </c>
      <c r="P1167" s="70">
        <v>29</v>
      </c>
      <c r="Q1167" s="70">
        <v>1</v>
      </c>
      <c r="R1167" s="70">
        <v>1</v>
      </c>
      <c r="S1167" s="68" t="str">
        <f t="shared" si="54"/>
        <v/>
      </c>
      <c r="T1167" s="68"/>
      <c r="U1167" s="68"/>
      <c r="V1167" s="68"/>
      <c r="W1167" s="9"/>
      <c r="X1167" s="10"/>
      <c r="Y1167" s="71">
        <f t="shared" si="55"/>
        <v>1</v>
      </c>
      <c r="Z1167" s="73">
        <f t="shared" si="56"/>
        <v>1</v>
      </c>
      <c r="AA1167" s="11" t="str">
        <f t="shared" si="57"/>
        <v/>
      </c>
      <c r="AB1167" s="73">
        <f t="shared" si="58"/>
        <v>-28</v>
      </c>
      <c r="AC1167" s="11" t="str">
        <f t="shared" si="59"/>
        <v/>
      </c>
      <c r="AD1167" s="73">
        <f t="shared" si="60"/>
        <v>0</v>
      </c>
      <c r="AE1167" s="11" t="str">
        <f t="shared" si="61"/>
        <v/>
      </c>
      <c r="AF1167" s="73">
        <f t="shared" si="62"/>
        <v>-27.998833000000001</v>
      </c>
      <c r="AG1167" s="11" t="str">
        <f t="shared" si="63"/>
        <v/>
      </c>
      <c r="AH1167" s="73">
        <f t="shared" si="64"/>
        <v>1.1670000000000001E-3</v>
      </c>
    </row>
    <row r="1168" spans="1:34" ht="14.25" customHeight="1">
      <c r="A1168" s="11">
        <v>1153</v>
      </c>
      <c r="B1168" s="66" t="s">
        <v>35</v>
      </c>
      <c r="C1168" s="67">
        <v>45444</v>
      </c>
      <c r="D1168" s="67"/>
      <c r="E1168" s="67"/>
      <c r="F1168" s="67"/>
      <c r="G1168" s="67"/>
      <c r="H1168" s="67"/>
      <c r="I1168" s="6" t="s">
        <v>1780</v>
      </c>
      <c r="J1168" s="9">
        <v>6538100730</v>
      </c>
      <c r="K1168" s="68">
        <v>45443</v>
      </c>
      <c r="L1168" s="68">
        <v>46022</v>
      </c>
      <c r="M1168" s="68">
        <v>46203</v>
      </c>
      <c r="N1168" s="69">
        <f t="shared" si="52"/>
        <v>-2</v>
      </c>
      <c r="O1168" s="69">
        <f t="shared" si="53"/>
        <v>-2</v>
      </c>
      <c r="P1168" s="70">
        <v>4</v>
      </c>
      <c r="Q1168" s="70">
        <v>4</v>
      </c>
      <c r="R1168" s="70">
        <v>2</v>
      </c>
      <c r="S1168" s="68" t="str">
        <f t="shared" si="54"/>
        <v/>
      </c>
      <c r="T1168" s="68"/>
      <c r="U1168" s="68"/>
      <c r="V1168" s="68"/>
      <c r="W1168" s="9"/>
      <c r="X1168" s="10"/>
      <c r="Y1168" s="71">
        <f t="shared" si="55"/>
        <v>4</v>
      </c>
      <c r="Z1168" s="73">
        <f t="shared" si="56"/>
        <v>2</v>
      </c>
      <c r="AA1168" s="73">
        <f t="shared" si="57"/>
        <v>-2</v>
      </c>
      <c r="AB1168" s="11" t="str">
        <f t="shared" si="58"/>
        <v/>
      </c>
      <c r="AC1168" s="73">
        <f t="shared" si="59"/>
        <v>-2</v>
      </c>
      <c r="AD1168" s="11" t="str">
        <f t="shared" si="60"/>
        <v/>
      </c>
      <c r="AE1168" s="73">
        <f t="shared" si="61"/>
        <v>-1.9988319999999999</v>
      </c>
      <c r="AF1168" s="11" t="str">
        <f t="shared" si="62"/>
        <v/>
      </c>
      <c r="AG1168" s="73">
        <f t="shared" si="63"/>
        <v>-1.9988319999999999</v>
      </c>
      <c r="AH1168" s="11" t="str">
        <f t="shared" si="64"/>
        <v/>
      </c>
    </row>
    <row r="1169" spans="1:34" ht="14.25" customHeight="1">
      <c r="A1169" s="11">
        <v>1154</v>
      </c>
      <c r="B1169" s="66" t="s">
        <v>35</v>
      </c>
      <c r="C1169" s="67">
        <v>42416</v>
      </c>
      <c r="D1169" s="67"/>
      <c r="E1169" s="67"/>
      <c r="F1169" s="67"/>
      <c r="G1169" s="67"/>
      <c r="H1169" s="67"/>
      <c r="I1169" s="6" t="s">
        <v>1781</v>
      </c>
      <c r="J1169" s="9">
        <v>6558100207</v>
      </c>
      <c r="K1169" s="68">
        <v>42400</v>
      </c>
      <c r="L1169" s="68">
        <v>46022</v>
      </c>
      <c r="M1169" s="68">
        <v>46203</v>
      </c>
      <c r="N1169" s="69">
        <f t="shared" si="52"/>
        <v>0</v>
      </c>
      <c r="O1169" s="69">
        <f t="shared" si="53"/>
        <v>0</v>
      </c>
      <c r="P1169" s="70">
        <v>0</v>
      </c>
      <c r="Q1169" s="70">
        <v>0</v>
      </c>
      <c r="R1169" s="70">
        <v>0</v>
      </c>
      <c r="S1169" s="68" t="str">
        <f t="shared" si="54"/>
        <v/>
      </c>
      <c r="T1169" s="68"/>
      <c r="U1169" s="68"/>
      <c r="V1169" s="68"/>
      <c r="W1169" s="9"/>
      <c r="X1169" s="10" t="s">
        <v>1782</v>
      </c>
      <c r="Y1169" s="71">
        <f t="shared" si="55"/>
        <v>0</v>
      </c>
      <c r="Z1169" s="73">
        <f t="shared" si="56"/>
        <v>0</v>
      </c>
      <c r="AA1169" s="73">
        <f t="shared" si="57"/>
        <v>0</v>
      </c>
      <c r="AB1169" s="11" t="str">
        <f t="shared" si="58"/>
        <v/>
      </c>
      <c r="AC1169" s="73">
        <f t="shared" si="59"/>
        <v>0</v>
      </c>
      <c r="AD1169" s="11" t="str">
        <f t="shared" si="60"/>
        <v/>
      </c>
      <c r="AE1169" s="73">
        <f t="shared" si="61"/>
        <v>1.1689999999999999E-3</v>
      </c>
      <c r="AF1169" s="11" t="str">
        <f t="shared" si="62"/>
        <v/>
      </c>
      <c r="AG1169" s="73">
        <f t="shared" si="63"/>
        <v>1.1689999999999999E-3</v>
      </c>
      <c r="AH1169" s="11" t="str">
        <f t="shared" si="64"/>
        <v/>
      </c>
    </row>
    <row r="1170" spans="1:34" ht="14.25" customHeight="1">
      <c r="A1170" s="11">
        <v>1155</v>
      </c>
      <c r="B1170" s="66"/>
      <c r="C1170" s="67"/>
      <c r="D1170" s="67"/>
      <c r="E1170" s="67"/>
      <c r="F1170" s="67"/>
      <c r="G1170" s="67" t="s">
        <v>35</v>
      </c>
      <c r="H1170" s="67">
        <v>45513</v>
      </c>
      <c r="I1170" s="6" t="s">
        <v>1783</v>
      </c>
      <c r="J1170" s="9">
        <v>6558103048</v>
      </c>
      <c r="K1170" s="68">
        <v>45504</v>
      </c>
      <c r="L1170" s="68">
        <v>46022</v>
      </c>
      <c r="M1170" s="68">
        <v>46203</v>
      </c>
      <c r="N1170" s="69">
        <f t="shared" si="52"/>
        <v>0</v>
      </c>
      <c r="O1170" s="69">
        <f t="shared" si="53"/>
        <v>-1</v>
      </c>
      <c r="P1170" s="70">
        <v>3</v>
      </c>
      <c r="Q1170" s="70">
        <v>4</v>
      </c>
      <c r="R1170" s="70">
        <v>3</v>
      </c>
      <c r="S1170" s="68" t="str">
        <f t="shared" si="54"/>
        <v/>
      </c>
      <c r="T1170" s="68"/>
      <c r="U1170" s="68"/>
      <c r="V1170" s="68"/>
      <c r="W1170" s="9"/>
      <c r="X1170" s="10"/>
      <c r="Y1170" s="71">
        <f t="shared" si="55"/>
        <v>4</v>
      </c>
      <c r="Z1170" s="73">
        <f t="shared" si="56"/>
        <v>3</v>
      </c>
      <c r="AA1170" s="11" t="str">
        <f t="shared" si="57"/>
        <v/>
      </c>
      <c r="AB1170" s="73">
        <f t="shared" si="58"/>
        <v>0</v>
      </c>
      <c r="AC1170" s="11" t="str">
        <f t="shared" si="59"/>
        <v/>
      </c>
      <c r="AD1170" s="73">
        <f t="shared" si="60"/>
        <v>-1</v>
      </c>
      <c r="AE1170" s="11" t="str">
        <f t="shared" si="61"/>
        <v/>
      </c>
      <c r="AF1170" s="73">
        <f t="shared" si="62"/>
        <v>1.17E-3</v>
      </c>
      <c r="AG1170" s="11" t="str">
        <f t="shared" si="63"/>
        <v/>
      </c>
      <c r="AH1170" s="73">
        <f t="shared" si="64"/>
        <v>-0.99883</v>
      </c>
    </row>
    <row r="1171" spans="1:34" ht="14.25" customHeight="1">
      <c r="A1171" s="11">
        <v>1156</v>
      </c>
      <c r="B1171" s="66"/>
      <c r="C1171" s="67"/>
      <c r="D1171" s="67"/>
      <c r="E1171" s="67"/>
      <c r="F1171" s="67"/>
      <c r="G1171" s="67" t="s">
        <v>35</v>
      </c>
      <c r="H1171" s="67">
        <v>45547</v>
      </c>
      <c r="I1171" s="6" t="s">
        <v>1784</v>
      </c>
      <c r="J1171" s="9">
        <v>6558600901</v>
      </c>
      <c r="K1171" s="68">
        <v>45535</v>
      </c>
      <c r="L1171" s="68">
        <v>46022</v>
      </c>
      <c r="M1171" s="68">
        <v>46203</v>
      </c>
      <c r="N1171" s="69">
        <f t="shared" si="52"/>
        <v>7</v>
      </c>
      <c r="O1171" s="69">
        <f t="shared" si="53"/>
        <v>1</v>
      </c>
      <c r="P1171" s="70">
        <v>7</v>
      </c>
      <c r="Q1171" s="70">
        <v>13</v>
      </c>
      <c r="R1171" s="70">
        <v>14</v>
      </c>
      <c r="S1171" s="68" t="str">
        <f t="shared" si="54"/>
        <v/>
      </c>
      <c r="T1171" s="68"/>
      <c r="U1171" s="68"/>
      <c r="V1171" s="68"/>
      <c r="W1171" s="9"/>
      <c r="X1171" s="10"/>
      <c r="Y1171" s="71">
        <f t="shared" si="55"/>
        <v>13</v>
      </c>
      <c r="Z1171" s="73">
        <f t="shared" si="56"/>
        <v>14</v>
      </c>
      <c r="AA1171" s="11" t="str">
        <f t="shared" si="57"/>
        <v/>
      </c>
      <c r="AB1171" s="73">
        <f t="shared" si="58"/>
        <v>7</v>
      </c>
      <c r="AC1171" s="11" t="str">
        <f t="shared" si="59"/>
        <v/>
      </c>
      <c r="AD1171" s="73">
        <f t="shared" si="60"/>
        <v>1</v>
      </c>
      <c r="AE1171" s="11" t="str">
        <f t="shared" si="61"/>
        <v/>
      </c>
      <c r="AF1171" s="73">
        <f t="shared" si="62"/>
        <v>7.0011710000000003</v>
      </c>
      <c r="AG1171" s="11" t="str">
        <f t="shared" si="63"/>
        <v/>
      </c>
      <c r="AH1171" s="73">
        <f t="shared" si="64"/>
        <v>1.001171</v>
      </c>
    </row>
    <row r="1172" spans="1:34" ht="14.25" customHeight="1">
      <c r="A1172" s="11">
        <v>1157</v>
      </c>
      <c r="B1172" s="66"/>
      <c r="C1172" s="67"/>
      <c r="D1172" s="67"/>
      <c r="E1172" s="67"/>
      <c r="F1172" s="67"/>
      <c r="G1172" s="67" t="s">
        <v>35</v>
      </c>
      <c r="H1172" s="67">
        <v>45042</v>
      </c>
      <c r="I1172" s="6" t="s">
        <v>1785</v>
      </c>
      <c r="J1172" s="9">
        <v>6558601953</v>
      </c>
      <c r="K1172" s="68">
        <v>45016</v>
      </c>
      <c r="L1172" s="68">
        <v>46022</v>
      </c>
      <c r="M1172" s="68">
        <v>46203</v>
      </c>
      <c r="N1172" s="69">
        <f t="shared" si="52"/>
        <v>46</v>
      </c>
      <c r="O1172" s="69">
        <f t="shared" si="53"/>
        <v>16</v>
      </c>
      <c r="P1172" s="70">
        <v>9</v>
      </c>
      <c r="Q1172" s="70">
        <v>39</v>
      </c>
      <c r="R1172" s="70">
        <v>55</v>
      </c>
      <c r="S1172" s="68" t="str">
        <f t="shared" si="54"/>
        <v/>
      </c>
      <c r="T1172" s="68"/>
      <c r="U1172" s="68"/>
      <c r="V1172" s="68"/>
      <c r="W1172" s="9"/>
      <c r="X1172" s="10"/>
      <c r="Y1172" s="71">
        <f t="shared" si="55"/>
        <v>39</v>
      </c>
      <c r="Z1172" s="73">
        <f t="shared" si="56"/>
        <v>55</v>
      </c>
      <c r="AA1172" s="11" t="str">
        <f t="shared" si="57"/>
        <v/>
      </c>
      <c r="AB1172" s="73">
        <f t="shared" si="58"/>
        <v>46</v>
      </c>
      <c r="AC1172" s="11" t="str">
        <f t="shared" si="59"/>
        <v/>
      </c>
      <c r="AD1172" s="73">
        <f t="shared" si="60"/>
        <v>16</v>
      </c>
      <c r="AE1172" s="11" t="str">
        <f t="shared" si="61"/>
        <v/>
      </c>
      <c r="AF1172" s="73">
        <f t="shared" si="62"/>
        <v>46.001171999999997</v>
      </c>
      <c r="AG1172" s="11" t="str">
        <f t="shared" si="63"/>
        <v/>
      </c>
      <c r="AH1172" s="73">
        <f t="shared" si="64"/>
        <v>16.001172</v>
      </c>
    </row>
    <row r="1173" spans="1:34" ht="14.25" customHeight="1">
      <c r="A1173" s="11">
        <v>1158</v>
      </c>
      <c r="B1173" s="66"/>
      <c r="C1173" s="67"/>
      <c r="D1173" s="67"/>
      <c r="E1173" s="67"/>
      <c r="F1173" s="67"/>
      <c r="G1173" s="67" t="s">
        <v>35</v>
      </c>
      <c r="H1173" s="67">
        <v>45306</v>
      </c>
      <c r="I1173" s="6" t="s">
        <v>1786</v>
      </c>
      <c r="J1173" s="9">
        <v>6558700515</v>
      </c>
      <c r="K1173" s="68">
        <v>45291</v>
      </c>
      <c r="L1173" s="68">
        <v>46022</v>
      </c>
      <c r="M1173" s="68">
        <v>46203</v>
      </c>
      <c r="N1173" s="69">
        <f t="shared" si="52"/>
        <v>-12</v>
      </c>
      <c r="O1173" s="69">
        <f t="shared" si="53"/>
        <v>-1</v>
      </c>
      <c r="P1173" s="70">
        <v>24</v>
      </c>
      <c r="Q1173" s="70">
        <v>13</v>
      </c>
      <c r="R1173" s="70">
        <v>12</v>
      </c>
      <c r="S1173" s="68" t="str">
        <f t="shared" si="54"/>
        <v/>
      </c>
      <c r="T1173" s="68"/>
      <c r="U1173" s="68"/>
      <c r="V1173" s="68"/>
      <c r="W1173" s="9"/>
      <c r="X1173" s="10"/>
      <c r="Y1173" s="71">
        <f t="shared" si="55"/>
        <v>13</v>
      </c>
      <c r="Z1173" s="73">
        <f t="shared" si="56"/>
        <v>12</v>
      </c>
      <c r="AA1173" s="11" t="str">
        <f t="shared" si="57"/>
        <v/>
      </c>
      <c r="AB1173" s="73">
        <f t="shared" si="58"/>
        <v>-12</v>
      </c>
      <c r="AC1173" s="11" t="str">
        <f t="shared" si="59"/>
        <v/>
      </c>
      <c r="AD1173" s="73">
        <f t="shared" si="60"/>
        <v>-1</v>
      </c>
      <c r="AE1173" s="11" t="str">
        <f t="shared" si="61"/>
        <v/>
      </c>
      <c r="AF1173" s="73">
        <f t="shared" si="62"/>
        <v>-11.998827</v>
      </c>
      <c r="AG1173" s="11" t="str">
        <f t="shared" si="63"/>
        <v/>
      </c>
      <c r="AH1173" s="73">
        <f t="shared" si="64"/>
        <v>-0.99882700000000002</v>
      </c>
    </row>
    <row r="1174" spans="1:34" ht="14.25" customHeight="1">
      <c r="A1174" s="11">
        <v>1159</v>
      </c>
      <c r="B1174" s="66" t="s">
        <v>35</v>
      </c>
      <c r="C1174" s="67">
        <v>45170</v>
      </c>
      <c r="D1174" s="67">
        <v>44796</v>
      </c>
      <c r="E1174" s="67"/>
      <c r="F1174" s="67"/>
      <c r="G1174" s="67"/>
      <c r="H1174" s="67"/>
      <c r="I1174" s="6" t="s">
        <v>1787</v>
      </c>
      <c r="J1174" s="9">
        <v>6568801983</v>
      </c>
      <c r="K1174" s="68">
        <v>44773</v>
      </c>
      <c r="L1174" s="68">
        <v>46022</v>
      </c>
      <c r="M1174" s="68">
        <v>46203</v>
      </c>
      <c r="N1174" s="69">
        <f t="shared" si="52"/>
        <v>4</v>
      </c>
      <c r="O1174" s="69">
        <f t="shared" si="53"/>
        <v>-1</v>
      </c>
      <c r="P1174" s="70">
        <v>4</v>
      </c>
      <c r="Q1174" s="70">
        <v>9</v>
      </c>
      <c r="R1174" s="70">
        <v>8</v>
      </c>
      <c r="S1174" s="68" t="str">
        <f t="shared" si="54"/>
        <v/>
      </c>
      <c r="T1174" s="68"/>
      <c r="U1174" s="68"/>
      <c r="V1174" s="68"/>
      <c r="W1174" s="9"/>
      <c r="X1174" s="10"/>
      <c r="Y1174" s="71">
        <f t="shared" si="55"/>
        <v>9</v>
      </c>
      <c r="Z1174" s="73">
        <f t="shared" si="56"/>
        <v>8</v>
      </c>
      <c r="AA1174" s="73">
        <f t="shared" si="57"/>
        <v>4</v>
      </c>
      <c r="AB1174" s="11" t="str">
        <f t="shared" si="58"/>
        <v/>
      </c>
      <c r="AC1174" s="73">
        <f t="shared" si="59"/>
        <v>-1</v>
      </c>
      <c r="AD1174" s="11" t="str">
        <f t="shared" si="60"/>
        <v/>
      </c>
      <c r="AE1174" s="73">
        <f t="shared" si="61"/>
        <v>4.0011739999999998</v>
      </c>
      <c r="AF1174" s="11" t="str">
        <f t="shared" si="62"/>
        <v/>
      </c>
      <c r="AG1174" s="73">
        <f t="shared" si="63"/>
        <v>-0.99882599999999999</v>
      </c>
      <c r="AH1174" s="11" t="str">
        <f t="shared" si="64"/>
        <v/>
      </c>
    </row>
    <row r="1175" spans="1:34" ht="14.25" customHeight="1">
      <c r="A1175" s="11">
        <v>1160</v>
      </c>
      <c r="B1175" s="66"/>
      <c r="C1175" s="67"/>
      <c r="D1175" s="67"/>
      <c r="E1175" s="67"/>
      <c r="F1175" s="67"/>
      <c r="G1175" s="67" t="s">
        <v>35</v>
      </c>
      <c r="H1175" s="67">
        <v>45590</v>
      </c>
      <c r="I1175" s="6" t="s">
        <v>1788</v>
      </c>
      <c r="J1175" s="9">
        <v>6578702464</v>
      </c>
      <c r="K1175" s="68">
        <v>45565</v>
      </c>
      <c r="L1175" s="68">
        <v>46022</v>
      </c>
      <c r="M1175" s="68">
        <v>46203</v>
      </c>
      <c r="N1175" s="69">
        <f t="shared" si="52"/>
        <v>2</v>
      </c>
      <c r="O1175" s="69">
        <f t="shared" si="53"/>
        <v>-1</v>
      </c>
      <c r="P1175" s="70">
        <v>10</v>
      </c>
      <c r="Q1175" s="70">
        <v>13</v>
      </c>
      <c r="R1175" s="70">
        <v>12</v>
      </c>
      <c r="S1175" s="68" t="str">
        <f t="shared" si="54"/>
        <v/>
      </c>
      <c r="T1175" s="68"/>
      <c r="U1175" s="68"/>
      <c r="V1175" s="68"/>
      <c r="W1175" s="9"/>
      <c r="X1175" s="10"/>
      <c r="Y1175" s="71">
        <f t="shared" si="55"/>
        <v>13</v>
      </c>
      <c r="Z1175" s="73">
        <f t="shared" si="56"/>
        <v>12</v>
      </c>
      <c r="AA1175" s="11" t="str">
        <f t="shared" si="57"/>
        <v/>
      </c>
      <c r="AB1175" s="73">
        <f t="shared" si="58"/>
        <v>2</v>
      </c>
      <c r="AC1175" s="11" t="str">
        <f t="shared" si="59"/>
        <v/>
      </c>
      <c r="AD1175" s="73">
        <f t="shared" si="60"/>
        <v>-1</v>
      </c>
      <c r="AE1175" s="11" t="str">
        <f t="shared" si="61"/>
        <v/>
      </c>
      <c r="AF1175" s="73">
        <f t="shared" si="62"/>
        <v>2.0011749999999999</v>
      </c>
      <c r="AG1175" s="11" t="str">
        <f t="shared" si="63"/>
        <v/>
      </c>
      <c r="AH1175" s="73">
        <f t="shared" si="64"/>
        <v>-0.99882499999999996</v>
      </c>
    </row>
    <row r="1176" spans="1:34" ht="14.25" customHeight="1">
      <c r="A1176" s="11">
        <v>1161</v>
      </c>
      <c r="B1176" s="66"/>
      <c r="C1176" s="67"/>
      <c r="D1176" s="67"/>
      <c r="E1176" s="67"/>
      <c r="F1176" s="67"/>
      <c r="G1176" s="67" t="s">
        <v>35</v>
      </c>
      <c r="H1176" s="67">
        <v>44862</v>
      </c>
      <c r="I1176" s="6" t="s">
        <v>1789</v>
      </c>
      <c r="J1176" s="9">
        <v>6588601253</v>
      </c>
      <c r="K1176" s="68">
        <v>44834</v>
      </c>
      <c r="L1176" s="68">
        <v>46022</v>
      </c>
      <c r="M1176" s="68">
        <v>46203</v>
      </c>
      <c r="N1176" s="69">
        <f t="shared" si="52"/>
        <v>1</v>
      </c>
      <c r="O1176" s="69">
        <f t="shared" si="53"/>
        <v>3</v>
      </c>
      <c r="P1176" s="70">
        <v>19</v>
      </c>
      <c r="Q1176" s="70">
        <v>17</v>
      </c>
      <c r="R1176" s="70">
        <v>20</v>
      </c>
      <c r="S1176" s="68" t="str">
        <f t="shared" si="54"/>
        <v/>
      </c>
      <c r="T1176" s="68"/>
      <c r="U1176" s="68"/>
      <c r="V1176" s="68"/>
      <c r="W1176" s="9"/>
      <c r="X1176" s="10"/>
      <c r="Y1176" s="71">
        <f t="shared" si="55"/>
        <v>17</v>
      </c>
      <c r="Z1176" s="73">
        <f t="shared" si="56"/>
        <v>20</v>
      </c>
      <c r="AA1176" s="11" t="str">
        <f t="shared" si="57"/>
        <v/>
      </c>
      <c r="AB1176" s="73">
        <f t="shared" si="58"/>
        <v>1</v>
      </c>
      <c r="AC1176" s="11" t="str">
        <f t="shared" si="59"/>
        <v/>
      </c>
      <c r="AD1176" s="73">
        <f t="shared" si="60"/>
        <v>3</v>
      </c>
      <c r="AE1176" s="11" t="str">
        <f t="shared" si="61"/>
        <v/>
      </c>
      <c r="AF1176" s="73">
        <f t="shared" si="62"/>
        <v>1.0011760000000001</v>
      </c>
      <c r="AG1176" s="11" t="str">
        <f t="shared" si="63"/>
        <v/>
      </c>
      <c r="AH1176" s="73">
        <f t="shared" si="64"/>
        <v>3.0011760000000001</v>
      </c>
    </row>
    <row r="1177" spans="1:34" ht="14.25" customHeight="1">
      <c r="A1177" s="11">
        <v>1162</v>
      </c>
      <c r="B1177" s="66"/>
      <c r="C1177" s="67"/>
      <c r="D1177" s="67"/>
      <c r="E1177" s="67"/>
      <c r="F1177" s="67"/>
      <c r="G1177" s="67" t="s">
        <v>35</v>
      </c>
      <c r="H1177" s="67">
        <v>44952</v>
      </c>
      <c r="I1177" s="6" t="s">
        <v>1790</v>
      </c>
      <c r="J1177" s="9">
        <v>6588701186</v>
      </c>
      <c r="K1177" s="68">
        <v>44926</v>
      </c>
      <c r="L1177" s="68">
        <v>46022</v>
      </c>
      <c r="M1177" s="68">
        <v>46203</v>
      </c>
      <c r="N1177" s="69">
        <f t="shared" si="52"/>
        <v>0</v>
      </c>
      <c r="O1177" s="69">
        <f t="shared" si="53"/>
        <v>-5</v>
      </c>
      <c r="P1177" s="70">
        <v>10</v>
      </c>
      <c r="Q1177" s="70">
        <v>15</v>
      </c>
      <c r="R1177" s="70">
        <v>10</v>
      </c>
      <c r="S1177" s="68" t="str">
        <f t="shared" si="54"/>
        <v/>
      </c>
      <c r="T1177" s="68"/>
      <c r="U1177" s="68"/>
      <c r="V1177" s="68"/>
      <c r="W1177" s="9"/>
      <c r="X1177" s="10"/>
      <c r="Y1177" s="71">
        <f t="shared" si="55"/>
        <v>15</v>
      </c>
      <c r="Z1177" s="73">
        <f t="shared" si="56"/>
        <v>10</v>
      </c>
      <c r="AA1177" s="11" t="str">
        <f t="shared" si="57"/>
        <v/>
      </c>
      <c r="AB1177" s="73">
        <f t="shared" si="58"/>
        <v>0</v>
      </c>
      <c r="AC1177" s="11" t="str">
        <f t="shared" si="59"/>
        <v/>
      </c>
      <c r="AD1177" s="73">
        <f t="shared" si="60"/>
        <v>-5</v>
      </c>
      <c r="AE1177" s="11" t="str">
        <f t="shared" si="61"/>
        <v/>
      </c>
      <c r="AF1177" s="73">
        <f t="shared" si="62"/>
        <v>1.1770000000000001E-3</v>
      </c>
      <c r="AG1177" s="11" t="str">
        <f t="shared" si="63"/>
        <v/>
      </c>
      <c r="AH1177" s="73">
        <f t="shared" si="64"/>
        <v>-4.9988229999999998</v>
      </c>
    </row>
    <row r="1178" spans="1:34" ht="14.25" customHeight="1">
      <c r="A1178" s="11">
        <v>1163</v>
      </c>
      <c r="B1178" s="66"/>
      <c r="C1178" s="67"/>
      <c r="D1178" s="67"/>
      <c r="E1178" s="67"/>
      <c r="F1178" s="67"/>
      <c r="G1178" s="67" t="s">
        <v>35</v>
      </c>
      <c r="H1178" s="67">
        <v>45894</v>
      </c>
      <c r="I1178" s="6" t="s">
        <v>1791</v>
      </c>
      <c r="J1178" s="94">
        <v>6608102508</v>
      </c>
      <c r="K1178" s="68">
        <v>45869</v>
      </c>
      <c r="L1178" s="68">
        <v>46022</v>
      </c>
      <c r="M1178" s="68">
        <v>46203</v>
      </c>
      <c r="N1178" s="69">
        <f t="shared" si="52"/>
        <v>20</v>
      </c>
      <c r="O1178" s="69">
        <f t="shared" si="53"/>
        <v>14</v>
      </c>
      <c r="P1178" s="70">
        <v>34</v>
      </c>
      <c r="Q1178" s="70">
        <v>40</v>
      </c>
      <c r="R1178" s="70">
        <v>54</v>
      </c>
      <c r="S1178" s="68" t="str">
        <f t="shared" si="54"/>
        <v/>
      </c>
      <c r="T1178" s="68"/>
      <c r="U1178" s="95"/>
      <c r="V1178" s="68"/>
      <c r="W1178" s="6"/>
      <c r="X1178" s="10"/>
      <c r="Y1178" s="71">
        <f t="shared" si="55"/>
        <v>40</v>
      </c>
      <c r="Z1178" s="73">
        <f t="shared" si="56"/>
        <v>54</v>
      </c>
      <c r="AA1178" s="11" t="str">
        <f t="shared" si="57"/>
        <v/>
      </c>
      <c r="AB1178" s="73">
        <f t="shared" si="58"/>
        <v>20</v>
      </c>
      <c r="AC1178" s="11" t="str">
        <f t="shared" si="59"/>
        <v/>
      </c>
      <c r="AD1178" s="73">
        <f t="shared" si="60"/>
        <v>14</v>
      </c>
      <c r="AE1178" s="11" t="str">
        <f t="shared" si="61"/>
        <v/>
      </c>
      <c r="AF1178" s="73">
        <f t="shared" si="62"/>
        <v>20.001177999999999</v>
      </c>
      <c r="AG1178" s="11" t="str">
        <f t="shared" si="63"/>
        <v/>
      </c>
      <c r="AH1178" s="73">
        <f t="shared" si="64"/>
        <v>14.001177999999999</v>
      </c>
    </row>
    <row r="1179" spans="1:34" ht="14.25" customHeight="1">
      <c r="A1179" s="11">
        <v>1164</v>
      </c>
      <c r="B1179" s="66" t="s">
        <v>35</v>
      </c>
      <c r="C1179" s="67">
        <v>44805</v>
      </c>
      <c r="D1179" s="67"/>
      <c r="E1179" s="67"/>
      <c r="F1179" s="67"/>
      <c r="G1179" s="67" t="s">
        <v>35</v>
      </c>
      <c r="H1179" s="67">
        <v>44508</v>
      </c>
      <c r="I1179" s="6" t="s">
        <v>1792</v>
      </c>
      <c r="J1179" s="9">
        <v>6608602274</v>
      </c>
      <c r="K1179" s="68">
        <v>44500</v>
      </c>
      <c r="L1179" s="68">
        <v>46022</v>
      </c>
      <c r="M1179" s="68">
        <v>46203</v>
      </c>
      <c r="N1179" s="69">
        <f t="shared" si="52"/>
        <v>11</v>
      </c>
      <c r="O1179" s="69">
        <f t="shared" si="53"/>
        <v>6</v>
      </c>
      <c r="P1179" s="70">
        <v>2</v>
      </c>
      <c r="Q1179" s="70">
        <v>7</v>
      </c>
      <c r="R1179" s="70">
        <v>13</v>
      </c>
      <c r="S1179" s="68" t="str">
        <f t="shared" si="54"/>
        <v/>
      </c>
      <c r="T1179" s="68"/>
      <c r="U1179" s="68"/>
      <c r="V1179" s="68"/>
      <c r="W1179" s="9"/>
      <c r="X1179" s="10"/>
      <c r="Y1179" s="71">
        <f t="shared" si="55"/>
        <v>7</v>
      </c>
      <c r="Z1179" s="73">
        <f t="shared" si="56"/>
        <v>13</v>
      </c>
      <c r="AA1179" s="73">
        <f t="shared" si="57"/>
        <v>11</v>
      </c>
      <c r="AB1179" s="73">
        <f t="shared" si="58"/>
        <v>11</v>
      </c>
      <c r="AC1179" s="73">
        <f t="shared" si="59"/>
        <v>6</v>
      </c>
      <c r="AD1179" s="73">
        <f t="shared" si="60"/>
        <v>6</v>
      </c>
      <c r="AE1179" s="73">
        <f t="shared" si="61"/>
        <v>11.001179</v>
      </c>
      <c r="AF1179" s="73">
        <f t="shared" si="62"/>
        <v>11.001179</v>
      </c>
      <c r="AG1179" s="73">
        <f t="shared" si="63"/>
        <v>6.0011789999999996</v>
      </c>
      <c r="AH1179" s="73">
        <f t="shared" si="64"/>
        <v>6.0011789999999996</v>
      </c>
    </row>
    <row r="1180" spans="1:34" ht="14.25" customHeight="1">
      <c r="A1180" s="11">
        <v>1165</v>
      </c>
      <c r="B1180" s="66" t="s">
        <v>35</v>
      </c>
      <c r="C1180" s="67">
        <v>44896</v>
      </c>
      <c r="D1180" s="67">
        <v>45184</v>
      </c>
      <c r="E1180" s="67"/>
      <c r="F1180" s="67"/>
      <c r="G1180" s="67"/>
      <c r="H1180" s="67"/>
      <c r="I1180" s="6" t="s">
        <v>1793</v>
      </c>
      <c r="J1180" s="9">
        <v>6608702801</v>
      </c>
      <c r="K1180" s="68">
        <v>44895</v>
      </c>
      <c r="L1180" s="68">
        <v>46022</v>
      </c>
      <c r="M1180" s="68">
        <v>46203</v>
      </c>
      <c r="N1180" s="69">
        <f t="shared" si="52"/>
        <v>2</v>
      </c>
      <c r="O1180" s="69">
        <f t="shared" si="53"/>
        <v>-1</v>
      </c>
      <c r="P1180" s="70">
        <v>3</v>
      </c>
      <c r="Q1180" s="70">
        <v>6</v>
      </c>
      <c r="R1180" s="70">
        <v>5</v>
      </c>
      <c r="S1180" s="68" t="str">
        <f t="shared" si="54"/>
        <v/>
      </c>
      <c r="T1180" s="68"/>
      <c r="U1180" s="68"/>
      <c r="V1180" s="68"/>
      <c r="W1180" s="9"/>
      <c r="X1180" s="10"/>
      <c r="Y1180" s="71">
        <f t="shared" si="55"/>
        <v>6</v>
      </c>
      <c r="Z1180" s="73">
        <f t="shared" si="56"/>
        <v>5</v>
      </c>
      <c r="AA1180" s="73">
        <f t="shared" si="57"/>
        <v>2</v>
      </c>
      <c r="AB1180" s="11" t="str">
        <f t="shared" si="58"/>
        <v/>
      </c>
      <c r="AC1180" s="73">
        <f t="shared" si="59"/>
        <v>-1</v>
      </c>
      <c r="AD1180" s="11" t="str">
        <f t="shared" si="60"/>
        <v/>
      </c>
      <c r="AE1180" s="73">
        <f t="shared" si="61"/>
        <v>2.0011800000000002</v>
      </c>
      <c r="AF1180" s="11" t="str">
        <f t="shared" si="62"/>
        <v/>
      </c>
      <c r="AG1180" s="73">
        <f t="shared" si="63"/>
        <v>-0.99882000000000004</v>
      </c>
      <c r="AH1180" s="11" t="str">
        <f t="shared" si="64"/>
        <v/>
      </c>
    </row>
    <row r="1181" spans="1:34" ht="14.25" customHeight="1">
      <c r="A1181" s="11">
        <v>1166</v>
      </c>
      <c r="B1181" s="66" t="s">
        <v>35</v>
      </c>
      <c r="C1181" s="67">
        <v>44805</v>
      </c>
      <c r="D1181" s="67"/>
      <c r="E1181" s="67"/>
      <c r="F1181" s="67"/>
      <c r="G1181" s="67" t="s">
        <v>35</v>
      </c>
      <c r="H1181" s="67">
        <v>45093</v>
      </c>
      <c r="I1181" s="6" t="s">
        <v>1794</v>
      </c>
      <c r="J1181" s="9">
        <v>6608802002</v>
      </c>
      <c r="K1181" s="68">
        <v>44804</v>
      </c>
      <c r="L1181" s="68">
        <v>46022</v>
      </c>
      <c r="M1181" s="68">
        <v>46203</v>
      </c>
      <c r="N1181" s="69">
        <f t="shared" si="52"/>
        <v>0</v>
      </c>
      <c r="O1181" s="69">
        <f t="shared" si="53"/>
        <v>0</v>
      </c>
      <c r="P1181" s="70">
        <v>6</v>
      </c>
      <c r="Q1181" s="70">
        <v>6</v>
      </c>
      <c r="R1181" s="70">
        <v>6</v>
      </c>
      <c r="S1181" s="68" t="str">
        <f t="shared" si="54"/>
        <v/>
      </c>
      <c r="T1181" s="68"/>
      <c r="U1181" s="68"/>
      <c r="V1181" s="68"/>
      <c r="W1181" s="9"/>
      <c r="X1181" s="10"/>
      <c r="Y1181" s="71">
        <f t="shared" si="55"/>
        <v>6</v>
      </c>
      <c r="Z1181" s="73">
        <f t="shared" si="56"/>
        <v>6</v>
      </c>
      <c r="AA1181" s="73">
        <f t="shared" si="57"/>
        <v>0</v>
      </c>
      <c r="AB1181" s="73">
        <f t="shared" si="58"/>
        <v>0</v>
      </c>
      <c r="AC1181" s="73">
        <f t="shared" si="59"/>
        <v>0</v>
      </c>
      <c r="AD1181" s="73">
        <f t="shared" si="60"/>
        <v>0</v>
      </c>
      <c r="AE1181" s="73">
        <f t="shared" si="61"/>
        <v>1.181E-3</v>
      </c>
      <c r="AF1181" s="73">
        <f t="shared" si="62"/>
        <v>1.181E-3</v>
      </c>
      <c r="AG1181" s="73">
        <f t="shared" si="63"/>
        <v>1.181E-3</v>
      </c>
      <c r="AH1181" s="73">
        <f t="shared" si="64"/>
        <v>1.181E-3</v>
      </c>
    </row>
    <row r="1182" spans="1:34" ht="14.25" customHeight="1">
      <c r="A1182" s="11">
        <v>1167</v>
      </c>
      <c r="B1182" s="66"/>
      <c r="C1182" s="67"/>
      <c r="D1182" s="67"/>
      <c r="E1182" s="67"/>
      <c r="F1182" s="67"/>
      <c r="G1182" s="67" t="s">
        <v>35</v>
      </c>
      <c r="H1182" s="67">
        <v>45057</v>
      </c>
      <c r="I1182" s="6" t="s">
        <v>1795</v>
      </c>
      <c r="J1182" s="9">
        <v>6618102253</v>
      </c>
      <c r="K1182" s="68">
        <v>45046</v>
      </c>
      <c r="L1182" s="68">
        <v>46022</v>
      </c>
      <c r="M1182" s="68">
        <v>46203</v>
      </c>
      <c r="N1182" s="69">
        <f t="shared" si="52"/>
        <v>7</v>
      </c>
      <c r="O1182" s="69">
        <f t="shared" si="53"/>
        <v>0</v>
      </c>
      <c r="P1182" s="70">
        <v>1</v>
      </c>
      <c r="Q1182" s="70">
        <v>8</v>
      </c>
      <c r="R1182" s="70">
        <v>8</v>
      </c>
      <c r="S1182" s="68" t="str">
        <f t="shared" si="54"/>
        <v/>
      </c>
      <c r="T1182" s="68"/>
      <c r="U1182" s="68"/>
      <c r="V1182" s="68"/>
      <c r="W1182" s="9"/>
      <c r="X1182" s="10"/>
      <c r="Y1182" s="71">
        <f t="shared" si="55"/>
        <v>8</v>
      </c>
      <c r="Z1182" s="73">
        <f t="shared" si="56"/>
        <v>8</v>
      </c>
      <c r="AA1182" s="11" t="str">
        <f t="shared" si="57"/>
        <v/>
      </c>
      <c r="AB1182" s="73">
        <f t="shared" si="58"/>
        <v>7</v>
      </c>
      <c r="AC1182" s="11" t="str">
        <f t="shared" si="59"/>
        <v/>
      </c>
      <c r="AD1182" s="73">
        <f t="shared" si="60"/>
        <v>0</v>
      </c>
      <c r="AE1182" s="11" t="str">
        <f t="shared" si="61"/>
        <v/>
      </c>
      <c r="AF1182" s="73">
        <f t="shared" si="62"/>
        <v>7.001182</v>
      </c>
      <c r="AG1182" s="11" t="str">
        <f t="shared" si="63"/>
        <v/>
      </c>
      <c r="AH1182" s="73">
        <f t="shared" si="64"/>
        <v>1.1820000000000001E-3</v>
      </c>
    </row>
    <row r="1183" spans="1:34" ht="14.25" customHeight="1">
      <c r="A1183" s="11">
        <v>1168</v>
      </c>
      <c r="B1183" s="66"/>
      <c r="C1183" s="67"/>
      <c r="D1183" s="67"/>
      <c r="E1183" s="67"/>
      <c r="F1183" s="67"/>
      <c r="G1183" s="124" t="s">
        <v>24</v>
      </c>
      <c r="H1183" s="67">
        <v>43048</v>
      </c>
      <c r="I1183" s="6" t="s">
        <v>1796</v>
      </c>
      <c r="J1183" s="9">
        <v>6618700655</v>
      </c>
      <c r="K1183" s="68">
        <v>43039</v>
      </c>
      <c r="L1183" s="68">
        <v>46022</v>
      </c>
      <c r="M1183" s="68">
        <v>46053</v>
      </c>
      <c r="N1183" s="69">
        <f t="shared" si="52"/>
        <v>-19</v>
      </c>
      <c r="O1183" s="69">
        <f t="shared" si="53"/>
        <v>0</v>
      </c>
      <c r="P1183" s="70">
        <v>19</v>
      </c>
      <c r="Q1183" s="70">
        <v>0</v>
      </c>
      <c r="R1183" s="70">
        <v>0</v>
      </c>
      <c r="S1183" s="68">
        <f t="shared" si="54"/>
        <v>46029</v>
      </c>
      <c r="T1183" s="68">
        <v>46029</v>
      </c>
      <c r="U1183" s="68"/>
      <c r="V1183" s="68"/>
      <c r="W1183" s="9"/>
      <c r="X1183" s="10"/>
      <c r="Y1183" s="71">
        <f t="shared" si="55"/>
        <v>0</v>
      </c>
      <c r="Z1183" s="73">
        <f t="shared" si="56"/>
        <v>0</v>
      </c>
      <c r="AA1183" s="11" t="str">
        <f t="shared" si="57"/>
        <v/>
      </c>
      <c r="AB1183" s="73">
        <f t="shared" si="58"/>
        <v>-19</v>
      </c>
      <c r="AC1183" s="11" t="str">
        <f t="shared" si="59"/>
        <v/>
      </c>
      <c r="AD1183" s="73">
        <f t="shared" si="60"/>
        <v>0</v>
      </c>
      <c r="AE1183" s="11" t="str">
        <f t="shared" si="61"/>
        <v/>
      </c>
      <c r="AF1183" s="73">
        <f t="shared" si="62"/>
        <v>-18.998816999999999</v>
      </c>
      <c r="AG1183" s="11" t="str">
        <f t="shared" si="63"/>
        <v/>
      </c>
      <c r="AH1183" s="73">
        <f t="shared" si="64"/>
        <v>1.183E-3</v>
      </c>
    </row>
    <row r="1184" spans="1:34" ht="14.25" customHeight="1">
      <c r="A1184" s="11">
        <v>1169</v>
      </c>
      <c r="B1184" s="66" t="s">
        <v>24</v>
      </c>
      <c r="C1184" s="67">
        <v>44431</v>
      </c>
      <c r="D1184" s="67"/>
      <c r="E1184" s="67"/>
      <c r="F1184" s="67"/>
      <c r="G1184" s="67" t="s">
        <v>24</v>
      </c>
      <c r="H1184" s="67">
        <v>44484</v>
      </c>
      <c r="I1184" s="6" t="s">
        <v>1797</v>
      </c>
      <c r="J1184" s="9">
        <v>6618701538</v>
      </c>
      <c r="K1184" s="68">
        <v>44408</v>
      </c>
      <c r="L1184" s="68" t="s">
        <v>230</v>
      </c>
      <c r="M1184" s="68">
        <v>45930</v>
      </c>
      <c r="N1184" s="69">
        <f t="shared" si="52"/>
        <v>-7</v>
      </c>
      <c r="O1184" s="69" t="str">
        <f t="shared" si="53"/>
        <v>N/A</v>
      </c>
      <c r="P1184" s="70">
        <v>7</v>
      </c>
      <c r="Q1184" s="70"/>
      <c r="R1184" s="70">
        <v>0</v>
      </c>
      <c r="S1184" s="68">
        <f t="shared" si="54"/>
        <v>45919</v>
      </c>
      <c r="T1184" s="68">
        <v>45919</v>
      </c>
      <c r="U1184" s="68"/>
      <c r="V1184" s="68"/>
      <c r="W1184" s="9"/>
      <c r="X1184" s="10"/>
      <c r="Y1184" s="65" t="str">
        <f t="shared" si="55"/>
        <v/>
      </c>
      <c r="Z1184" s="11" t="str">
        <f t="shared" si="56"/>
        <v/>
      </c>
      <c r="AA1184" s="73">
        <f t="shared" si="57"/>
        <v>-7</v>
      </c>
      <c r="AB1184" s="73">
        <f t="shared" si="58"/>
        <v>-7</v>
      </c>
      <c r="AC1184" s="11" t="str">
        <f t="shared" si="59"/>
        <v/>
      </c>
      <c r="AD1184" s="11" t="str">
        <f t="shared" si="60"/>
        <v/>
      </c>
      <c r="AE1184" s="73">
        <f t="shared" si="61"/>
        <v>-6.9988159999999997</v>
      </c>
      <c r="AF1184" s="73">
        <f t="shared" si="62"/>
        <v>-6.9988159999999997</v>
      </c>
      <c r="AG1184" s="11" t="str">
        <f t="shared" si="63"/>
        <v/>
      </c>
      <c r="AH1184" s="11" t="str">
        <f t="shared" si="64"/>
        <v/>
      </c>
    </row>
    <row r="1185" spans="1:34" ht="14.25" customHeight="1">
      <c r="A1185" s="11">
        <v>1170</v>
      </c>
      <c r="B1185" s="66" t="s">
        <v>35</v>
      </c>
      <c r="C1185" s="67">
        <v>45352</v>
      </c>
      <c r="D1185" s="67">
        <v>45265</v>
      </c>
      <c r="E1185" s="67"/>
      <c r="F1185" s="67"/>
      <c r="G1185" s="67"/>
      <c r="H1185" s="67"/>
      <c r="I1185" s="6" t="s">
        <v>1798</v>
      </c>
      <c r="J1185" s="9">
        <v>6628802745</v>
      </c>
      <c r="K1185" s="68">
        <v>45260</v>
      </c>
      <c r="L1185" s="68">
        <v>46022</v>
      </c>
      <c r="M1185" s="68">
        <v>46203</v>
      </c>
      <c r="N1185" s="69">
        <f t="shared" si="52"/>
        <v>15</v>
      </c>
      <c r="O1185" s="69">
        <f t="shared" si="53"/>
        <v>8</v>
      </c>
      <c r="P1185" s="70">
        <v>5</v>
      </c>
      <c r="Q1185" s="70">
        <v>12</v>
      </c>
      <c r="R1185" s="70">
        <v>20</v>
      </c>
      <c r="S1185" s="68" t="str">
        <f t="shared" si="54"/>
        <v/>
      </c>
      <c r="T1185" s="68"/>
      <c r="U1185" s="68"/>
      <c r="V1185" s="68"/>
      <c r="W1185" s="9"/>
      <c r="X1185" s="10"/>
      <c r="Y1185" s="71">
        <f t="shared" si="55"/>
        <v>12</v>
      </c>
      <c r="Z1185" s="73">
        <f t="shared" si="56"/>
        <v>20</v>
      </c>
      <c r="AA1185" s="73">
        <f t="shared" si="57"/>
        <v>15</v>
      </c>
      <c r="AB1185" s="11" t="str">
        <f t="shared" si="58"/>
        <v/>
      </c>
      <c r="AC1185" s="73">
        <f t="shared" si="59"/>
        <v>8</v>
      </c>
      <c r="AD1185" s="11" t="str">
        <f t="shared" si="60"/>
        <v/>
      </c>
      <c r="AE1185" s="73">
        <f t="shared" si="61"/>
        <v>15.001185</v>
      </c>
      <c r="AF1185" s="11" t="str">
        <f t="shared" si="62"/>
        <v/>
      </c>
      <c r="AG1185" s="73">
        <f t="shared" si="63"/>
        <v>8.0011849999999995</v>
      </c>
      <c r="AH1185" s="11" t="str">
        <f t="shared" si="64"/>
        <v/>
      </c>
    </row>
    <row r="1186" spans="1:34" ht="14.25" customHeight="1">
      <c r="A1186" s="11">
        <v>1171</v>
      </c>
      <c r="B1186" s="66" t="s">
        <v>35</v>
      </c>
      <c r="C1186" s="67">
        <v>44053</v>
      </c>
      <c r="D1186" s="67"/>
      <c r="E1186" s="67"/>
      <c r="F1186" s="67"/>
      <c r="G1186" s="67"/>
      <c r="H1186" s="67"/>
      <c r="I1186" s="6" t="s">
        <v>1799</v>
      </c>
      <c r="J1186" s="9">
        <v>6648100860</v>
      </c>
      <c r="K1186" s="68">
        <v>44043</v>
      </c>
      <c r="L1186" s="68">
        <v>46022</v>
      </c>
      <c r="M1186" s="68">
        <v>46203</v>
      </c>
      <c r="N1186" s="69">
        <f t="shared" si="52"/>
        <v>-1</v>
      </c>
      <c r="O1186" s="69">
        <f t="shared" si="53"/>
        <v>0</v>
      </c>
      <c r="P1186" s="70">
        <v>5</v>
      </c>
      <c r="Q1186" s="70">
        <v>4</v>
      </c>
      <c r="R1186" s="70">
        <v>4</v>
      </c>
      <c r="S1186" s="68" t="str">
        <f t="shared" si="54"/>
        <v/>
      </c>
      <c r="T1186" s="68"/>
      <c r="U1186" s="68"/>
      <c r="V1186" s="68"/>
      <c r="W1186" s="9"/>
      <c r="X1186" s="10"/>
      <c r="Y1186" s="71">
        <f t="shared" si="55"/>
        <v>4</v>
      </c>
      <c r="Z1186" s="73">
        <f t="shared" si="56"/>
        <v>4</v>
      </c>
      <c r="AA1186" s="73">
        <f t="shared" si="57"/>
        <v>-1</v>
      </c>
      <c r="AB1186" s="11" t="str">
        <f t="shared" si="58"/>
        <v/>
      </c>
      <c r="AC1186" s="73">
        <f t="shared" si="59"/>
        <v>0</v>
      </c>
      <c r="AD1186" s="11" t="str">
        <f t="shared" si="60"/>
        <v/>
      </c>
      <c r="AE1186" s="73">
        <f t="shared" si="61"/>
        <v>-0.99881399999999998</v>
      </c>
      <c r="AF1186" s="11" t="str">
        <f t="shared" si="62"/>
        <v/>
      </c>
      <c r="AG1186" s="73">
        <f t="shared" si="63"/>
        <v>1.186E-3</v>
      </c>
      <c r="AH1186" s="11" t="str">
        <f t="shared" si="64"/>
        <v/>
      </c>
    </row>
    <row r="1187" spans="1:34" ht="14.25" customHeight="1">
      <c r="A1187" s="11">
        <v>1172</v>
      </c>
      <c r="B1187" s="66"/>
      <c r="C1187" s="67"/>
      <c r="D1187" s="67"/>
      <c r="E1187" s="67"/>
      <c r="F1187" s="67"/>
      <c r="G1187" s="67" t="s">
        <v>35</v>
      </c>
      <c r="H1187" s="67">
        <v>45792</v>
      </c>
      <c r="I1187" s="6" t="s">
        <v>1800</v>
      </c>
      <c r="J1187" s="9">
        <v>6648101025</v>
      </c>
      <c r="K1187" s="68">
        <v>45777</v>
      </c>
      <c r="L1187" s="68">
        <v>46022</v>
      </c>
      <c r="M1187" s="68">
        <v>46203</v>
      </c>
      <c r="N1187" s="69">
        <f t="shared" si="52"/>
        <v>11</v>
      </c>
      <c r="O1187" s="69">
        <f t="shared" si="53"/>
        <v>4</v>
      </c>
      <c r="P1187" s="70">
        <v>21</v>
      </c>
      <c r="Q1187" s="70">
        <v>28</v>
      </c>
      <c r="R1187" s="70">
        <v>32</v>
      </c>
      <c r="S1187" s="68" t="str">
        <f t="shared" si="54"/>
        <v/>
      </c>
      <c r="T1187" s="68"/>
      <c r="U1187" s="68"/>
      <c r="V1187" s="68"/>
      <c r="W1187" s="9"/>
      <c r="X1187" s="10"/>
      <c r="Y1187" s="71">
        <f t="shared" si="55"/>
        <v>28</v>
      </c>
      <c r="Z1187" s="73">
        <f t="shared" si="56"/>
        <v>32</v>
      </c>
      <c r="AA1187" s="11" t="str">
        <f t="shared" si="57"/>
        <v/>
      </c>
      <c r="AB1187" s="73">
        <f t="shared" si="58"/>
        <v>11</v>
      </c>
      <c r="AC1187" s="11" t="str">
        <f t="shared" si="59"/>
        <v/>
      </c>
      <c r="AD1187" s="73">
        <f t="shared" si="60"/>
        <v>4</v>
      </c>
      <c r="AE1187" s="11" t="str">
        <f t="shared" si="61"/>
        <v/>
      </c>
      <c r="AF1187" s="73">
        <f t="shared" si="62"/>
        <v>11.001187</v>
      </c>
      <c r="AG1187" s="11" t="str">
        <f t="shared" si="63"/>
        <v/>
      </c>
      <c r="AH1187" s="73">
        <f t="shared" si="64"/>
        <v>4.0011869999999998</v>
      </c>
    </row>
    <row r="1188" spans="1:34" ht="14.25" customHeight="1">
      <c r="A1188" s="11">
        <v>1173</v>
      </c>
      <c r="B1188" s="66"/>
      <c r="C1188" s="67"/>
      <c r="D1188" s="67"/>
      <c r="E1188" s="67"/>
      <c r="F1188" s="67"/>
      <c r="G1188" s="67" t="s">
        <v>35</v>
      </c>
      <c r="H1188" s="67">
        <v>45490</v>
      </c>
      <c r="I1188" s="6" t="s">
        <v>1801</v>
      </c>
      <c r="J1188" s="9">
        <v>6648101307</v>
      </c>
      <c r="K1188" s="68">
        <v>45473</v>
      </c>
      <c r="L1188" s="68">
        <v>46022</v>
      </c>
      <c r="M1188" s="68">
        <v>46203</v>
      </c>
      <c r="N1188" s="69">
        <f t="shared" si="52"/>
        <v>11</v>
      </c>
      <c r="O1188" s="69">
        <f t="shared" si="53"/>
        <v>4</v>
      </c>
      <c r="P1188" s="70">
        <v>5</v>
      </c>
      <c r="Q1188" s="70">
        <v>12</v>
      </c>
      <c r="R1188" s="70">
        <v>16</v>
      </c>
      <c r="S1188" s="68" t="str">
        <f t="shared" si="54"/>
        <v/>
      </c>
      <c r="T1188" s="68"/>
      <c r="U1188" s="68"/>
      <c r="V1188" s="68"/>
      <c r="W1188" s="9"/>
      <c r="X1188" s="10"/>
      <c r="Y1188" s="71">
        <f t="shared" si="55"/>
        <v>12</v>
      </c>
      <c r="Z1188" s="73">
        <f t="shared" si="56"/>
        <v>16</v>
      </c>
      <c r="AA1188" s="11" t="str">
        <f t="shared" si="57"/>
        <v/>
      </c>
      <c r="AB1188" s="73">
        <f t="shared" si="58"/>
        <v>11</v>
      </c>
      <c r="AC1188" s="11" t="str">
        <f t="shared" si="59"/>
        <v/>
      </c>
      <c r="AD1188" s="73">
        <f t="shared" si="60"/>
        <v>4</v>
      </c>
      <c r="AE1188" s="11" t="str">
        <f t="shared" si="61"/>
        <v/>
      </c>
      <c r="AF1188" s="73">
        <f t="shared" si="62"/>
        <v>11.001188000000001</v>
      </c>
      <c r="AG1188" s="11" t="str">
        <f t="shared" si="63"/>
        <v/>
      </c>
      <c r="AH1188" s="73">
        <f t="shared" si="64"/>
        <v>4.001188</v>
      </c>
    </row>
    <row r="1189" spans="1:34" ht="14.25" customHeight="1">
      <c r="A1189" s="11">
        <v>1174</v>
      </c>
      <c r="B1189" s="66" t="s">
        <v>35</v>
      </c>
      <c r="C1189" s="67">
        <v>45536</v>
      </c>
      <c r="D1189" s="67"/>
      <c r="E1189" s="67"/>
      <c r="F1189" s="67"/>
      <c r="G1189" s="67"/>
      <c r="H1189" s="67"/>
      <c r="I1189" s="6" t="s">
        <v>1802</v>
      </c>
      <c r="J1189" s="9">
        <v>6658103195</v>
      </c>
      <c r="K1189" s="68">
        <v>45535</v>
      </c>
      <c r="L1189" s="68">
        <v>46022</v>
      </c>
      <c r="M1189" s="68">
        <v>46203</v>
      </c>
      <c r="N1189" s="69">
        <f t="shared" si="52"/>
        <v>2</v>
      </c>
      <c r="O1189" s="69">
        <f t="shared" si="53"/>
        <v>2</v>
      </c>
      <c r="P1189" s="70">
        <v>6</v>
      </c>
      <c r="Q1189" s="70">
        <v>6</v>
      </c>
      <c r="R1189" s="70">
        <v>8</v>
      </c>
      <c r="S1189" s="68" t="str">
        <f t="shared" si="54"/>
        <v/>
      </c>
      <c r="T1189" s="68"/>
      <c r="U1189" s="68"/>
      <c r="V1189" s="68"/>
      <c r="W1189" s="9"/>
      <c r="X1189" s="10"/>
      <c r="Y1189" s="71">
        <f t="shared" si="55"/>
        <v>6</v>
      </c>
      <c r="Z1189" s="73">
        <f t="shared" si="56"/>
        <v>8</v>
      </c>
      <c r="AA1189" s="73">
        <f t="shared" si="57"/>
        <v>2</v>
      </c>
      <c r="AB1189" s="11" t="str">
        <f t="shared" si="58"/>
        <v/>
      </c>
      <c r="AC1189" s="73">
        <f t="shared" si="59"/>
        <v>2</v>
      </c>
      <c r="AD1189" s="11" t="str">
        <f t="shared" si="60"/>
        <v/>
      </c>
      <c r="AE1189" s="73">
        <f t="shared" si="61"/>
        <v>2.0011890000000001</v>
      </c>
      <c r="AF1189" s="11" t="str">
        <f t="shared" si="62"/>
        <v/>
      </c>
      <c r="AG1189" s="73">
        <f t="shared" si="63"/>
        <v>2.0011890000000001</v>
      </c>
      <c r="AH1189" s="11" t="str">
        <f t="shared" si="64"/>
        <v/>
      </c>
    </row>
    <row r="1190" spans="1:34" ht="14.25" customHeight="1">
      <c r="A1190" s="11">
        <v>1175</v>
      </c>
      <c r="B1190" s="66"/>
      <c r="C1190" s="67"/>
      <c r="D1190" s="67"/>
      <c r="E1190" s="67"/>
      <c r="F1190" s="67"/>
      <c r="G1190" s="67" t="s">
        <v>283</v>
      </c>
      <c r="H1190" s="67">
        <v>43742</v>
      </c>
      <c r="I1190" s="6" t="s">
        <v>1803</v>
      </c>
      <c r="J1190" s="9">
        <v>6658700827</v>
      </c>
      <c r="K1190" s="68">
        <v>43738</v>
      </c>
      <c r="L1190" s="68" t="s">
        <v>230</v>
      </c>
      <c r="M1190" s="68">
        <v>45747</v>
      </c>
      <c r="N1190" s="69">
        <f t="shared" si="52"/>
        <v>19</v>
      </c>
      <c r="O1190" s="69" t="str">
        <f t="shared" si="53"/>
        <v>N/A</v>
      </c>
      <c r="P1190" s="70">
        <v>5</v>
      </c>
      <c r="Q1190" s="70"/>
      <c r="R1190" s="70">
        <v>24</v>
      </c>
      <c r="S1190" s="68">
        <f t="shared" si="54"/>
        <v>45721</v>
      </c>
      <c r="T1190" s="68">
        <v>46203</v>
      </c>
      <c r="U1190" s="68"/>
      <c r="V1190" s="68"/>
      <c r="W1190" s="68">
        <v>45721</v>
      </c>
      <c r="X1190" s="10"/>
      <c r="Y1190" s="65" t="str">
        <f t="shared" si="55"/>
        <v/>
      </c>
      <c r="Z1190" s="11" t="str">
        <f t="shared" si="56"/>
        <v/>
      </c>
      <c r="AA1190" s="11" t="str">
        <f t="shared" si="57"/>
        <v/>
      </c>
      <c r="AB1190" s="73">
        <f t="shared" si="58"/>
        <v>19</v>
      </c>
      <c r="AC1190" s="11" t="str">
        <f t="shared" si="59"/>
        <v/>
      </c>
      <c r="AD1190" s="11" t="str">
        <f t="shared" si="60"/>
        <v/>
      </c>
      <c r="AE1190" s="11" t="str">
        <f t="shared" si="61"/>
        <v/>
      </c>
      <c r="AF1190" s="73">
        <f t="shared" si="62"/>
        <v>19.001190000000001</v>
      </c>
      <c r="AG1190" s="11" t="str">
        <f t="shared" si="63"/>
        <v/>
      </c>
      <c r="AH1190" s="11" t="str">
        <f t="shared" si="64"/>
        <v/>
      </c>
    </row>
    <row r="1191" spans="1:34" ht="14.25" customHeight="1">
      <c r="A1191" s="11">
        <v>1176</v>
      </c>
      <c r="B1191" s="66" t="s">
        <v>35</v>
      </c>
      <c r="C1191" s="67">
        <v>42944</v>
      </c>
      <c r="D1191" s="67"/>
      <c r="E1191" s="67"/>
      <c r="F1191" s="67"/>
      <c r="G1191" s="67"/>
      <c r="H1191" s="67"/>
      <c r="I1191" s="6" t="s">
        <v>1804</v>
      </c>
      <c r="J1191" s="9">
        <v>6668700679</v>
      </c>
      <c r="K1191" s="68">
        <v>42916</v>
      </c>
      <c r="L1191" s="68">
        <v>46022</v>
      </c>
      <c r="M1191" s="68">
        <v>46203</v>
      </c>
      <c r="N1191" s="69">
        <f t="shared" si="52"/>
        <v>-3</v>
      </c>
      <c r="O1191" s="69">
        <f t="shared" si="53"/>
        <v>0</v>
      </c>
      <c r="P1191" s="70">
        <v>4</v>
      </c>
      <c r="Q1191" s="70">
        <v>1</v>
      </c>
      <c r="R1191" s="70">
        <v>1</v>
      </c>
      <c r="S1191" s="68" t="str">
        <f t="shared" si="54"/>
        <v/>
      </c>
      <c r="T1191" s="68"/>
      <c r="U1191" s="68"/>
      <c r="V1191" s="68"/>
      <c r="W1191" s="9"/>
      <c r="X1191" s="10"/>
      <c r="Y1191" s="71">
        <f t="shared" si="55"/>
        <v>1</v>
      </c>
      <c r="Z1191" s="73">
        <f t="shared" si="56"/>
        <v>1</v>
      </c>
      <c r="AA1191" s="73">
        <f t="shared" si="57"/>
        <v>-3</v>
      </c>
      <c r="AB1191" s="11" t="str">
        <f t="shared" si="58"/>
        <v/>
      </c>
      <c r="AC1191" s="73">
        <f t="shared" si="59"/>
        <v>0</v>
      </c>
      <c r="AD1191" s="11" t="str">
        <f t="shared" si="60"/>
        <v/>
      </c>
      <c r="AE1191" s="73">
        <f t="shared" si="61"/>
        <v>-2.9988090000000001</v>
      </c>
      <c r="AF1191" s="11" t="str">
        <f t="shared" si="62"/>
        <v/>
      </c>
      <c r="AG1191" s="73">
        <f t="shared" si="63"/>
        <v>1.191E-3</v>
      </c>
      <c r="AH1191" s="11" t="str">
        <f t="shared" si="64"/>
        <v/>
      </c>
    </row>
    <row r="1192" spans="1:34" ht="14.25" customHeight="1">
      <c r="A1192" s="11">
        <v>1177</v>
      </c>
      <c r="B1192" s="66"/>
      <c r="C1192" s="67"/>
      <c r="D1192" s="67"/>
      <c r="E1192" s="67"/>
      <c r="F1192" s="67"/>
      <c r="G1192" s="67" t="s">
        <v>35</v>
      </c>
      <c r="H1192" s="67">
        <v>43361</v>
      </c>
      <c r="I1192" s="6" t="s">
        <v>1805</v>
      </c>
      <c r="J1192" s="9">
        <v>6668701227</v>
      </c>
      <c r="K1192" s="68">
        <v>43343</v>
      </c>
      <c r="L1192" s="68">
        <v>46022</v>
      </c>
      <c r="M1192" s="68">
        <v>46203</v>
      </c>
      <c r="N1192" s="69">
        <f t="shared" si="52"/>
        <v>19</v>
      </c>
      <c r="O1192" s="69">
        <f t="shared" si="53"/>
        <v>2</v>
      </c>
      <c r="P1192" s="70">
        <v>0</v>
      </c>
      <c r="Q1192" s="70">
        <v>17</v>
      </c>
      <c r="R1192" s="70">
        <v>19</v>
      </c>
      <c r="S1192" s="68" t="str">
        <f t="shared" si="54"/>
        <v/>
      </c>
      <c r="T1192" s="68"/>
      <c r="U1192" s="68"/>
      <c r="V1192" s="68"/>
      <c r="W1192" s="9"/>
      <c r="X1192" s="10"/>
      <c r="Y1192" s="71">
        <f t="shared" si="55"/>
        <v>17</v>
      </c>
      <c r="Z1192" s="73">
        <f t="shared" si="56"/>
        <v>19</v>
      </c>
      <c r="AA1192" s="11" t="str">
        <f t="shared" si="57"/>
        <v/>
      </c>
      <c r="AB1192" s="73">
        <f t="shared" si="58"/>
        <v>19</v>
      </c>
      <c r="AC1192" s="11" t="str">
        <f t="shared" si="59"/>
        <v/>
      </c>
      <c r="AD1192" s="73">
        <f t="shared" si="60"/>
        <v>2</v>
      </c>
      <c r="AE1192" s="11" t="str">
        <f t="shared" si="61"/>
        <v/>
      </c>
      <c r="AF1192" s="73">
        <f t="shared" si="62"/>
        <v>19.001192</v>
      </c>
      <c r="AG1192" s="11" t="str">
        <f t="shared" si="63"/>
        <v/>
      </c>
      <c r="AH1192" s="73">
        <f t="shared" si="64"/>
        <v>2.0011920000000001</v>
      </c>
    </row>
    <row r="1193" spans="1:34" ht="14.25" customHeight="1">
      <c r="A1193" s="11">
        <v>1178</v>
      </c>
      <c r="B1193" s="66" t="s">
        <v>35</v>
      </c>
      <c r="C1193" s="67"/>
      <c r="D1193" s="67"/>
      <c r="E1193" s="67"/>
      <c r="F1193" s="67">
        <v>46154</v>
      </c>
      <c r="G1193" s="67"/>
      <c r="H1193" s="67"/>
      <c r="I1193" s="6" t="s">
        <v>1806</v>
      </c>
      <c r="J1193" s="37">
        <v>6668701737</v>
      </c>
      <c r="K1193" s="68">
        <v>46142</v>
      </c>
      <c r="L1193" s="68" t="s">
        <v>230</v>
      </c>
      <c r="M1193" s="68">
        <v>46203</v>
      </c>
      <c r="N1193" s="69">
        <f t="shared" si="52"/>
        <v>-1</v>
      </c>
      <c r="O1193" s="69">
        <f t="shared" si="53"/>
        <v>-1</v>
      </c>
      <c r="P1193" s="70">
        <v>11</v>
      </c>
      <c r="Q1193" s="70"/>
      <c r="R1193" s="70">
        <v>10</v>
      </c>
      <c r="S1193" s="68" t="str">
        <f t="shared" si="54"/>
        <v/>
      </c>
      <c r="T1193" s="68"/>
      <c r="U1193" s="95"/>
      <c r="V1193" s="68"/>
      <c r="W1193" s="6"/>
      <c r="X1193" s="93"/>
      <c r="Y1193" s="71">
        <f t="shared" si="55"/>
        <v>11</v>
      </c>
      <c r="Z1193" s="73">
        <f t="shared" si="56"/>
        <v>10</v>
      </c>
      <c r="AA1193" s="73">
        <f t="shared" si="57"/>
        <v>-1</v>
      </c>
      <c r="AB1193" s="11" t="str">
        <f t="shared" si="58"/>
        <v/>
      </c>
      <c r="AC1193" s="73">
        <f t="shared" si="59"/>
        <v>-1</v>
      </c>
      <c r="AD1193" s="11" t="str">
        <f t="shared" si="60"/>
        <v/>
      </c>
      <c r="AE1193" s="73">
        <f t="shared" si="61"/>
        <v>-0.998807</v>
      </c>
      <c r="AF1193" s="11" t="str">
        <f t="shared" si="62"/>
        <v/>
      </c>
      <c r="AG1193" s="73">
        <f t="shared" si="63"/>
        <v>-0.998807</v>
      </c>
      <c r="AH1193" s="11" t="str">
        <f t="shared" si="64"/>
        <v/>
      </c>
    </row>
    <row r="1194" spans="1:34" ht="14.25" customHeight="1">
      <c r="A1194" s="11">
        <v>1179</v>
      </c>
      <c r="B1194" s="66" t="s">
        <v>35</v>
      </c>
      <c r="C1194" s="67">
        <v>45931</v>
      </c>
      <c r="D1194" s="67"/>
      <c r="E1194" s="67">
        <v>45944</v>
      </c>
      <c r="F1194" s="67"/>
      <c r="G1194" s="67" t="s">
        <v>35</v>
      </c>
      <c r="H1194" s="67">
        <v>46003</v>
      </c>
      <c r="I1194" s="6" t="s">
        <v>1807</v>
      </c>
      <c r="J1194" s="9">
        <v>6668702925</v>
      </c>
      <c r="K1194" s="68">
        <v>45930</v>
      </c>
      <c r="L1194" s="68">
        <v>46022</v>
      </c>
      <c r="M1194" s="68">
        <v>46203</v>
      </c>
      <c r="N1194" s="69">
        <f t="shared" si="52"/>
        <v>0</v>
      </c>
      <c r="O1194" s="69">
        <f t="shared" si="53"/>
        <v>0</v>
      </c>
      <c r="P1194" s="70">
        <v>5</v>
      </c>
      <c r="Q1194" s="70">
        <v>5</v>
      </c>
      <c r="R1194" s="70">
        <v>5</v>
      </c>
      <c r="S1194" s="68" t="str">
        <f t="shared" si="54"/>
        <v/>
      </c>
      <c r="T1194" s="68"/>
      <c r="U1194" s="68"/>
      <c r="V1194" s="68"/>
      <c r="W1194" s="9"/>
      <c r="X1194" s="10"/>
      <c r="Y1194" s="71">
        <f t="shared" si="55"/>
        <v>5</v>
      </c>
      <c r="Z1194" s="73">
        <f t="shared" si="56"/>
        <v>5</v>
      </c>
      <c r="AA1194" s="73">
        <f t="shared" si="57"/>
        <v>0</v>
      </c>
      <c r="AB1194" s="73">
        <f t="shared" si="58"/>
        <v>0</v>
      </c>
      <c r="AC1194" s="73">
        <f t="shared" si="59"/>
        <v>0</v>
      </c>
      <c r="AD1194" s="73">
        <f t="shared" si="60"/>
        <v>0</v>
      </c>
      <c r="AE1194" s="73">
        <f t="shared" si="61"/>
        <v>1.194E-3</v>
      </c>
      <c r="AF1194" s="73">
        <f t="shared" si="62"/>
        <v>1.194E-3</v>
      </c>
      <c r="AG1194" s="73">
        <f t="shared" si="63"/>
        <v>1.194E-3</v>
      </c>
      <c r="AH1194" s="73">
        <f t="shared" si="64"/>
        <v>1.194E-3</v>
      </c>
    </row>
    <row r="1195" spans="1:34" ht="14.25" customHeight="1">
      <c r="A1195" s="11">
        <v>1180</v>
      </c>
      <c r="B1195" s="66"/>
      <c r="C1195" s="67"/>
      <c r="D1195" s="67"/>
      <c r="E1195" s="67"/>
      <c r="F1195" s="67"/>
      <c r="G1195" s="67" t="s">
        <v>35</v>
      </c>
      <c r="H1195" s="67">
        <v>45912</v>
      </c>
      <c r="I1195" s="6" t="s">
        <v>1808</v>
      </c>
      <c r="J1195" s="94">
        <v>6678702350</v>
      </c>
      <c r="K1195" s="68">
        <v>45900</v>
      </c>
      <c r="L1195" s="68">
        <v>46022</v>
      </c>
      <c r="M1195" s="68">
        <v>46203</v>
      </c>
      <c r="N1195" s="69">
        <f t="shared" si="52"/>
        <v>23</v>
      </c>
      <c r="O1195" s="69">
        <f t="shared" si="53"/>
        <v>19</v>
      </c>
      <c r="P1195" s="70">
        <v>12</v>
      </c>
      <c r="Q1195" s="70">
        <v>16</v>
      </c>
      <c r="R1195" s="70">
        <v>35</v>
      </c>
      <c r="S1195" s="68" t="str">
        <f t="shared" si="54"/>
        <v/>
      </c>
      <c r="T1195" s="68"/>
      <c r="U1195" s="95"/>
      <c r="V1195" s="68"/>
      <c r="W1195" s="6"/>
      <c r="X1195" s="10"/>
      <c r="Y1195" s="71">
        <f t="shared" si="55"/>
        <v>16</v>
      </c>
      <c r="Z1195" s="73">
        <f t="shared" si="56"/>
        <v>35</v>
      </c>
      <c r="AA1195" s="11" t="str">
        <f t="shared" si="57"/>
        <v/>
      </c>
      <c r="AB1195" s="73">
        <f t="shared" si="58"/>
        <v>23</v>
      </c>
      <c r="AC1195" s="11" t="str">
        <f t="shared" si="59"/>
        <v/>
      </c>
      <c r="AD1195" s="73">
        <f t="shared" si="60"/>
        <v>19</v>
      </c>
      <c r="AE1195" s="11" t="str">
        <f t="shared" si="61"/>
        <v/>
      </c>
      <c r="AF1195" s="73">
        <f t="shared" si="62"/>
        <v>23.001194999999999</v>
      </c>
      <c r="AG1195" s="11" t="str">
        <f t="shared" si="63"/>
        <v/>
      </c>
      <c r="AH1195" s="73">
        <f t="shared" si="64"/>
        <v>19.001194999999999</v>
      </c>
    </row>
    <row r="1196" spans="1:34" ht="14.25" customHeight="1">
      <c r="A1196" s="11">
        <v>1181</v>
      </c>
      <c r="B1196" s="66"/>
      <c r="C1196" s="67"/>
      <c r="D1196" s="67"/>
      <c r="E1196" s="67"/>
      <c r="F1196" s="67"/>
      <c r="G1196" s="67" t="s">
        <v>24</v>
      </c>
      <c r="H1196" s="67">
        <v>44050</v>
      </c>
      <c r="I1196" s="6" t="s">
        <v>1809</v>
      </c>
      <c r="J1196" s="9">
        <v>6698701717</v>
      </c>
      <c r="K1196" s="68">
        <v>44043</v>
      </c>
      <c r="L1196" s="68" t="s">
        <v>230</v>
      </c>
      <c r="M1196" s="68">
        <v>45657</v>
      </c>
      <c r="N1196" s="69">
        <f t="shared" si="52"/>
        <v>0</v>
      </c>
      <c r="O1196" s="69" t="str">
        <f t="shared" si="53"/>
        <v>N/A</v>
      </c>
      <c r="P1196" s="70">
        <v>0</v>
      </c>
      <c r="Q1196" s="70"/>
      <c r="R1196" s="70">
        <v>0</v>
      </c>
      <c r="S1196" s="68">
        <f t="shared" si="54"/>
        <v>45628</v>
      </c>
      <c r="T1196" s="68">
        <v>45628</v>
      </c>
      <c r="U1196" s="68"/>
      <c r="V1196" s="68"/>
      <c r="W1196" s="9"/>
      <c r="X1196" s="10"/>
      <c r="Y1196" s="65" t="str">
        <f t="shared" si="55"/>
        <v/>
      </c>
      <c r="Z1196" s="11" t="str">
        <f t="shared" si="56"/>
        <v/>
      </c>
      <c r="AA1196" s="11" t="str">
        <f t="shared" si="57"/>
        <v/>
      </c>
      <c r="AB1196" s="73">
        <f t="shared" si="58"/>
        <v>0</v>
      </c>
      <c r="AC1196" s="11" t="str">
        <f t="shared" si="59"/>
        <v/>
      </c>
      <c r="AD1196" s="11" t="str">
        <f t="shared" si="60"/>
        <v/>
      </c>
      <c r="AE1196" s="11" t="str">
        <f t="shared" si="61"/>
        <v/>
      </c>
      <c r="AF1196" s="73">
        <f t="shared" si="62"/>
        <v>1.196E-3</v>
      </c>
      <c r="AG1196" s="11" t="str">
        <f t="shared" si="63"/>
        <v/>
      </c>
      <c r="AH1196" s="11" t="str">
        <f t="shared" si="64"/>
        <v/>
      </c>
    </row>
    <row r="1197" spans="1:34" ht="14.25" customHeight="1">
      <c r="A1197" s="11">
        <v>1182</v>
      </c>
      <c r="B1197" s="66" t="s">
        <v>35</v>
      </c>
      <c r="C1197" s="67">
        <v>45658</v>
      </c>
      <c r="D1197" s="67">
        <v>45250</v>
      </c>
      <c r="E1197" s="67">
        <v>45658</v>
      </c>
      <c r="F1197" s="67"/>
      <c r="G1197" s="67"/>
      <c r="H1197" s="67"/>
      <c r="I1197" s="6" t="s">
        <v>1810</v>
      </c>
      <c r="J1197" s="9">
        <v>6698801204</v>
      </c>
      <c r="K1197" s="68">
        <v>45230</v>
      </c>
      <c r="L1197" s="68">
        <v>46022</v>
      </c>
      <c r="M1197" s="68">
        <v>46203</v>
      </c>
      <c r="N1197" s="69">
        <f t="shared" si="52"/>
        <v>7</v>
      </c>
      <c r="O1197" s="69">
        <f t="shared" si="53"/>
        <v>0</v>
      </c>
      <c r="P1197" s="70">
        <v>21</v>
      </c>
      <c r="Q1197" s="70">
        <v>28</v>
      </c>
      <c r="R1197" s="70">
        <v>28</v>
      </c>
      <c r="S1197" s="68" t="str">
        <f t="shared" si="54"/>
        <v/>
      </c>
      <c r="T1197" s="68"/>
      <c r="U1197" s="68"/>
      <c r="V1197" s="68"/>
      <c r="W1197" s="9"/>
      <c r="X1197" s="10"/>
      <c r="Y1197" s="71">
        <f t="shared" si="55"/>
        <v>28</v>
      </c>
      <c r="Z1197" s="73">
        <f t="shared" si="56"/>
        <v>28</v>
      </c>
      <c r="AA1197" s="73">
        <f t="shared" si="57"/>
        <v>7</v>
      </c>
      <c r="AB1197" s="11" t="str">
        <f t="shared" si="58"/>
        <v/>
      </c>
      <c r="AC1197" s="73">
        <f t="shared" si="59"/>
        <v>0</v>
      </c>
      <c r="AD1197" s="11" t="str">
        <f t="shared" si="60"/>
        <v/>
      </c>
      <c r="AE1197" s="73">
        <f t="shared" si="61"/>
        <v>7.0011970000000003</v>
      </c>
      <c r="AF1197" s="11" t="str">
        <f t="shared" si="62"/>
        <v/>
      </c>
      <c r="AG1197" s="73">
        <f t="shared" si="63"/>
        <v>1.1969999999999999E-3</v>
      </c>
      <c r="AH1197" s="11" t="str">
        <f t="shared" si="64"/>
        <v/>
      </c>
    </row>
    <row r="1198" spans="1:34" ht="14.25" customHeight="1">
      <c r="A1198" s="11">
        <v>1183</v>
      </c>
      <c r="B1198" s="66"/>
      <c r="C1198" s="67"/>
      <c r="D1198" s="67"/>
      <c r="E1198" s="67"/>
      <c r="F1198" s="67"/>
      <c r="G1198" s="67" t="s">
        <v>35</v>
      </c>
      <c r="H1198" s="67">
        <v>45183</v>
      </c>
      <c r="I1198" s="6" t="s">
        <v>1811</v>
      </c>
      <c r="J1198" s="9">
        <v>6708800904</v>
      </c>
      <c r="K1198" s="68">
        <v>45169</v>
      </c>
      <c r="L1198" s="68">
        <v>46022</v>
      </c>
      <c r="M1198" s="68">
        <v>46203</v>
      </c>
      <c r="N1198" s="69">
        <f t="shared" si="52"/>
        <v>-4</v>
      </c>
      <c r="O1198" s="69">
        <f t="shared" si="53"/>
        <v>-5</v>
      </c>
      <c r="P1198" s="70">
        <v>15</v>
      </c>
      <c r="Q1198" s="70">
        <v>16</v>
      </c>
      <c r="R1198" s="70">
        <v>11</v>
      </c>
      <c r="S1198" s="68" t="str">
        <f t="shared" si="54"/>
        <v/>
      </c>
      <c r="T1198" s="68"/>
      <c r="U1198" s="68"/>
      <c r="V1198" s="68"/>
      <c r="W1198" s="9"/>
      <c r="X1198" s="10"/>
      <c r="Y1198" s="71">
        <f t="shared" si="55"/>
        <v>16</v>
      </c>
      <c r="Z1198" s="73">
        <f t="shared" si="56"/>
        <v>11</v>
      </c>
      <c r="AA1198" s="11" t="str">
        <f t="shared" si="57"/>
        <v/>
      </c>
      <c r="AB1198" s="73">
        <f t="shared" si="58"/>
        <v>-4</v>
      </c>
      <c r="AC1198" s="11" t="str">
        <f t="shared" si="59"/>
        <v/>
      </c>
      <c r="AD1198" s="73">
        <f t="shared" si="60"/>
        <v>-5</v>
      </c>
      <c r="AE1198" s="11" t="str">
        <f t="shared" si="61"/>
        <v/>
      </c>
      <c r="AF1198" s="73">
        <f t="shared" si="62"/>
        <v>-3.998802</v>
      </c>
      <c r="AG1198" s="11" t="str">
        <f t="shared" si="63"/>
        <v/>
      </c>
      <c r="AH1198" s="73">
        <f t="shared" si="64"/>
        <v>-4.9988020000000004</v>
      </c>
    </row>
    <row r="1199" spans="1:34" ht="14.25" customHeight="1">
      <c r="A1199" s="11">
        <v>1184</v>
      </c>
      <c r="B1199" s="66"/>
      <c r="C1199" s="67"/>
      <c r="D1199" s="67"/>
      <c r="E1199" s="67"/>
      <c r="F1199" s="67"/>
      <c r="G1199" s="67" t="s">
        <v>35</v>
      </c>
      <c r="H1199" s="67">
        <v>44103</v>
      </c>
      <c r="I1199" s="6" t="s">
        <v>1812</v>
      </c>
      <c r="J1199" s="9">
        <v>6718100456</v>
      </c>
      <c r="K1199" s="68">
        <v>44074</v>
      </c>
      <c r="L1199" s="68">
        <v>46022</v>
      </c>
      <c r="M1199" s="68">
        <v>46203</v>
      </c>
      <c r="N1199" s="69">
        <f t="shared" si="52"/>
        <v>-3</v>
      </c>
      <c r="O1199" s="69">
        <f t="shared" si="53"/>
        <v>-1</v>
      </c>
      <c r="P1199" s="70">
        <v>6</v>
      </c>
      <c r="Q1199" s="70">
        <v>4</v>
      </c>
      <c r="R1199" s="70">
        <v>3</v>
      </c>
      <c r="S1199" s="68" t="str">
        <f t="shared" si="54"/>
        <v/>
      </c>
      <c r="T1199" s="68"/>
      <c r="U1199" s="68"/>
      <c r="V1199" s="68"/>
      <c r="W1199" s="9"/>
      <c r="X1199" s="10"/>
      <c r="Y1199" s="71">
        <f t="shared" si="55"/>
        <v>4</v>
      </c>
      <c r="Z1199" s="73">
        <f t="shared" si="56"/>
        <v>3</v>
      </c>
      <c r="AA1199" s="11" t="str">
        <f t="shared" si="57"/>
        <v/>
      </c>
      <c r="AB1199" s="73">
        <f t="shared" si="58"/>
        <v>-3</v>
      </c>
      <c r="AC1199" s="11" t="str">
        <f t="shared" si="59"/>
        <v/>
      </c>
      <c r="AD1199" s="73">
        <f t="shared" si="60"/>
        <v>-1</v>
      </c>
      <c r="AE1199" s="11" t="str">
        <f t="shared" si="61"/>
        <v/>
      </c>
      <c r="AF1199" s="73">
        <f t="shared" si="62"/>
        <v>-2.9988009999999998</v>
      </c>
      <c r="AG1199" s="11" t="str">
        <f t="shared" si="63"/>
        <v/>
      </c>
      <c r="AH1199" s="73">
        <f t="shared" si="64"/>
        <v>-0.99880100000000005</v>
      </c>
    </row>
    <row r="1200" spans="1:34" ht="14.25" customHeight="1">
      <c r="A1200" s="11">
        <v>1185</v>
      </c>
      <c r="B1200" s="66"/>
      <c r="C1200" s="67"/>
      <c r="D1200" s="67"/>
      <c r="E1200" s="67"/>
      <c r="F1200" s="67"/>
      <c r="G1200" s="67" t="s">
        <v>35</v>
      </c>
      <c r="H1200" s="67">
        <v>43874</v>
      </c>
      <c r="I1200" s="6" t="s">
        <v>1813</v>
      </c>
      <c r="J1200" s="9">
        <v>6718100780</v>
      </c>
      <c r="K1200" s="68">
        <v>43861</v>
      </c>
      <c r="L1200" s="68">
        <v>46022</v>
      </c>
      <c r="M1200" s="68">
        <v>46203</v>
      </c>
      <c r="N1200" s="69">
        <f t="shared" si="52"/>
        <v>43</v>
      </c>
      <c r="O1200" s="69">
        <f t="shared" si="53"/>
        <v>15</v>
      </c>
      <c r="P1200" s="70">
        <v>16</v>
      </c>
      <c r="Q1200" s="70">
        <v>44</v>
      </c>
      <c r="R1200" s="70">
        <v>59</v>
      </c>
      <c r="S1200" s="68" t="str">
        <f t="shared" si="54"/>
        <v/>
      </c>
      <c r="T1200" s="68"/>
      <c r="U1200" s="68"/>
      <c r="V1200" s="68"/>
      <c r="W1200" s="9"/>
      <c r="X1200" s="10"/>
      <c r="Y1200" s="71">
        <f t="shared" si="55"/>
        <v>44</v>
      </c>
      <c r="Z1200" s="73">
        <f t="shared" si="56"/>
        <v>59</v>
      </c>
      <c r="AA1200" s="11" t="str">
        <f t="shared" si="57"/>
        <v/>
      </c>
      <c r="AB1200" s="73">
        <f t="shared" si="58"/>
        <v>43</v>
      </c>
      <c r="AC1200" s="11" t="str">
        <f t="shared" si="59"/>
        <v/>
      </c>
      <c r="AD1200" s="73">
        <f t="shared" si="60"/>
        <v>15</v>
      </c>
      <c r="AE1200" s="11" t="str">
        <f t="shared" si="61"/>
        <v/>
      </c>
      <c r="AF1200" s="73">
        <f t="shared" si="62"/>
        <v>43.001199999999997</v>
      </c>
      <c r="AG1200" s="11" t="str">
        <f t="shared" si="63"/>
        <v/>
      </c>
      <c r="AH1200" s="73">
        <f t="shared" si="64"/>
        <v>15.001200000000001</v>
      </c>
    </row>
    <row r="1201" spans="1:34" ht="14.25" customHeight="1">
      <c r="A1201" s="11">
        <v>1186</v>
      </c>
      <c r="B1201" s="66" t="s">
        <v>35</v>
      </c>
      <c r="C1201" s="67"/>
      <c r="D1201" s="67"/>
      <c r="E1201" s="67"/>
      <c r="F1201" s="67">
        <v>46184</v>
      </c>
      <c r="G1201" s="67"/>
      <c r="H1201" s="67"/>
      <c r="I1201" s="6" t="s">
        <v>1814</v>
      </c>
      <c r="J1201" s="37">
        <v>6718801814</v>
      </c>
      <c r="K1201" s="68">
        <v>46173</v>
      </c>
      <c r="L1201" s="68" t="s">
        <v>230</v>
      </c>
      <c r="M1201" s="68">
        <v>46203</v>
      </c>
      <c r="N1201" s="69">
        <f t="shared" si="52"/>
        <v>5</v>
      </c>
      <c r="O1201" s="69">
        <f t="shared" si="53"/>
        <v>5</v>
      </c>
      <c r="P1201" s="70">
        <v>154</v>
      </c>
      <c r="Q1201" s="70"/>
      <c r="R1201" s="70">
        <v>159</v>
      </c>
      <c r="S1201" s="68" t="str">
        <f t="shared" si="54"/>
        <v/>
      </c>
      <c r="T1201" s="68"/>
      <c r="U1201" s="95"/>
      <c r="V1201" s="68"/>
      <c r="W1201" s="6"/>
      <c r="X1201" s="93"/>
      <c r="Y1201" s="71">
        <f t="shared" si="55"/>
        <v>154</v>
      </c>
      <c r="Z1201" s="73">
        <f t="shared" si="56"/>
        <v>159</v>
      </c>
      <c r="AA1201" s="73">
        <f t="shared" si="57"/>
        <v>5</v>
      </c>
      <c r="AB1201" s="11" t="str">
        <f t="shared" si="58"/>
        <v/>
      </c>
      <c r="AC1201" s="73">
        <f t="shared" si="59"/>
        <v>5</v>
      </c>
      <c r="AD1201" s="11" t="str">
        <f t="shared" si="60"/>
        <v/>
      </c>
      <c r="AE1201" s="73">
        <f t="shared" si="61"/>
        <v>5.001201</v>
      </c>
      <c r="AF1201" s="11" t="str">
        <f t="shared" si="62"/>
        <v/>
      </c>
      <c r="AG1201" s="73">
        <f t="shared" si="63"/>
        <v>5.001201</v>
      </c>
      <c r="AH1201" s="11" t="str">
        <f t="shared" si="64"/>
        <v/>
      </c>
    </row>
    <row r="1202" spans="1:34" ht="14.25" customHeight="1">
      <c r="A1202" s="11">
        <v>1187</v>
      </c>
      <c r="B1202" s="66"/>
      <c r="C1202" s="67"/>
      <c r="D1202" s="67"/>
      <c r="E1202" s="67"/>
      <c r="F1202" s="67"/>
      <c r="G1202" s="67" t="s">
        <v>35</v>
      </c>
      <c r="H1202" s="67">
        <v>45271</v>
      </c>
      <c r="I1202" s="6" t="s">
        <v>1815</v>
      </c>
      <c r="J1202" s="9">
        <v>6718802910</v>
      </c>
      <c r="K1202" s="68">
        <v>45260</v>
      </c>
      <c r="L1202" s="68">
        <v>46022</v>
      </c>
      <c r="M1202" s="68">
        <v>46203</v>
      </c>
      <c r="N1202" s="69">
        <f t="shared" si="52"/>
        <v>3</v>
      </c>
      <c r="O1202" s="69">
        <f t="shared" si="53"/>
        <v>0</v>
      </c>
      <c r="P1202" s="70">
        <v>5</v>
      </c>
      <c r="Q1202" s="70">
        <v>8</v>
      </c>
      <c r="R1202" s="70">
        <v>8</v>
      </c>
      <c r="S1202" s="68" t="str">
        <f t="shared" si="54"/>
        <v/>
      </c>
      <c r="T1202" s="68"/>
      <c r="U1202" s="68"/>
      <c r="V1202" s="68"/>
      <c r="W1202" s="9"/>
      <c r="X1202" s="10"/>
      <c r="Y1202" s="71">
        <f t="shared" si="55"/>
        <v>8</v>
      </c>
      <c r="Z1202" s="73">
        <f t="shared" si="56"/>
        <v>8</v>
      </c>
      <c r="AA1202" s="11" t="str">
        <f t="shared" si="57"/>
        <v/>
      </c>
      <c r="AB1202" s="73">
        <f t="shared" si="58"/>
        <v>3</v>
      </c>
      <c r="AC1202" s="11" t="str">
        <f t="shared" si="59"/>
        <v/>
      </c>
      <c r="AD1202" s="73">
        <f t="shared" si="60"/>
        <v>0</v>
      </c>
      <c r="AE1202" s="11" t="str">
        <f t="shared" si="61"/>
        <v/>
      </c>
      <c r="AF1202" s="73">
        <f t="shared" si="62"/>
        <v>3.0012020000000001</v>
      </c>
      <c r="AG1202" s="11" t="str">
        <f t="shared" si="63"/>
        <v/>
      </c>
      <c r="AH1202" s="73">
        <f t="shared" si="64"/>
        <v>1.2019999999999999E-3</v>
      </c>
    </row>
    <row r="1203" spans="1:34" ht="14.25" customHeight="1">
      <c r="A1203" s="11">
        <v>1188</v>
      </c>
      <c r="B1203" s="66"/>
      <c r="C1203" s="67"/>
      <c r="D1203" s="67"/>
      <c r="E1203" s="67"/>
      <c r="F1203" s="67"/>
      <c r="G1203" s="67" t="s">
        <v>35</v>
      </c>
      <c r="H1203" s="67">
        <v>44468</v>
      </c>
      <c r="I1203" s="6" t="s">
        <v>1816</v>
      </c>
      <c r="J1203" s="9">
        <v>6728101593</v>
      </c>
      <c r="K1203" s="68">
        <v>44439</v>
      </c>
      <c r="L1203" s="68">
        <v>46022</v>
      </c>
      <c r="M1203" s="68">
        <v>46203</v>
      </c>
      <c r="N1203" s="69">
        <f t="shared" si="52"/>
        <v>9</v>
      </c>
      <c r="O1203" s="69">
        <f t="shared" si="53"/>
        <v>1</v>
      </c>
      <c r="P1203" s="70">
        <v>1</v>
      </c>
      <c r="Q1203" s="70">
        <v>9</v>
      </c>
      <c r="R1203" s="70">
        <v>10</v>
      </c>
      <c r="S1203" s="68" t="str">
        <f t="shared" si="54"/>
        <v/>
      </c>
      <c r="T1203" s="68"/>
      <c r="U1203" s="68"/>
      <c r="V1203" s="68"/>
      <c r="W1203" s="9"/>
      <c r="X1203" s="10"/>
      <c r="Y1203" s="71">
        <f t="shared" si="55"/>
        <v>9</v>
      </c>
      <c r="Z1203" s="73">
        <f t="shared" si="56"/>
        <v>10</v>
      </c>
      <c r="AA1203" s="11" t="str">
        <f t="shared" si="57"/>
        <v/>
      </c>
      <c r="AB1203" s="73">
        <f t="shared" si="58"/>
        <v>9</v>
      </c>
      <c r="AC1203" s="11" t="str">
        <f t="shared" si="59"/>
        <v/>
      </c>
      <c r="AD1203" s="73">
        <f t="shared" si="60"/>
        <v>1</v>
      </c>
      <c r="AE1203" s="11" t="str">
        <f t="shared" si="61"/>
        <v/>
      </c>
      <c r="AF1203" s="73">
        <f t="shared" si="62"/>
        <v>9.0012030000000003</v>
      </c>
      <c r="AG1203" s="11" t="str">
        <f t="shared" si="63"/>
        <v/>
      </c>
      <c r="AH1203" s="73">
        <f t="shared" si="64"/>
        <v>1.0012030000000001</v>
      </c>
    </row>
    <row r="1204" spans="1:34" ht="14.25" customHeight="1">
      <c r="A1204" s="11">
        <v>1189</v>
      </c>
      <c r="B1204" s="66"/>
      <c r="C1204" s="67"/>
      <c r="D1204" s="67"/>
      <c r="E1204" s="67"/>
      <c r="F1204" s="67"/>
      <c r="G1204" s="67" t="s">
        <v>35</v>
      </c>
      <c r="H1204" s="67">
        <v>44154</v>
      </c>
      <c r="I1204" s="6" t="s">
        <v>1817</v>
      </c>
      <c r="J1204" s="9">
        <v>6768600951</v>
      </c>
      <c r="K1204" s="68">
        <v>44135</v>
      </c>
      <c r="L1204" s="68">
        <v>46022</v>
      </c>
      <c r="M1204" s="68">
        <v>46203</v>
      </c>
      <c r="N1204" s="69">
        <f t="shared" si="52"/>
        <v>-4</v>
      </c>
      <c r="O1204" s="69">
        <f t="shared" si="53"/>
        <v>-3</v>
      </c>
      <c r="P1204" s="70">
        <v>11</v>
      </c>
      <c r="Q1204" s="70">
        <v>10</v>
      </c>
      <c r="R1204" s="70">
        <v>7</v>
      </c>
      <c r="S1204" s="68" t="str">
        <f t="shared" si="54"/>
        <v/>
      </c>
      <c r="T1204" s="68"/>
      <c r="U1204" s="68"/>
      <c r="V1204" s="68"/>
      <c r="W1204" s="9"/>
      <c r="X1204" s="10"/>
      <c r="Y1204" s="71">
        <f t="shared" si="55"/>
        <v>10</v>
      </c>
      <c r="Z1204" s="73">
        <f t="shared" si="56"/>
        <v>7</v>
      </c>
      <c r="AA1204" s="11" t="str">
        <f t="shared" si="57"/>
        <v/>
      </c>
      <c r="AB1204" s="73">
        <f t="shared" si="58"/>
        <v>-4</v>
      </c>
      <c r="AC1204" s="11" t="str">
        <f t="shared" si="59"/>
        <v/>
      </c>
      <c r="AD1204" s="73">
        <f t="shared" si="60"/>
        <v>-3</v>
      </c>
      <c r="AE1204" s="11" t="str">
        <f t="shared" si="61"/>
        <v/>
      </c>
      <c r="AF1204" s="73">
        <f t="shared" si="62"/>
        <v>-3.998796</v>
      </c>
      <c r="AG1204" s="11" t="str">
        <f t="shared" si="63"/>
        <v/>
      </c>
      <c r="AH1204" s="73">
        <f t="shared" si="64"/>
        <v>-2.998796</v>
      </c>
    </row>
    <row r="1205" spans="1:34" ht="14.25" customHeight="1">
      <c r="A1205" s="11">
        <v>1190</v>
      </c>
      <c r="B1205" s="66" t="s">
        <v>35</v>
      </c>
      <c r="C1205" s="67"/>
      <c r="D1205" s="67"/>
      <c r="E1205" s="67"/>
      <c r="F1205" s="67">
        <v>45757</v>
      </c>
      <c r="G1205" s="67"/>
      <c r="H1205" s="67"/>
      <c r="I1205" s="6" t="s">
        <v>1818</v>
      </c>
      <c r="J1205" s="37">
        <v>6768601061</v>
      </c>
      <c r="K1205" s="68">
        <v>45747</v>
      </c>
      <c r="L1205" s="68">
        <v>46022</v>
      </c>
      <c r="M1205" s="68">
        <v>46203</v>
      </c>
      <c r="N1205" s="69">
        <f t="shared" si="52"/>
        <v>-7</v>
      </c>
      <c r="O1205" s="69">
        <f t="shared" si="53"/>
        <v>-4</v>
      </c>
      <c r="P1205" s="70">
        <v>9</v>
      </c>
      <c r="Q1205" s="70">
        <v>6</v>
      </c>
      <c r="R1205" s="70">
        <v>2</v>
      </c>
      <c r="S1205" s="68" t="str">
        <f t="shared" si="54"/>
        <v/>
      </c>
      <c r="T1205" s="68"/>
      <c r="U1205" s="95"/>
      <c r="V1205" s="68"/>
      <c r="W1205" s="6"/>
      <c r="X1205" s="93"/>
      <c r="Y1205" s="71">
        <f t="shared" si="55"/>
        <v>6</v>
      </c>
      <c r="Z1205" s="73">
        <f t="shared" si="56"/>
        <v>2</v>
      </c>
      <c r="AA1205" s="73">
        <f t="shared" si="57"/>
        <v>-7</v>
      </c>
      <c r="AB1205" s="11" t="str">
        <f t="shared" si="58"/>
        <v/>
      </c>
      <c r="AC1205" s="73">
        <f t="shared" si="59"/>
        <v>-4</v>
      </c>
      <c r="AD1205" s="11" t="str">
        <f t="shared" si="60"/>
        <v/>
      </c>
      <c r="AE1205" s="73">
        <f t="shared" si="61"/>
        <v>-6.9987950000000003</v>
      </c>
      <c r="AF1205" s="11" t="str">
        <f t="shared" si="62"/>
        <v/>
      </c>
      <c r="AG1205" s="73">
        <f t="shared" si="63"/>
        <v>-3.9987949999999999</v>
      </c>
      <c r="AH1205" s="11" t="str">
        <f t="shared" si="64"/>
        <v/>
      </c>
    </row>
    <row r="1206" spans="1:34" ht="14.25" customHeight="1">
      <c r="A1206" s="11">
        <v>1191</v>
      </c>
      <c r="B1206" s="66"/>
      <c r="C1206" s="67"/>
      <c r="D1206" s="67"/>
      <c r="E1206" s="67"/>
      <c r="F1206" s="67"/>
      <c r="G1206" s="67" t="s">
        <v>35</v>
      </c>
      <c r="H1206" s="67">
        <v>45370</v>
      </c>
      <c r="I1206" s="6" t="s">
        <v>1819</v>
      </c>
      <c r="J1206" s="9">
        <v>6768602435</v>
      </c>
      <c r="K1206" s="68">
        <v>45351</v>
      </c>
      <c r="L1206" s="68">
        <v>46022</v>
      </c>
      <c r="M1206" s="68">
        <v>46203</v>
      </c>
      <c r="N1206" s="69">
        <f t="shared" si="52"/>
        <v>11</v>
      </c>
      <c r="O1206" s="69">
        <f t="shared" si="53"/>
        <v>2</v>
      </c>
      <c r="P1206" s="70">
        <v>13</v>
      </c>
      <c r="Q1206" s="70">
        <v>22</v>
      </c>
      <c r="R1206" s="70">
        <v>24</v>
      </c>
      <c r="S1206" s="68" t="str">
        <f t="shared" si="54"/>
        <v/>
      </c>
      <c r="T1206" s="68"/>
      <c r="U1206" s="68"/>
      <c r="V1206" s="68"/>
      <c r="W1206" s="9"/>
      <c r="X1206" s="10"/>
      <c r="Y1206" s="71">
        <f t="shared" si="55"/>
        <v>22</v>
      </c>
      <c r="Z1206" s="73">
        <f t="shared" si="56"/>
        <v>24</v>
      </c>
      <c r="AA1206" s="11" t="str">
        <f t="shared" si="57"/>
        <v/>
      </c>
      <c r="AB1206" s="73">
        <f t="shared" si="58"/>
        <v>11</v>
      </c>
      <c r="AC1206" s="11" t="str">
        <f t="shared" si="59"/>
        <v/>
      </c>
      <c r="AD1206" s="73">
        <f t="shared" si="60"/>
        <v>2</v>
      </c>
      <c r="AE1206" s="11" t="str">
        <f t="shared" si="61"/>
        <v/>
      </c>
      <c r="AF1206" s="73">
        <f t="shared" si="62"/>
        <v>11.001206</v>
      </c>
      <c r="AG1206" s="11" t="str">
        <f t="shared" si="63"/>
        <v/>
      </c>
      <c r="AH1206" s="73">
        <f t="shared" si="64"/>
        <v>2.0012059999999998</v>
      </c>
    </row>
    <row r="1207" spans="1:34" ht="14.25" customHeight="1">
      <c r="A1207" s="11">
        <v>1192</v>
      </c>
      <c r="B1207" s="66"/>
      <c r="C1207" s="67"/>
      <c r="D1207" s="67"/>
      <c r="E1207" s="67"/>
      <c r="F1207" s="67"/>
      <c r="G1207" s="67" t="s">
        <v>35</v>
      </c>
      <c r="H1207" s="67">
        <v>45723</v>
      </c>
      <c r="I1207" s="6" t="s">
        <v>1820</v>
      </c>
      <c r="J1207" s="9">
        <v>6768702806</v>
      </c>
      <c r="K1207" s="68">
        <v>45716</v>
      </c>
      <c r="L1207" s="68">
        <v>46022</v>
      </c>
      <c r="M1207" s="68">
        <v>46203</v>
      </c>
      <c r="N1207" s="69">
        <f t="shared" si="52"/>
        <v>-1</v>
      </c>
      <c r="O1207" s="69">
        <f t="shared" si="53"/>
        <v>-3</v>
      </c>
      <c r="P1207" s="70">
        <v>8</v>
      </c>
      <c r="Q1207" s="70">
        <v>10</v>
      </c>
      <c r="R1207" s="70">
        <v>7</v>
      </c>
      <c r="S1207" s="68" t="str">
        <f t="shared" si="54"/>
        <v/>
      </c>
      <c r="T1207" s="68"/>
      <c r="U1207" s="68"/>
      <c r="V1207" s="68"/>
      <c r="W1207" s="9"/>
      <c r="X1207" s="10"/>
      <c r="Y1207" s="71">
        <f t="shared" si="55"/>
        <v>10</v>
      </c>
      <c r="Z1207" s="73">
        <f t="shared" si="56"/>
        <v>7</v>
      </c>
      <c r="AA1207" s="11" t="str">
        <f t="shared" si="57"/>
        <v/>
      </c>
      <c r="AB1207" s="73">
        <f t="shared" si="58"/>
        <v>-1</v>
      </c>
      <c r="AC1207" s="11" t="str">
        <f t="shared" si="59"/>
        <v/>
      </c>
      <c r="AD1207" s="73">
        <f t="shared" si="60"/>
        <v>-3</v>
      </c>
      <c r="AE1207" s="11" t="str">
        <f t="shared" si="61"/>
        <v/>
      </c>
      <c r="AF1207" s="73">
        <f t="shared" si="62"/>
        <v>-0.99879300000000004</v>
      </c>
      <c r="AG1207" s="11" t="str">
        <f t="shared" si="63"/>
        <v/>
      </c>
      <c r="AH1207" s="73">
        <f t="shared" si="64"/>
        <v>-2.998793</v>
      </c>
    </row>
    <row r="1208" spans="1:34" ht="14.25" customHeight="1">
      <c r="A1208" s="11">
        <v>1193</v>
      </c>
      <c r="B1208" s="66"/>
      <c r="C1208" s="67"/>
      <c r="D1208" s="67"/>
      <c r="E1208" s="67"/>
      <c r="F1208" s="67"/>
      <c r="G1208" s="67" t="s">
        <v>35</v>
      </c>
      <c r="H1208" s="67">
        <v>43861</v>
      </c>
      <c r="I1208" s="6" t="s">
        <v>1821</v>
      </c>
      <c r="J1208" s="9">
        <v>6778701299</v>
      </c>
      <c r="K1208" s="68">
        <v>43830</v>
      </c>
      <c r="L1208" s="68">
        <v>46022</v>
      </c>
      <c r="M1208" s="68">
        <v>46203</v>
      </c>
      <c r="N1208" s="69">
        <f t="shared" si="52"/>
        <v>24</v>
      </c>
      <c r="O1208" s="69">
        <f t="shared" si="53"/>
        <v>-2</v>
      </c>
      <c r="P1208" s="70">
        <v>7</v>
      </c>
      <c r="Q1208" s="70">
        <v>33</v>
      </c>
      <c r="R1208" s="70">
        <v>31</v>
      </c>
      <c r="S1208" s="68" t="str">
        <f t="shared" si="54"/>
        <v/>
      </c>
      <c r="T1208" s="68"/>
      <c r="U1208" s="68"/>
      <c r="V1208" s="68"/>
      <c r="W1208" s="9"/>
      <c r="X1208" s="10"/>
      <c r="Y1208" s="71">
        <f t="shared" si="55"/>
        <v>33</v>
      </c>
      <c r="Z1208" s="73">
        <f t="shared" si="56"/>
        <v>31</v>
      </c>
      <c r="AA1208" s="11" t="str">
        <f t="shared" si="57"/>
        <v/>
      </c>
      <c r="AB1208" s="73">
        <f t="shared" si="58"/>
        <v>24</v>
      </c>
      <c r="AC1208" s="11" t="str">
        <f t="shared" si="59"/>
        <v/>
      </c>
      <c r="AD1208" s="73">
        <f t="shared" si="60"/>
        <v>-2</v>
      </c>
      <c r="AE1208" s="11" t="str">
        <f t="shared" si="61"/>
        <v/>
      </c>
      <c r="AF1208" s="73">
        <f t="shared" si="62"/>
        <v>24.001207999999998</v>
      </c>
      <c r="AG1208" s="11" t="str">
        <f t="shared" si="63"/>
        <v/>
      </c>
      <c r="AH1208" s="73">
        <f t="shared" si="64"/>
        <v>-1.9987919999999999</v>
      </c>
    </row>
    <row r="1209" spans="1:34" ht="14.25" customHeight="1">
      <c r="A1209" s="11">
        <v>1194</v>
      </c>
      <c r="B1209" s="66" t="s">
        <v>35</v>
      </c>
      <c r="C1209" s="67">
        <v>43192</v>
      </c>
      <c r="D1209" s="67"/>
      <c r="E1209" s="67"/>
      <c r="F1209" s="67"/>
      <c r="G1209" s="67"/>
      <c r="H1209" s="67"/>
      <c r="I1209" s="6" t="s">
        <v>1822</v>
      </c>
      <c r="J1209" s="9">
        <v>6788100646</v>
      </c>
      <c r="K1209" s="68">
        <v>43190</v>
      </c>
      <c r="L1209" s="68">
        <v>46022</v>
      </c>
      <c r="M1209" s="68">
        <v>46203</v>
      </c>
      <c r="N1209" s="69">
        <f t="shared" si="52"/>
        <v>8</v>
      </c>
      <c r="O1209" s="69">
        <f t="shared" si="53"/>
        <v>0</v>
      </c>
      <c r="P1209" s="70">
        <v>6</v>
      </c>
      <c r="Q1209" s="70">
        <v>14</v>
      </c>
      <c r="R1209" s="70">
        <v>14</v>
      </c>
      <c r="S1209" s="68" t="str">
        <f t="shared" si="54"/>
        <v/>
      </c>
      <c r="T1209" s="68"/>
      <c r="U1209" s="68"/>
      <c r="V1209" s="68"/>
      <c r="W1209" s="9"/>
      <c r="X1209" s="10"/>
      <c r="Y1209" s="71">
        <f t="shared" si="55"/>
        <v>14</v>
      </c>
      <c r="Z1209" s="73">
        <f t="shared" si="56"/>
        <v>14</v>
      </c>
      <c r="AA1209" s="73">
        <f t="shared" si="57"/>
        <v>8</v>
      </c>
      <c r="AB1209" s="11" t="str">
        <f t="shared" si="58"/>
        <v/>
      </c>
      <c r="AC1209" s="73">
        <f t="shared" si="59"/>
        <v>0</v>
      </c>
      <c r="AD1209" s="11" t="str">
        <f t="shared" si="60"/>
        <v/>
      </c>
      <c r="AE1209" s="73">
        <f t="shared" si="61"/>
        <v>8.0012089999999993</v>
      </c>
      <c r="AF1209" s="11" t="str">
        <f t="shared" si="62"/>
        <v/>
      </c>
      <c r="AG1209" s="73">
        <f t="shared" si="63"/>
        <v>1.209E-3</v>
      </c>
      <c r="AH1209" s="11" t="str">
        <f t="shared" si="64"/>
        <v/>
      </c>
    </row>
    <row r="1210" spans="1:34" ht="14.25" customHeight="1">
      <c r="A1210" s="11">
        <v>1195</v>
      </c>
      <c r="B1210" s="66" t="s">
        <v>35</v>
      </c>
      <c r="C1210" s="67">
        <v>43836</v>
      </c>
      <c r="D1210" s="67"/>
      <c r="E1210" s="67"/>
      <c r="F1210" s="67"/>
      <c r="G1210" s="67"/>
      <c r="H1210" s="67"/>
      <c r="I1210" s="6" t="s">
        <v>1823</v>
      </c>
      <c r="J1210" s="9">
        <v>6818101603</v>
      </c>
      <c r="K1210" s="68">
        <v>43830</v>
      </c>
      <c r="L1210" s="68">
        <v>46022</v>
      </c>
      <c r="M1210" s="68">
        <v>46203</v>
      </c>
      <c r="N1210" s="69">
        <f t="shared" si="52"/>
        <v>2</v>
      </c>
      <c r="O1210" s="69">
        <f t="shared" si="53"/>
        <v>0</v>
      </c>
      <c r="P1210" s="70">
        <v>2</v>
      </c>
      <c r="Q1210" s="70">
        <v>4</v>
      </c>
      <c r="R1210" s="70">
        <v>4</v>
      </c>
      <c r="S1210" s="68" t="str">
        <f t="shared" si="54"/>
        <v/>
      </c>
      <c r="T1210" s="68"/>
      <c r="U1210" s="68"/>
      <c r="V1210" s="68"/>
      <c r="W1210" s="9"/>
      <c r="X1210" s="10"/>
      <c r="Y1210" s="71">
        <f t="shared" si="55"/>
        <v>4</v>
      </c>
      <c r="Z1210" s="73">
        <f t="shared" si="56"/>
        <v>4</v>
      </c>
      <c r="AA1210" s="73">
        <f t="shared" si="57"/>
        <v>2</v>
      </c>
      <c r="AB1210" s="11" t="str">
        <f t="shared" si="58"/>
        <v/>
      </c>
      <c r="AC1210" s="73">
        <f t="shared" si="59"/>
        <v>0</v>
      </c>
      <c r="AD1210" s="11" t="str">
        <f t="shared" si="60"/>
        <v/>
      </c>
      <c r="AE1210" s="73">
        <f t="shared" si="61"/>
        <v>2.0012099999999999</v>
      </c>
      <c r="AF1210" s="11" t="str">
        <f t="shared" si="62"/>
        <v/>
      </c>
      <c r="AG1210" s="73">
        <f t="shared" si="63"/>
        <v>1.2099999999999999E-3</v>
      </c>
      <c r="AH1210" s="11" t="str">
        <f t="shared" si="64"/>
        <v/>
      </c>
    </row>
    <row r="1211" spans="1:34" ht="14.25" customHeight="1">
      <c r="A1211" s="11">
        <v>1196</v>
      </c>
      <c r="B1211" s="66"/>
      <c r="C1211" s="67"/>
      <c r="D1211" s="67"/>
      <c r="E1211" s="67"/>
      <c r="F1211" s="67"/>
      <c r="G1211" s="67" t="s">
        <v>35</v>
      </c>
      <c r="H1211" s="67">
        <v>44405</v>
      </c>
      <c r="I1211" s="6" t="s">
        <v>1824</v>
      </c>
      <c r="J1211" s="9">
        <v>6818601869</v>
      </c>
      <c r="K1211" s="68">
        <v>44377</v>
      </c>
      <c r="L1211" s="68">
        <v>46022</v>
      </c>
      <c r="M1211" s="68">
        <v>46203</v>
      </c>
      <c r="N1211" s="69">
        <f t="shared" si="52"/>
        <v>48</v>
      </c>
      <c r="O1211" s="69">
        <f t="shared" si="53"/>
        <v>6</v>
      </c>
      <c r="P1211" s="70">
        <v>4</v>
      </c>
      <c r="Q1211" s="70">
        <v>46</v>
      </c>
      <c r="R1211" s="70">
        <v>52</v>
      </c>
      <c r="S1211" s="68" t="str">
        <f t="shared" si="54"/>
        <v/>
      </c>
      <c r="T1211" s="68"/>
      <c r="U1211" s="68"/>
      <c r="V1211" s="68"/>
      <c r="W1211" s="9"/>
      <c r="X1211" s="10"/>
      <c r="Y1211" s="71">
        <f t="shared" si="55"/>
        <v>46</v>
      </c>
      <c r="Z1211" s="73">
        <f t="shared" si="56"/>
        <v>52</v>
      </c>
      <c r="AA1211" s="11" t="str">
        <f t="shared" si="57"/>
        <v/>
      </c>
      <c r="AB1211" s="73">
        <f t="shared" si="58"/>
        <v>48</v>
      </c>
      <c r="AC1211" s="11" t="str">
        <f t="shared" si="59"/>
        <v/>
      </c>
      <c r="AD1211" s="73">
        <f t="shared" si="60"/>
        <v>6</v>
      </c>
      <c r="AE1211" s="11" t="str">
        <f t="shared" si="61"/>
        <v/>
      </c>
      <c r="AF1211" s="73">
        <f t="shared" si="62"/>
        <v>48.001210999999998</v>
      </c>
      <c r="AG1211" s="11" t="str">
        <f t="shared" si="63"/>
        <v/>
      </c>
      <c r="AH1211" s="73">
        <f t="shared" si="64"/>
        <v>6.0012109999999996</v>
      </c>
    </row>
    <row r="1212" spans="1:34" ht="14.25" customHeight="1">
      <c r="A1212" s="11">
        <v>1197</v>
      </c>
      <c r="B1212" s="66"/>
      <c r="C1212" s="67"/>
      <c r="D1212" s="67"/>
      <c r="E1212" s="67"/>
      <c r="F1212" s="67"/>
      <c r="G1212" s="67" t="s">
        <v>35</v>
      </c>
      <c r="H1212" s="67">
        <v>44022</v>
      </c>
      <c r="I1212" s="6" t="s">
        <v>1825</v>
      </c>
      <c r="J1212" s="9">
        <v>6818700800</v>
      </c>
      <c r="K1212" s="68">
        <v>44012</v>
      </c>
      <c r="L1212" s="68">
        <v>46022</v>
      </c>
      <c r="M1212" s="68">
        <v>46203</v>
      </c>
      <c r="N1212" s="69">
        <f t="shared" si="52"/>
        <v>87</v>
      </c>
      <c r="O1212" s="69">
        <f t="shared" si="53"/>
        <v>-3</v>
      </c>
      <c r="P1212" s="70">
        <v>16</v>
      </c>
      <c r="Q1212" s="70">
        <v>106</v>
      </c>
      <c r="R1212" s="70">
        <v>103</v>
      </c>
      <c r="S1212" s="68" t="str">
        <f t="shared" si="54"/>
        <v/>
      </c>
      <c r="T1212" s="68"/>
      <c r="U1212" s="68"/>
      <c r="V1212" s="68"/>
      <c r="W1212" s="9"/>
      <c r="X1212" s="10"/>
      <c r="Y1212" s="71">
        <f t="shared" si="55"/>
        <v>106</v>
      </c>
      <c r="Z1212" s="73">
        <f t="shared" si="56"/>
        <v>103</v>
      </c>
      <c r="AA1212" s="11" t="str">
        <f t="shared" si="57"/>
        <v/>
      </c>
      <c r="AB1212" s="73">
        <f t="shared" si="58"/>
        <v>87</v>
      </c>
      <c r="AC1212" s="11" t="str">
        <f t="shared" si="59"/>
        <v/>
      </c>
      <c r="AD1212" s="73">
        <f t="shared" si="60"/>
        <v>-3</v>
      </c>
      <c r="AE1212" s="11" t="str">
        <f t="shared" si="61"/>
        <v/>
      </c>
      <c r="AF1212" s="73">
        <f t="shared" si="62"/>
        <v>87.001211999999995</v>
      </c>
      <c r="AG1212" s="11" t="str">
        <f t="shared" si="63"/>
        <v/>
      </c>
      <c r="AH1212" s="73">
        <f t="shared" si="64"/>
        <v>-2.9987879999999998</v>
      </c>
    </row>
    <row r="1213" spans="1:34" ht="14.25" customHeight="1">
      <c r="A1213" s="11">
        <v>1198</v>
      </c>
      <c r="B1213" s="66"/>
      <c r="C1213" s="67"/>
      <c r="D1213" s="67"/>
      <c r="E1213" s="67"/>
      <c r="F1213" s="67"/>
      <c r="G1213" s="67" t="s">
        <v>35</v>
      </c>
      <c r="H1213" s="67">
        <v>44271</v>
      </c>
      <c r="I1213" s="6" t="s">
        <v>1826</v>
      </c>
      <c r="J1213" s="9">
        <v>6818701435</v>
      </c>
      <c r="K1213" s="68">
        <v>44255</v>
      </c>
      <c r="L1213" s="68">
        <v>46022</v>
      </c>
      <c r="M1213" s="68">
        <v>46203</v>
      </c>
      <c r="N1213" s="69">
        <f t="shared" si="52"/>
        <v>0</v>
      </c>
      <c r="O1213" s="69">
        <f t="shared" si="53"/>
        <v>1</v>
      </c>
      <c r="P1213" s="70">
        <v>12</v>
      </c>
      <c r="Q1213" s="70">
        <v>11</v>
      </c>
      <c r="R1213" s="70">
        <v>12</v>
      </c>
      <c r="S1213" s="68" t="str">
        <f t="shared" si="54"/>
        <v/>
      </c>
      <c r="T1213" s="68"/>
      <c r="U1213" s="68"/>
      <c r="V1213" s="68"/>
      <c r="W1213" s="9"/>
      <c r="X1213" s="10"/>
      <c r="Y1213" s="71">
        <f t="shared" si="55"/>
        <v>11</v>
      </c>
      <c r="Z1213" s="73">
        <f t="shared" si="56"/>
        <v>12</v>
      </c>
      <c r="AA1213" s="11" t="str">
        <f t="shared" si="57"/>
        <v/>
      </c>
      <c r="AB1213" s="73">
        <f t="shared" si="58"/>
        <v>0</v>
      </c>
      <c r="AC1213" s="11" t="str">
        <f t="shared" si="59"/>
        <v/>
      </c>
      <c r="AD1213" s="73">
        <f t="shared" si="60"/>
        <v>1</v>
      </c>
      <c r="AE1213" s="11" t="str">
        <f t="shared" si="61"/>
        <v/>
      </c>
      <c r="AF1213" s="73">
        <f t="shared" si="62"/>
        <v>1.2130000000000001E-3</v>
      </c>
      <c r="AG1213" s="11" t="str">
        <f t="shared" si="63"/>
        <v/>
      </c>
      <c r="AH1213" s="73">
        <f t="shared" si="64"/>
        <v>1.0012129999999999</v>
      </c>
    </row>
    <row r="1214" spans="1:34" ht="14.25" customHeight="1">
      <c r="A1214" s="11">
        <v>1199</v>
      </c>
      <c r="B1214" s="66" t="s">
        <v>35</v>
      </c>
      <c r="C1214" s="67">
        <v>45536</v>
      </c>
      <c r="D1214" s="67">
        <v>44977</v>
      </c>
      <c r="E1214" s="67"/>
      <c r="F1214" s="67"/>
      <c r="G1214" s="67"/>
      <c r="H1214" s="67"/>
      <c r="I1214" s="6" t="s">
        <v>1827</v>
      </c>
      <c r="J1214" s="9">
        <v>6828102788</v>
      </c>
      <c r="K1214" s="68">
        <v>44957</v>
      </c>
      <c r="L1214" s="68">
        <v>46022</v>
      </c>
      <c r="M1214" s="68">
        <v>46203</v>
      </c>
      <c r="N1214" s="69">
        <f t="shared" si="52"/>
        <v>8</v>
      </c>
      <c r="O1214" s="69">
        <f t="shared" si="53"/>
        <v>-7</v>
      </c>
      <c r="P1214" s="70">
        <v>9</v>
      </c>
      <c r="Q1214" s="70">
        <v>24</v>
      </c>
      <c r="R1214" s="70">
        <v>17</v>
      </c>
      <c r="S1214" s="68" t="str">
        <f t="shared" si="54"/>
        <v/>
      </c>
      <c r="T1214" s="68"/>
      <c r="U1214" s="68"/>
      <c r="V1214" s="68"/>
      <c r="W1214" s="9"/>
      <c r="X1214" s="10"/>
      <c r="Y1214" s="71">
        <f t="shared" si="55"/>
        <v>24</v>
      </c>
      <c r="Z1214" s="73">
        <f t="shared" si="56"/>
        <v>17</v>
      </c>
      <c r="AA1214" s="73">
        <f t="shared" si="57"/>
        <v>8</v>
      </c>
      <c r="AB1214" s="11" t="str">
        <f t="shared" si="58"/>
        <v/>
      </c>
      <c r="AC1214" s="73">
        <f t="shared" si="59"/>
        <v>-7</v>
      </c>
      <c r="AD1214" s="11" t="str">
        <f t="shared" si="60"/>
        <v/>
      </c>
      <c r="AE1214" s="73">
        <f t="shared" si="61"/>
        <v>8.0012139999999992</v>
      </c>
      <c r="AF1214" s="11" t="str">
        <f t="shared" si="62"/>
        <v/>
      </c>
      <c r="AG1214" s="73">
        <f t="shared" si="63"/>
        <v>-6.998786</v>
      </c>
      <c r="AH1214" s="11" t="str">
        <f t="shared" si="64"/>
        <v/>
      </c>
    </row>
    <row r="1215" spans="1:34" ht="14.25" customHeight="1">
      <c r="A1215" s="11">
        <v>1200</v>
      </c>
      <c r="B1215" s="66"/>
      <c r="C1215" s="67"/>
      <c r="D1215" s="67"/>
      <c r="E1215" s="67"/>
      <c r="F1215" s="67"/>
      <c r="G1215" s="67" t="s">
        <v>35</v>
      </c>
      <c r="H1215" s="67">
        <v>44890</v>
      </c>
      <c r="I1215" s="6" t="s">
        <v>1828</v>
      </c>
      <c r="J1215" s="9">
        <v>6828601862</v>
      </c>
      <c r="K1215" s="68">
        <v>44865</v>
      </c>
      <c r="L1215" s="68">
        <v>46022</v>
      </c>
      <c r="M1215" s="68">
        <v>46203</v>
      </c>
      <c r="N1215" s="69">
        <f t="shared" si="52"/>
        <v>4</v>
      </c>
      <c r="O1215" s="69">
        <f t="shared" si="53"/>
        <v>-1</v>
      </c>
      <c r="P1215" s="70">
        <v>2</v>
      </c>
      <c r="Q1215" s="70">
        <v>7</v>
      </c>
      <c r="R1215" s="70">
        <v>6</v>
      </c>
      <c r="S1215" s="68" t="str">
        <f t="shared" si="54"/>
        <v/>
      </c>
      <c r="T1215" s="68"/>
      <c r="U1215" s="68"/>
      <c r="V1215" s="68"/>
      <c r="W1215" s="9"/>
      <c r="X1215" s="10"/>
      <c r="Y1215" s="71">
        <f t="shared" si="55"/>
        <v>7</v>
      </c>
      <c r="Z1215" s="73">
        <f t="shared" si="56"/>
        <v>6</v>
      </c>
      <c r="AA1215" s="11" t="str">
        <f t="shared" si="57"/>
        <v/>
      </c>
      <c r="AB1215" s="73">
        <f t="shared" si="58"/>
        <v>4</v>
      </c>
      <c r="AC1215" s="11" t="str">
        <f t="shared" si="59"/>
        <v/>
      </c>
      <c r="AD1215" s="73">
        <f t="shared" si="60"/>
        <v>-1</v>
      </c>
      <c r="AE1215" s="11" t="str">
        <f t="shared" si="61"/>
        <v/>
      </c>
      <c r="AF1215" s="73">
        <f t="shared" si="62"/>
        <v>4.0012150000000002</v>
      </c>
      <c r="AG1215" s="11" t="str">
        <f t="shared" si="63"/>
        <v/>
      </c>
      <c r="AH1215" s="73">
        <f t="shared" si="64"/>
        <v>-0.99878500000000003</v>
      </c>
    </row>
    <row r="1216" spans="1:34" ht="14.25" customHeight="1">
      <c r="A1216" s="11">
        <v>1201</v>
      </c>
      <c r="B1216" s="66" t="s">
        <v>35</v>
      </c>
      <c r="C1216" s="67">
        <v>43455</v>
      </c>
      <c r="D1216" s="67"/>
      <c r="E1216" s="67"/>
      <c r="F1216" s="67"/>
      <c r="G1216" s="67" t="s">
        <v>35</v>
      </c>
      <c r="H1216" s="67">
        <v>46015</v>
      </c>
      <c r="I1216" s="6" t="s">
        <v>1829</v>
      </c>
      <c r="J1216" s="9">
        <v>6828801319</v>
      </c>
      <c r="K1216" s="68">
        <v>43434</v>
      </c>
      <c r="L1216" s="68">
        <v>46022</v>
      </c>
      <c r="M1216" s="68">
        <v>46203</v>
      </c>
      <c r="N1216" s="69">
        <f t="shared" si="52"/>
        <v>35</v>
      </c>
      <c r="O1216" s="69">
        <f t="shared" si="53"/>
        <v>2</v>
      </c>
      <c r="P1216" s="70">
        <v>0</v>
      </c>
      <c r="Q1216" s="70">
        <v>33</v>
      </c>
      <c r="R1216" s="70">
        <v>35</v>
      </c>
      <c r="S1216" s="68" t="str">
        <f t="shared" si="54"/>
        <v/>
      </c>
      <c r="T1216" s="68"/>
      <c r="U1216" s="68"/>
      <c r="V1216" s="68"/>
      <c r="W1216" s="9"/>
      <c r="X1216" s="10"/>
      <c r="Y1216" s="71">
        <f t="shared" si="55"/>
        <v>33</v>
      </c>
      <c r="Z1216" s="73">
        <f t="shared" si="56"/>
        <v>35</v>
      </c>
      <c r="AA1216" s="73">
        <f t="shared" si="57"/>
        <v>35</v>
      </c>
      <c r="AB1216" s="73">
        <f t="shared" si="58"/>
        <v>35</v>
      </c>
      <c r="AC1216" s="73">
        <f t="shared" si="59"/>
        <v>2</v>
      </c>
      <c r="AD1216" s="73">
        <f t="shared" si="60"/>
        <v>2</v>
      </c>
      <c r="AE1216" s="73">
        <f t="shared" si="61"/>
        <v>35.001215999999999</v>
      </c>
      <c r="AF1216" s="73">
        <f t="shared" si="62"/>
        <v>35.001215999999999</v>
      </c>
      <c r="AG1216" s="73">
        <f t="shared" si="63"/>
        <v>2.0012159999999999</v>
      </c>
      <c r="AH1216" s="73">
        <f t="shared" si="64"/>
        <v>2.0012159999999999</v>
      </c>
    </row>
    <row r="1217" spans="1:34" ht="14.25" customHeight="1">
      <c r="A1217" s="11">
        <v>1202</v>
      </c>
      <c r="B1217" s="66"/>
      <c r="C1217" s="67"/>
      <c r="D1217" s="67"/>
      <c r="E1217" s="67"/>
      <c r="F1217" s="67"/>
      <c r="G1217" s="67" t="s">
        <v>35</v>
      </c>
      <c r="H1217" s="67">
        <v>43931</v>
      </c>
      <c r="I1217" s="6" t="s">
        <v>1830</v>
      </c>
      <c r="J1217" s="9">
        <v>6848100374</v>
      </c>
      <c r="K1217" s="68">
        <v>43921</v>
      </c>
      <c r="L1217" s="68">
        <v>46022</v>
      </c>
      <c r="M1217" s="68">
        <v>46203</v>
      </c>
      <c r="N1217" s="69">
        <f t="shared" si="52"/>
        <v>0</v>
      </c>
      <c r="O1217" s="69">
        <f t="shared" si="53"/>
        <v>0</v>
      </c>
      <c r="P1217" s="70">
        <v>5</v>
      </c>
      <c r="Q1217" s="70">
        <v>5</v>
      </c>
      <c r="R1217" s="70">
        <v>5</v>
      </c>
      <c r="S1217" s="68" t="str">
        <f t="shared" si="54"/>
        <v/>
      </c>
      <c r="T1217" s="68"/>
      <c r="U1217" s="68"/>
      <c r="V1217" s="68"/>
      <c r="W1217" s="9"/>
      <c r="X1217" s="10"/>
      <c r="Y1217" s="71">
        <f t="shared" si="55"/>
        <v>5</v>
      </c>
      <c r="Z1217" s="73">
        <f t="shared" si="56"/>
        <v>5</v>
      </c>
      <c r="AA1217" s="11" t="str">
        <f t="shared" si="57"/>
        <v/>
      </c>
      <c r="AB1217" s="73">
        <f t="shared" si="58"/>
        <v>0</v>
      </c>
      <c r="AC1217" s="11" t="str">
        <f t="shared" si="59"/>
        <v/>
      </c>
      <c r="AD1217" s="73">
        <f t="shared" si="60"/>
        <v>0</v>
      </c>
      <c r="AE1217" s="11" t="str">
        <f t="shared" si="61"/>
        <v/>
      </c>
      <c r="AF1217" s="73">
        <f t="shared" si="62"/>
        <v>1.217E-3</v>
      </c>
      <c r="AG1217" s="11" t="str">
        <f t="shared" si="63"/>
        <v/>
      </c>
      <c r="AH1217" s="73">
        <f t="shared" si="64"/>
        <v>1.217E-3</v>
      </c>
    </row>
    <row r="1218" spans="1:34" ht="14.25" customHeight="1">
      <c r="A1218" s="11">
        <v>1203</v>
      </c>
      <c r="B1218" s="66"/>
      <c r="C1218" s="67"/>
      <c r="D1218" s="67"/>
      <c r="E1218" s="67"/>
      <c r="F1218" s="67"/>
      <c r="G1218" s="67" t="s">
        <v>35</v>
      </c>
      <c r="H1218" s="67">
        <v>45611</v>
      </c>
      <c r="I1218" s="6" t="s">
        <v>1831</v>
      </c>
      <c r="J1218" s="9">
        <v>6848101562</v>
      </c>
      <c r="K1218" s="68">
        <v>45596</v>
      </c>
      <c r="L1218" s="68">
        <v>46022</v>
      </c>
      <c r="M1218" s="68">
        <v>46203</v>
      </c>
      <c r="N1218" s="69">
        <f t="shared" si="52"/>
        <v>24</v>
      </c>
      <c r="O1218" s="69">
        <f t="shared" si="53"/>
        <v>11</v>
      </c>
      <c r="P1218" s="70">
        <v>70</v>
      </c>
      <c r="Q1218" s="70">
        <v>83</v>
      </c>
      <c r="R1218" s="70">
        <v>94</v>
      </c>
      <c r="S1218" s="68" t="str">
        <f t="shared" si="54"/>
        <v/>
      </c>
      <c r="T1218" s="68"/>
      <c r="U1218" s="68"/>
      <c r="V1218" s="68"/>
      <c r="W1218" s="9"/>
      <c r="X1218" s="10"/>
      <c r="Y1218" s="71">
        <f t="shared" si="55"/>
        <v>83</v>
      </c>
      <c r="Z1218" s="73">
        <f t="shared" si="56"/>
        <v>94</v>
      </c>
      <c r="AA1218" s="11" t="str">
        <f t="shared" si="57"/>
        <v/>
      </c>
      <c r="AB1218" s="73">
        <f t="shared" si="58"/>
        <v>24</v>
      </c>
      <c r="AC1218" s="11" t="str">
        <f t="shared" si="59"/>
        <v/>
      </c>
      <c r="AD1218" s="73">
        <f t="shared" si="60"/>
        <v>11</v>
      </c>
      <c r="AE1218" s="11" t="str">
        <f t="shared" si="61"/>
        <v/>
      </c>
      <c r="AF1218" s="73">
        <f t="shared" si="62"/>
        <v>24.001218000000001</v>
      </c>
      <c r="AG1218" s="11" t="str">
        <f t="shared" si="63"/>
        <v/>
      </c>
      <c r="AH1218" s="73">
        <f t="shared" si="64"/>
        <v>11.001218</v>
      </c>
    </row>
    <row r="1219" spans="1:34" ht="14.25" customHeight="1">
      <c r="A1219" s="11">
        <v>1204</v>
      </c>
      <c r="B1219" s="66"/>
      <c r="C1219" s="67"/>
      <c r="D1219" s="67"/>
      <c r="E1219" s="67"/>
      <c r="F1219" s="67"/>
      <c r="G1219" s="67" t="s">
        <v>35</v>
      </c>
      <c r="H1219" s="67">
        <v>42143</v>
      </c>
      <c r="I1219" s="6" t="s">
        <v>1832</v>
      </c>
      <c r="J1219" s="9">
        <v>6848600103</v>
      </c>
      <c r="K1219" s="68">
        <v>42124</v>
      </c>
      <c r="L1219" s="68">
        <v>46022</v>
      </c>
      <c r="M1219" s="68">
        <v>46203</v>
      </c>
      <c r="N1219" s="69">
        <f t="shared" si="52"/>
        <v>0</v>
      </c>
      <c r="O1219" s="69">
        <f t="shared" si="53"/>
        <v>0</v>
      </c>
      <c r="P1219" s="70">
        <v>0</v>
      </c>
      <c r="Q1219" s="70">
        <v>0</v>
      </c>
      <c r="R1219" s="70">
        <v>0</v>
      </c>
      <c r="S1219" s="68" t="str">
        <f t="shared" si="54"/>
        <v/>
      </c>
      <c r="T1219" s="68"/>
      <c r="U1219" s="68"/>
      <c r="V1219" s="68"/>
      <c r="W1219" s="9"/>
      <c r="X1219" s="10"/>
      <c r="Y1219" s="71">
        <f t="shared" si="55"/>
        <v>0</v>
      </c>
      <c r="Z1219" s="73">
        <f t="shared" si="56"/>
        <v>0</v>
      </c>
      <c r="AA1219" s="11" t="str">
        <f t="shared" si="57"/>
        <v/>
      </c>
      <c r="AB1219" s="73">
        <f t="shared" si="58"/>
        <v>0</v>
      </c>
      <c r="AC1219" s="11" t="str">
        <f t="shared" si="59"/>
        <v/>
      </c>
      <c r="AD1219" s="73">
        <f t="shared" si="60"/>
        <v>0</v>
      </c>
      <c r="AE1219" s="11" t="str">
        <f t="shared" si="61"/>
        <v/>
      </c>
      <c r="AF1219" s="73">
        <f t="shared" si="62"/>
        <v>1.219E-3</v>
      </c>
      <c r="AG1219" s="11" t="str">
        <f t="shared" si="63"/>
        <v/>
      </c>
      <c r="AH1219" s="73">
        <f t="shared" si="64"/>
        <v>1.219E-3</v>
      </c>
    </row>
    <row r="1220" spans="1:34" ht="14.25" customHeight="1">
      <c r="A1220" s="11">
        <v>1205</v>
      </c>
      <c r="B1220" s="66" t="s">
        <v>35</v>
      </c>
      <c r="C1220" s="67">
        <v>45748</v>
      </c>
      <c r="D1220" s="67"/>
      <c r="E1220" s="67">
        <v>45748</v>
      </c>
      <c r="F1220" s="67"/>
      <c r="G1220" s="67" t="s">
        <v>35</v>
      </c>
      <c r="H1220" s="67">
        <v>45667</v>
      </c>
      <c r="I1220" s="6" t="s">
        <v>1833</v>
      </c>
      <c r="J1220" s="9">
        <v>6858601518</v>
      </c>
      <c r="K1220" s="68">
        <v>45657</v>
      </c>
      <c r="L1220" s="68">
        <v>46022</v>
      </c>
      <c r="M1220" s="68">
        <v>46203</v>
      </c>
      <c r="N1220" s="69">
        <f t="shared" si="52"/>
        <v>14</v>
      </c>
      <c r="O1220" s="69">
        <f t="shared" si="53"/>
        <v>7</v>
      </c>
      <c r="P1220" s="70">
        <v>15</v>
      </c>
      <c r="Q1220" s="70">
        <v>22</v>
      </c>
      <c r="R1220" s="70">
        <v>29</v>
      </c>
      <c r="S1220" s="68" t="str">
        <f t="shared" si="54"/>
        <v/>
      </c>
      <c r="T1220" s="68"/>
      <c r="U1220" s="68"/>
      <c r="V1220" s="68"/>
      <c r="W1220" s="9"/>
      <c r="X1220" s="10"/>
      <c r="Y1220" s="71">
        <f t="shared" si="55"/>
        <v>22</v>
      </c>
      <c r="Z1220" s="73">
        <f t="shared" si="56"/>
        <v>29</v>
      </c>
      <c r="AA1220" s="73">
        <f t="shared" si="57"/>
        <v>14</v>
      </c>
      <c r="AB1220" s="73">
        <f t="shared" si="58"/>
        <v>14</v>
      </c>
      <c r="AC1220" s="73">
        <f t="shared" si="59"/>
        <v>7</v>
      </c>
      <c r="AD1220" s="73">
        <f t="shared" si="60"/>
        <v>7</v>
      </c>
      <c r="AE1220" s="73">
        <f t="shared" si="61"/>
        <v>14.00122</v>
      </c>
      <c r="AF1220" s="73">
        <f t="shared" si="62"/>
        <v>14.00122</v>
      </c>
      <c r="AG1220" s="73">
        <f t="shared" si="63"/>
        <v>7.00122</v>
      </c>
      <c r="AH1220" s="73">
        <f t="shared" si="64"/>
        <v>7.00122</v>
      </c>
    </row>
    <row r="1221" spans="1:34" ht="14.25" customHeight="1">
      <c r="A1221" s="11">
        <v>1206</v>
      </c>
      <c r="B1221" s="66" t="s">
        <v>35</v>
      </c>
      <c r="C1221" s="67">
        <v>42416</v>
      </c>
      <c r="D1221" s="67"/>
      <c r="E1221" s="67"/>
      <c r="F1221" s="67"/>
      <c r="G1221" s="67"/>
      <c r="H1221" s="67"/>
      <c r="I1221" s="6" t="s">
        <v>1834</v>
      </c>
      <c r="J1221" s="9">
        <v>6858700379</v>
      </c>
      <c r="K1221" s="68">
        <v>42400</v>
      </c>
      <c r="L1221" s="68">
        <v>46022</v>
      </c>
      <c r="M1221" s="68">
        <v>46203</v>
      </c>
      <c r="N1221" s="69">
        <f t="shared" si="52"/>
        <v>5</v>
      </c>
      <c r="O1221" s="69">
        <f t="shared" si="53"/>
        <v>0</v>
      </c>
      <c r="P1221" s="70">
        <v>0</v>
      </c>
      <c r="Q1221" s="70">
        <v>5</v>
      </c>
      <c r="R1221" s="70">
        <v>5</v>
      </c>
      <c r="S1221" s="68" t="str">
        <f t="shared" si="54"/>
        <v/>
      </c>
      <c r="T1221" s="68"/>
      <c r="U1221" s="68"/>
      <c r="V1221" s="68"/>
      <c r="W1221" s="9"/>
      <c r="X1221" s="10"/>
      <c r="Y1221" s="71">
        <f t="shared" si="55"/>
        <v>5</v>
      </c>
      <c r="Z1221" s="73">
        <f t="shared" si="56"/>
        <v>5</v>
      </c>
      <c r="AA1221" s="73">
        <f t="shared" si="57"/>
        <v>5</v>
      </c>
      <c r="AB1221" s="11" t="str">
        <f t="shared" si="58"/>
        <v/>
      </c>
      <c r="AC1221" s="73">
        <f t="shared" si="59"/>
        <v>0</v>
      </c>
      <c r="AD1221" s="11" t="str">
        <f t="shared" si="60"/>
        <v/>
      </c>
      <c r="AE1221" s="73">
        <f t="shared" si="61"/>
        <v>5.0012210000000001</v>
      </c>
      <c r="AF1221" s="11" t="str">
        <f t="shared" si="62"/>
        <v/>
      </c>
      <c r="AG1221" s="73">
        <f t="shared" si="63"/>
        <v>1.2210000000000001E-3</v>
      </c>
      <c r="AH1221" s="11" t="str">
        <f t="shared" si="64"/>
        <v/>
      </c>
    </row>
    <row r="1222" spans="1:34" ht="14.25" customHeight="1">
      <c r="A1222" s="11">
        <v>1207</v>
      </c>
      <c r="B1222" s="66"/>
      <c r="C1222" s="67"/>
      <c r="D1222" s="67"/>
      <c r="E1222" s="67"/>
      <c r="F1222" s="67"/>
      <c r="G1222" s="67" t="s">
        <v>35</v>
      </c>
      <c r="H1222" s="67">
        <v>43830</v>
      </c>
      <c r="I1222" s="6" t="s">
        <v>1835</v>
      </c>
      <c r="J1222" s="9">
        <v>6868100894</v>
      </c>
      <c r="K1222" s="68">
        <v>43799</v>
      </c>
      <c r="L1222" s="68">
        <v>46022</v>
      </c>
      <c r="M1222" s="68">
        <v>46203</v>
      </c>
      <c r="N1222" s="69">
        <f t="shared" si="52"/>
        <v>15</v>
      </c>
      <c r="O1222" s="69">
        <f t="shared" si="53"/>
        <v>2</v>
      </c>
      <c r="P1222" s="70">
        <v>7</v>
      </c>
      <c r="Q1222" s="70">
        <v>20</v>
      </c>
      <c r="R1222" s="70">
        <v>22</v>
      </c>
      <c r="S1222" s="68" t="str">
        <f t="shared" si="54"/>
        <v/>
      </c>
      <c r="T1222" s="68"/>
      <c r="U1222" s="68"/>
      <c r="V1222" s="68"/>
      <c r="W1222" s="9"/>
      <c r="X1222" s="10"/>
      <c r="Y1222" s="71">
        <f t="shared" si="55"/>
        <v>20</v>
      </c>
      <c r="Z1222" s="73">
        <f t="shared" si="56"/>
        <v>22</v>
      </c>
      <c r="AA1222" s="11" t="str">
        <f t="shared" si="57"/>
        <v/>
      </c>
      <c r="AB1222" s="73">
        <f t="shared" si="58"/>
        <v>15</v>
      </c>
      <c r="AC1222" s="11" t="str">
        <f t="shared" si="59"/>
        <v/>
      </c>
      <c r="AD1222" s="73">
        <f t="shared" si="60"/>
        <v>2</v>
      </c>
      <c r="AE1222" s="11" t="str">
        <f t="shared" si="61"/>
        <v/>
      </c>
      <c r="AF1222" s="73">
        <f t="shared" si="62"/>
        <v>15.001222</v>
      </c>
      <c r="AG1222" s="11" t="str">
        <f t="shared" si="63"/>
        <v/>
      </c>
      <c r="AH1222" s="73">
        <f t="shared" si="64"/>
        <v>2.0012219999999998</v>
      </c>
    </row>
    <row r="1223" spans="1:34" ht="14.25" customHeight="1">
      <c r="A1223" s="11">
        <v>1208</v>
      </c>
      <c r="B1223" s="66" t="s">
        <v>35</v>
      </c>
      <c r="C1223" s="67"/>
      <c r="D1223" s="67"/>
      <c r="E1223" s="67"/>
      <c r="F1223" s="67">
        <v>46154</v>
      </c>
      <c r="G1223" s="67"/>
      <c r="H1223" s="67"/>
      <c r="I1223" s="6" t="s">
        <v>1836</v>
      </c>
      <c r="J1223" s="37">
        <v>6868102010</v>
      </c>
      <c r="K1223" s="68">
        <v>46142</v>
      </c>
      <c r="L1223" s="68" t="s">
        <v>230</v>
      </c>
      <c r="M1223" s="68">
        <v>46203</v>
      </c>
      <c r="N1223" s="69">
        <f t="shared" si="52"/>
        <v>2</v>
      </c>
      <c r="O1223" s="69">
        <f t="shared" si="53"/>
        <v>2</v>
      </c>
      <c r="P1223" s="70">
        <v>6</v>
      </c>
      <c r="Q1223" s="70"/>
      <c r="R1223" s="70">
        <v>8</v>
      </c>
      <c r="S1223" s="68" t="str">
        <f t="shared" si="54"/>
        <v/>
      </c>
      <c r="T1223" s="68"/>
      <c r="U1223" s="95"/>
      <c r="V1223" s="68"/>
      <c r="W1223" s="6"/>
      <c r="X1223" s="93"/>
      <c r="Y1223" s="71">
        <f t="shared" si="55"/>
        <v>6</v>
      </c>
      <c r="Z1223" s="73">
        <f t="shared" si="56"/>
        <v>8</v>
      </c>
      <c r="AA1223" s="73">
        <f t="shared" si="57"/>
        <v>2</v>
      </c>
      <c r="AB1223" s="11" t="str">
        <f t="shared" si="58"/>
        <v/>
      </c>
      <c r="AC1223" s="73">
        <f t="shared" si="59"/>
        <v>2</v>
      </c>
      <c r="AD1223" s="11" t="str">
        <f t="shared" si="60"/>
        <v/>
      </c>
      <c r="AE1223" s="73">
        <f t="shared" si="61"/>
        <v>2.001223</v>
      </c>
      <c r="AF1223" s="11" t="str">
        <f t="shared" si="62"/>
        <v/>
      </c>
      <c r="AG1223" s="73">
        <f t="shared" si="63"/>
        <v>2.001223</v>
      </c>
      <c r="AH1223" s="11" t="str">
        <f t="shared" si="64"/>
        <v/>
      </c>
    </row>
    <row r="1224" spans="1:34" ht="14.25" customHeight="1">
      <c r="A1224" s="11">
        <v>1209</v>
      </c>
      <c r="B1224" s="66"/>
      <c r="C1224" s="67"/>
      <c r="D1224" s="67"/>
      <c r="E1224" s="67"/>
      <c r="F1224" s="67"/>
      <c r="G1224" s="67" t="s">
        <v>35</v>
      </c>
      <c r="H1224" s="67">
        <v>45432</v>
      </c>
      <c r="I1224" s="6" t="s">
        <v>1837</v>
      </c>
      <c r="J1224" s="9">
        <v>6868703030</v>
      </c>
      <c r="K1224" s="68">
        <v>45412</v>
      </c>
      <c r="L1224" s="68">
        <v>46022</v>
      </c>
      <c r="M1224" s="68">
        <v>46203</v>
      </c>
      <c r="N1224" s="69">
        <f t="shared" si="52"/>
        <v>8</v>
      </c>
      <c r="O1224" s="69">
        <f t="shared" si="53"/>
        <v>0</v>
      </c>
      <c r="P1224" s="70">
        <v>3</v>
      </c>
      <c r="Q1224" s="70">
        <v>11</v>
      </c>
      <c r="R1224" s="70">
        <v>11</v>
      </c>
      <c r="S1224" s="68" t="str">
        <f t="shared" si="54"/>
        <v/>
      </c>
      <c r="T1224" s="68"/>
      <c r="U1224" s="68"/>
      <c r="V1224" s="68"/>
      <c r="W1224" s="9"/>
      <c r="X1224" s="10"/>
      <c r="Y1224" s="71">
        <f t="shared" si="55"/>
        <v>11</v>
      </c>
      <c r="Z1224" s="73">
        <f t="shared" si="56"/>
        <v>11</v>
      </c>
      <c r="AA1224" s="11" t="str">
        <f t="shared" si="57"/>
        <v/>
      </c>
      <c r="AB1224" s="73">
        <f t="shared" si="58"/>
        <v>8</v>
      </c>
      <c r="AC1224" s="11" t="str">
        <f t="shared" si="59"/>
        <v/>
      </c>
      <c r="AD1224" s="73">
        <f t="shared" si="60"/>
        <v>0</v>
      </c>
      <c r="AE1224" s="11" t="str">
        <f t="shared" si="61"/>
        <v/>
      </c>
      <c r="AF1224" s="73">
        <f t="shared" si="62"/>
        <v>8.0012240000000006</v>
      </c>
      <c r="AG1224" s="11" t="str">
        <f t="shared" si="63"/>
        <v/>
      </c>
      <c r="AH1224" s="73">
        <f t="shared" si="64"/>
        <v>1.224E-3</v>
      </c>
    </row>
    <row r="1225" spans="1:34" ht="14.25" customHeight="1">
      <c r="A1225" s="11">
        <v>1210</v>
      </c>
      <c r="B1225" s="66"/>
      <c r="C1225" s="67"/>
      <c r="D1225" s="67"/>
      <c r="E1225" s="67"/>
      <c r="F1225" s="67"/>
      <c r="G1225" s="67" t="s">
        <v>35</v>
      </c>
      <c r="H1225" s="67">
        <v>42643</v>
      </c>
      <c r="I1225" s="6" t="s">
        <v>1838</v>
      </c>
      <c r="J1225" s="9">
        <v>6888100605</v>
      </c>
      <c r="K1225" s="68">
        <v>42613</v>
      </c>
      <c r="L1225" s="68">
        <v>46022</v>
      </c>
      <c r="M1225" s="68">
        <v>46203</v>
      </c>
      <c r="N1225" s="69">
        <f t="shared" si="52"/>
        <v>2</v>
      </c>
      <c r="O1225" s="69">
        <f t="shared" si="53"/>
        <v>0</v>
      </c>
      <c r="P1225" s="70">
        <v>0</v>
      </c>
      <c r="Q1225" s="70">
        <v>2</v>
      </c>
      <c r="R1225" s="70">
        <v>2</v>
      </c>
      <c r="S1225" s="68" t="str">
        <f t="shared" si="54"/>
        <v/>
      </c>
      <c r="T1225" s="68"/>
      <c r="U1225" s="68"/>
      <c r="V1225" s="68"/>
      <c r="W1225" s="9"/>
      <c r="X1225" s="10"/>
      <c r="Y1225" s="71">
        <f t="shared" si="55"/>
        <v>2</v>
      </c>
      <c r="Z1225" s="73">
        <f t="shared" si="56"/>
        <v>2</v>
      </c>
      <c r="AA1225" s="11" t="str">
        <f t="shared" si="57"/>
        <v/>
      </c>
      <c r="AB1225" s="73">
        <f t="shared" si="58"/>
        <v>2</v>
      </c>
      <c r="AC1225" s="11" t="str">
        <f t="shared" si="59"/>
        <v/>
      </c>
      <c r="AD1225" s="73">
        <f t="shared" si="60"/>
        <v>0</v>
      </c>
      <c r="AE1225" s="11" t="str">
        <f t="shared" si="61"/>
        <v/>
      </c>
      <c r="AF1225" s="73">
        <f t="shared" si="62"/>
        <v>2.0012249999999998</v>
      </c>
      <c r="AG1225" s="11" t="str">
        <f t="shared" si="63"/>
        <v/>
      </c>
      <c r="AH1225" s="73">
        <f t="shared" si="64"/>
        <v>1.225E-3</v>
      </c>
    </row>
    <row r="1226" spans="1:34" ht="14.25" customHeight="1">
      <c r="A1226" s="11">
        <v>1211</v>
      </c>
      <c r="B1226" s="66"/>
      <c r="C1226" s="67"/>
      <c r="D1226" s="67"/>
      <c r="E1226" s="67"/>
      <c r="F1226" s="67"/>
      <c r="G1226" s="67" t="s">
        <v>35</v>
      </c>
      <c r="H1226" s="67">
        <v>44253</v>
      </c>
      <c r="I1226" s="6" t="s">
        <v>1839</v>
      </c>
      <c r="J1226" s="9">
        <v>6888601195</v>
      </c>
      <c r="K1226" s="68">
        <v>44227</v>
      </c>
      <c r="L1226" s="68">
        <v>46022</v>
      </c>
      <c r="M1226" s="68">
        <v>46203</v>
      </c>
      <c r="N1226" s="69">
        <f t="shared" si="52"/>
        <v>-3</v>
      </c>
      <c r="O1226" s="69">
        <f t="shared" si="53"/>
        <v>0</v>
      </c>
      <c r="P1226" s="70">
        <v>8</v>
      </c>
      <c r="Q1226" s="70">
        <v>5</v>
      </c>
      <c r="R1226" s="70">
        <v>5</v>
      </c>
      <c r="S1226" s="68" t="str">
        <f t="shared" si="54"/>
        <v/>
      </c>
      <c r="T1226" s="68"/>
      <c r="U1226" s="68"/>
      <c r="V1226" s="68"/>
      <c r="W1226" s="9"/>
      <c r="X1226" s="10"/>
      <c r="Y1226" s="71">
        <f t="shared" si="55"/>
        <v>5</v>
      </c>
      <c r="Z1226" s="73">
        <f t="shared" si="56"/>
        <v>5</v>
      </c>
      <c r="AA1226" s="11" t="str">
        <f t="shared" si="57"/>
        <v/>
      </c>
      <c r="AB1226" s="73">
        <f t="shared" si="58"/>
        <v>-3</v>
      </c>
      <c r="AC1226" s="11" t="str">
        <f t="shared" si="59"/>
        <v/>
      </c>
      <c r="AD1226" s="73">
        <f t="shared" si="60"/>
        <v>0</v>
      </c>
      <c r="AE1226" s="11" t="str">
        <f t="shared" si="61"/>
        <v/>
      </c>
      <c r="AF1226" s="73">
        <f t="shared" si="62"/>
        <v>-2.9987740000000001</v>
      </c>
      <c r="AG1226" s="11" t="str">
        <f t="shared" si="63"/>
        <v/>
      </c>
      <c r="AH1226" s="73">
        <f t="shared" si="64"/>
        <v>1.2260000000000001E-3</v>
      </c>
    </row>
    <row r="1227" spans="1:34" ht="14.25" customHeight="1">
      <c r="A1227" s="11">
        <v>1212</v>
      </c>
      <c r="B1227" s="66" t="s">
        <v>35</v>
      </c>
      <c r="C1227" s="67"/>
      <c r="D1227" s="67">
        <v>45272</v>
      </c>
      <c r="E1227" s="67"/>
      <c r="F1227" s="67"/>
      <c r="G1227" s="67"/>
      <c r="H1227" s="67"/>
      <c r="I1227" s="6" t="s">
        <v>1840</v>
      </c>
      <c r="J1227" s="9">
        <v>6888801020</v>
      </c>
      <c r="K1227" s="68">
        <v>45260</v>
      </c>
      <c r="L1227" s="68">
        <v>46022</v>
      </c>
      <c r="M1227" s="68">
        <v>46203</v>
      </c>
      <c r="N1227" s="69">
        <f t="shared" si="52"/>
        <v>-6</v>
      </c>
      <c r="O1227" s="69">
        <f t="shared" si="53"/>
        <v>0</v>
      </c>
      <c r="P1227" s="70">
        <v>10</v>
      </c>
      <c r="Q1227" s="70">
        <v>4</v>
      </c>
      <c r="R1227" s="70">
        <v>4</v>
      </c>
      <c r="S1227" s="68" t="str">
        <f t="shared" si="54"/>
        <v/>
      </c>
      <c r="T1227" s="68"/>
      <c r="U1227" s="68"/>
      <c r="V1227" s="68"/>
      <c r="W1227" s="9"/>
      <c r="X1227" s="10"/>
      <c r="Y1227" s="71">
        <f t="shared" si="55"/>
        <v>4</v>
      </c>
      <c r="Z1227" s="73">
        <f t="shared" si="56"/>
        <v>4</v>
      </c>
      <c r="AA1227" s="73">
        <f t="shared" si="57"/>
        <v>-6</v>
      </c>
      <c r="AB1227" s="11" t="str">
        <f t="shared" si="58"/>
        <v/>
      </c>
      <c r="AC1227" s="73">
        <f t="shared" si="59"/>
        <v>0</v>
      </c>
      <c r="AD1227" s="11" t="str">
        <f t="shared" si="60"/>
        <v/>
      </c>
      <c r="AE1227" s="73">
        <f t="shared" si="61"/>
        <v>-5.9987729999999999</v>
      </c>
      <c r="AF1227" s="11" t="str">
        <f t="shared" si="62"/>
        <v/>
      </c>
      <c r="AG1227" s="73">
        <f t="shared" si="63"/>
        <v>1.227E-3</v>
      </c>
      <c r="AH1227" s="11" t="str">
        <f t="shared" si="64"/>
        <v/>
      </c>
    </row>
    <row r="1228" spans="1:34" ht="14.25" customHeight="1">
      <c r="A1228" s="11">
        <v>1213</v>
      </c>
      <c r="B1228" s="66" t="s">
        <v>24</v>
      </c>
      <c r="C1228" s="67">
        <v>43447</v>
      </c>
      <c r="D1228" s="67"/>
      <c r="E1228" s="67"/>
      <c r="F1228" s="67"/>
      <c r="G1228" s="67"/>
      <c r="H1228" s="67"/>
      <c r="I1228" s="6" t="s">
        <v>1841</v>
      </c>
      <c r="J1228" s="9">
        <v>6908100909</v>
      </c>
      <c r="K1228" s="68">
        <v>43434</v>
      </c>
      <c r="L1228" s="68" t="s">
        <v>230</v>
      </c>
      <c r="M1228" s="68">
        <v>43890</v>
      </c>
      <c r="N1228" s="69">
        <f t="shared" si="52"/>
        <v>-3</v>
      </c>
      <c r="O1228" s="69" t="str">
        <f t="shared" si="53"/>
        <v>N/A</v>
      </c>
      <c r="P1228" s="70">
        <v>3</v>
      </c>
      <c r="Q1228" s="70"/>
      <c r="R1228" s="70">
        <v>0</v>
      </c>
      <c r="S1228" s="68">
        <f t="shared" si="54"/>
        <v>43875</v>
      </c>
      <c r="T1228" s="68">
        <v>43875</v>
      </c>
      <c r="U1228" s="68"/>
      <c r="V1228" s="68"/>
      <c r="W1228" s="9"/>
      <c r="X1228" s="10"/>
      <c r="Y1228" s="65" t="str">
        <f t="shared" si="55"/>
        <v/>
      </c>
      <c r="Z1228" s="11" t="str">
        <f t="shared" si="56"/>
        <v/>
      </c>
      <c r="AA1228" s="73">
        <f t="shared" si="57"/>
        <v>-3</v>
      </c>
      <c r="AB1228" s="11" t="str">
        <f t="shared" si="58"/>
        <v/>
      </c>
      <c r="AC1228" s="11" t="str">
        <f t="shared" si="59"/>
        <v/>
      </c>
      <c r="AD1228" s="11" t="str">
        <f t="shared" si="60"/>
        <v/>
      </c>
      <c r="AE1228" s="73">
        <f t="shared" si="61"/>
        <v>-2.9987720000000002</v>
      </c>
      <c r="AF1228" s="11" t="str">
        <f t="shared" si="62"/>
        <v/>
      </c>
      <c r="AG1228" s="11" t="str">
        <f t="shared" si="63"/>
        <v/>
      </c>
      <c r="AH1228" s="11" t="str">
        <f t="shared" si="64"/>
        <v/>
      </c>
    </row>
    <row r="1229" spans="1:34" ht="14.25" customHeight="1">
      <c r="A1229" s="11">
        <v>1214</v>
      </c>
      <c r="B1229" s="66" t="s">
        <v>35</v>
      </c>
      <c r="C1229" s="67"/>
      <c r="D1229" s="67">
        <v>44399</v>
      </c>
      <c r="E1229" s="67"/>
      <c r="F1229" s="67"/>
      <c r="G1229" s="67"/>
      <c r="H1229" s="67"/>
      <c r="I1229" s="6" t="s">
        <v>1842</v>
      </c>
      <c r="J1229" s="9">
        <v>6908101801</v>
      </c>
      <c r="K1229" s="68">
        <v>44377</v>
      </c>
      <c r="L1229" s="68">
        <v>46022</v>
      </c>
      <c r="M1229" s="68">
        <v>46203</v>
      </c>
      <c r="N1229" s="69">
        <f t="shared" si="52"/>
        <v>10</v>
      </c>
      <c r="O1229" s="69">
        <f t="shared" si="53"/>
        <v>5</v>
      </c>
      <c r="P1229" s="70">
        <v>11</v>
      </c>
      <c r="Q1229" s="70">
        <v>16</v>
      </c>
      <c r="R1229" s="70">
        <v>21</v>
      </c>
      <c r="S1229" s="68" t="str">
        <f t="shared" si="54"/>
        <v/>
      </c>
      <c r="T1229" s="68"/>
      <c r="U1229" s="68"/>
      <c r="V1229" s="68"/>
      <c r="W1229" s="9"/>
      <c r="X1229" s="10"/>
      <c r="Y1229" s="71">
        <f t="shared" si="55"/>
        <v>16</v>
      </c>
      <c r="Z1229" s="73">
        <f t="shared" si="56"/>
        <v>21</v>
      </c>
      <c r="AA1229" s="73">
        <f t="shared" si="57"/>
        <v>10</v>
      </c>
      <c r="AB1229" s="11" t="str">
        <f t="shared" si="58"/>
        <v/>
      </c>
      <c r="AC1229" s="73">
        <f t="shared" si="59"/>
        <v>5</v>
      </c>
      <c r="AD1229" s="11" t="str">
        <f t="shared" si="60"/>
        <v/>
      </c>
      <c r="AE1229" s="73">
        <f t="shared" si="61"/>
        <v>10.001229</v>
      </c>
      <c r="AF1229" s="11" t="str">
        <f t="shared" si="62"/>
        <v/>
      </c>
      <c r="AG1229" s="73">
        <f t="shared" si="63"/>
        <v>5.0012290000000004</v>
      </c>
      <c r="AH1229" s="11" t="str">
        <f t="shared" si="64"/>
        <v/>
      </c>
    </row>
    <row r="1230" spans="1:34" ht="14.25" customHeight="1">
      <c r="A1230" s="11">
        <v>1215</v>
      </c>
      <c r="B1230" s="66"/>
      <c r="C1230" s="67"/>
      <c r="D1230" s="67"/>
      <c r="E1230" s="67"/>
      <c r="F1230" s="67"/>
      <c r="G1230" s="67" t="s">
        <v>35</v>
      </c>
      <c r="H1230" s="67">
        <v>43053</v>
      </c>
      <c r="I1230" s="6" t="s">
        <v>1843</v>
      </c>
      <c r="J1230" s="9">
        <v>6918100197</v>
      </c>
      <c r="K1230" s="68">
        <v>43039</v>
      </c>
      <c r="L1230" s="68">
        <v>46022</v>
      </c>
      <c r="M1230" s="68">
        <v>46203</v>
      </c>
      <c r="N1230" s="69">
        <f t="shared" si="52"/>
        <v>-4</v>
      </c>
      <c r="O1230" s="69">
        <f t="shared" si="53"/>
        <v>0</v>
      </c>
      <c r="P1230" s="70">
        <v>7</v>
      </c>
      <c r="Q1230" s="70">
        <v>3</v>
      </c>
      <c r="R1230" s="70">
        <v>3</v>
      </c>
      <c r="S1230" s="68" t="str">
        <f t="shared" si="54"/>
        <v/>
      </c>
      <c r="T1230" s="68"/>
      <c r="U1230" s="68"/>
      <c r="V1230" s="68"/>
      <c r="W1230" s="9"/>
      <c r="X1230" s="10"/>
      <c r="Y1230" s="71">
        <f t="shared" si="55"/>
        <v>3</v>
      </c>
      <c r="Z1230" s="73">
        <f t="shared" si="56"/>
        <v>3</v>
      </c>
      <c r="AA1230" s="11" t="str">
        <f t="shared" si="57"/>
        <v/>
      </c>
      <c r="AB1230" s="73">
        <f t="shared" si="58"/>
        <v>-4</v>
      </c>
      <c r="AC1230" s="11" t="str">
        <f t="shared" si="59"/>
        <v/>
      </c>
      <c r="AD1230" s="73">
        <f t="shared" si="60"/>
        <v>0</v>
      </c>
      <c r="AE1230" s="11" t="str">
        <f t="shared" si="61"/>
        <v/>
      </c>
      <c r="AF1230" s="73">
        <f t="shared" si="62"/>
        <v>-3.9987699999999999</v>
      </c>
      <c r="AG1230" s="11" t="str">
        <f t="shared" si="63"/>
        <v/>
      </c>
      <c r="AH1230" s="73">
        <f t="shared" si="64"/>
        <v>1.23E-3</v>
      </c>
    </row>
    <row r="1231" spans="1:34" ht="14.25" customHeight="1">
      <c r="A1231" s="11">
        <v>1216</v>
      </c>
      <c r="B1231" s="66" t="s">
        <v>1844</v>
      </c>
      <c r="C1231" s="67">
        <v>43069</v>
      </c>
      <c r="D1231" s="67">
        <v>43091</v>
      </c>
      <c r="E1231" s="67"/>
      <c r="F1231" s="67"/>
      <c r="G1231" s="67"/>
      <c r="H1231" s="67"/>
      <c r="I1231" s="6" t="s">
        <v>1845</v>
      </c>
      <c r="J1231" s="9">
        <v>6918600343</v>
      </c>
      <c r="K1231" s="68">
        <v>43039</v>
      </c>
      <c r="L1231" s="68">
        <v>46022</v>
      </c>
      <c r="M1231" s="68">
        <v>46203</v>
      </c>
      <c r="N1231" s="69">
        <f t="shared" si="52"/>
        <v>-4</v>
      </c>
      <c r="O1231" s="69">
        <f t="shared" si="53"/>
        <v>-2</v>
      </c>
      <c r="P1231" s="70">
        <v>6</v>
      </c>
      <c r="Q1231" s="70">
        <v>4</v>
      </c>
      <c r="R1231" s="70">
        <v>2</v>
      </c>
      <c r="S1231" s="68" t="str">
        <f t="shared" si="54"/>
        <v/>
      </c>
      <c r="T1231" s="68"/>
      <c r="U1231" s="68">
        <v>45657</v>
      </c>
      <c r="V1231" s="68"/>
      <c r="W1231" s="9"/>
      <c r="X1231" s="93" t="s">
        <v>352</v>
      </c>
      <c r="Y1231" s="71">
        <f t="shared" si="55"/>
        <v>4</v>
      </c>
      <c r="Z1231" s="73">
        <f t="shared" si="56"/>
        <v>2</v>
      </c>
      <c r="AA1231" s="73">
        <f t="shared" si="57"/>
        <v>-4</v>
      </c>
      <c r="AB1231" s="11" t="str">
        <f t="shared" si="58"/>
        <v/>
      </c>
      <c r="AC1231" s="73">
        <f t="shared" si="59"/>
        <v>-2</v>
      </c>
      <c r="AD1231" s="11" t="str">
        <f t="shared" si="60"/>
        <v/>
      </c>
      <c r="AE1231" s="73">
        <f t="shared" si="61"/>
        <v>-3.9987689999999998</v>
      </c>
      <c r="AF1231" s="11" t="str">
        <f t="shared" si="62"/>
        <v/>
      </c>
      <c r="AG1231" s="73">
        <f t="shared" si="63"/>
        <v>-1.998769</v>
      </c>
      <c r="AH1231" s="11" t="str">
        <f t="shared" si="64"/>
        <v/>
      </c>
    </row>
    <row r="1232" spans="1:34" ht="14.25" customHeight="1">
      <c r="A1232" s="11">
        <v>1217</v>
      </c>
      <c r="B1232" s="66"/>
      <c r="C1232" s="67"/>
      <c r="D1232" s="67"/>
      <c r="E1232" s="67"/>
      <c r="F1232" s="67"/>
      <c r="G1232" s="67" t="s">
        <v>35</v>
      </c>
      <c r="H1232" s="67">
        <v>44439</v>
      </c>
      <c r="I1232" s="6" t="s">
        <v>1846</v>
      </c>
      <c r="J1232" s="9">
        <v>6918700786</v>
      </c>
      <c r="K1232" s="68">
        <v>44408</v>
      </c>
      <c r="L1232" s="68">
        <v>46022</v>
      </c>
      <c r="M1232" s="68">
        <v>46203</v>
      </c>
      <c r="N1232" s="69">
        <f t="shared" si="52"/>
        <v>-12</v>
      </c>
      <c r="O1232" s="69">
        <f t="shared" si="53"/>
        <v>1</v>
      </c>
      <c r="P1232" s="70">
        <v>14</v>
      </c>
      <c r="Q1232" s="70">
        <v>1</v>
      </c>
      <c r="R1232" s="70">
        <v>2</v>
      </c>
      <c r="S1232" s="68" t="str">
        <f t="shared" si="54"/>
        <v/>
      </c>
      <c r="T1232" s="68"/>
      <c r="U1232" s="68"/>
      <c r="V1232" s="68"/>
      <c r="W1232" s="9"/>
      <c r="X1232" s="10"/>
      <c r="Y1232" s="71">
        <f t="shared" si="55"/>
        <v>1</v>
      </c>
      <c r="Z1232" s="73">
        <f t="shared" si="56"/>
        <v>2</v>
      </c>
      <c r="AA1232" s="11" t="str">
        <f t="shared" si="57"/>
        <v/>
      </c>
      <c r="AB1232" s="73">
        <f t="shared" si="58"/>
        <v>-12</v>
      </c>
      <c r="AC1232" s="11" t="str">
        <f t="shared" si="59"/>
        <v/>
      </c>
      <c r="AD1232" s="73">
        <f t="shared" si="60"/>
        <v>1</v>
      </c>
      <c r="AE1232" s="11" t="str">
        <f t="shared" si="61"/>
        <v/>
      </c>
      <c r="AF1232" s="73">
        <f t="shared" si="62"/>
        <v>-11.998768</v>
      </c>
      <c r="AG1232" s="11" t="str">
        <f t="shared" si="63"/>
        <v/>
      </c>
      <c r="AH1232" s="73">
        <f t="shared" si="64"/>
        <v>1.0012319999999999</v>
      </c>
    </row>
    <row r="1233" spans="1:34" ht="14.25" customHeight="1">
      <c r="A1233" s="11">
        <v>1218</v>
      </c>
      <c r="B1233" s="66"/>
      <c r="C1233" s="67"/>
      <c r="D1233" s="67"/>
      <c r="E1233" s="67"/>
      <c r="F1233" s="67"/>
      <c r="G1233" s="67" t="s">
        <v>35</v>
      </c>
      <c r="H1233" s="67">
        <v>45492</v>
      </c>
      <c r="I1233" s="6" t="s">
        <v>1847</v>
      </c>
      <c r="J1233" s="9">
        <v>6928102107</v>
      </c>
      <c r="K1233" s="68">
        <v>45473</v>
      </c>
      <c r="L1233" s="68">
        <v>46022</v>
      </c>
      <c r="M1233" s="68">
        <v>46203</v>
      </c>
      <c r="N1233" s="69">
        <f t="shared" si="52"/>
        <v>5</v>
      </c>
      <c r="O1233" s="69">
        <f t="shared" si="53"/>
        <v>0</v>
      </c>
      <c r="P1233" s="70">
        <v>5</v>
      </c>
      <c r="Q1233" s="70">
        <v>10</v>
      </c>
      <c r="R1233" s="70">
        <v>10</v>
      </c>
      <c r="S1233" s="68" t="str">
        <f t="shared" si="54"/>
        <v/>
      </c>
      <c r="T1233" s="68"/>
      <c r="U1233" s="68"/>
      <c r="V1233" s="68"/>
      <c r="W1233" s="9"/>
      <c r="X1233" s="10"/>
      <c r="Y1233" s="71">
        <f t="shared" si="55"/>
        <v>10</v>
      </c>
      <c r="Z1233" s="73">
        <f t="shared" si="56"/>
        <v>10</v>
      </c>
      <c r="AA1233" s="11" t="str">
        <f t="shared" si="57"/>
        <v/>
      </c>
      <c r="AB1233" s="73">
        <f t="shared" si="58"/>
        <v>5</v>
      </c>
      <c r="AC1233" s="11" t="str">
        <f t="shared" si="59"/>
        <v/>
      </c>
      <c r="AD1233" s="73">
        <f t="shared" si="60"/>
        <v>0</v>
      </c>
      <c r="AE1233" s="11" t="str">
        <f t="shared" si="61"/>
        <v/>
      </c>
      <c r="AF1233" s="73">
        <f t="shared" si="62"/>
        <v>5.001233</v>
      </c>
      <c r="AG1233" s="11" t="str">
        <f t="shared" si="63"/>
        <v/>
      </c>
      <c r="AH1233" s="73">
        <f t="shared" si="64"/>
        <v>1.2329999999999999E-3</v>
      </c>
    </row>
    <row r="1234" spans="1:34" ht="14.25" customHeight="1">
      <c r="A1234" s="11">
        <v>1219</v>
      </c>
      <c r="B1234" s="66"/>
      <c r="C1234" s="67"/>
      <c r="D1234" s="67"/>
      <c r="E1234" s="67"/>
      <c r="F1234" s="67"/>
      <c r="G1234" s="67" t="s">
        <v>35</v>
      </c>
      <c r="H1234" s="67">
        <v>45057</v>
      </c>
      <c r="I1234" s="6" t="s">
        <v>1848</v>
      </c>
      <c r="J1234" s="9">
        <v>6928603042</v>
      </c>
      <c r="K1234" s="68">
        <v>45046</v>
      </c>
      <c r="L1234" s="68">
        <v>46022</v>
      </c>
      <c r="M1234" s="68">
        <v>46203</v>
      </c>
      <c r="N1234" s="69">
        <f t="shared" si="52"/>
        <v>4</v>
      </c>
      <c r="O1234" s="69">
        <f t="shared" si="53"/>
        <v>-1</v>
      </c>
      <c r="P1234" s="70">
        <v>3</v>
      </c>
      <c r="Q1234" s="70">
        <v>8</v>
      </c>
      <c r="R1234" s="70">
        <v>7</v>
      </c>
      <c r="S1234" s="68" t="str">
        <f t="shared" si="54"/>
        <v/>
      </c>
      <c r="T1234" s="68"/>
      <c r="U1234" s="68"/>
      <c r="V1234" s="68"/>
      <c r="W1234" s="9"/>
      <c r="X1234" s="10"/>
      <c r="Y1234" s="71">
        <f t="shared" si="55"/>
        <v>8</v>
      </c>
      <c r="Z1234" s="73">
        <f t="shared" si="56"/>
        <v>7</v>
      </c>
      <c r="AA1234" s="11" t="str">
        <f t="shared" si="57"/>
        <v/>
      </c>
      <c r="AB1234" s="73">
        <f t="shared" si="58"/>
        <v>4</v>
      </c>
      <c r="AC1234" s="11" t="str">
        <f t="shared" si="59"/>
        <v/>
      </c>
      <c r="AD1234" s="73">
        <f t="shared" si="60"/>
        <v>-1</v>
      </c>
      <c r="AE1234" s="11" t="str">
        <f t="shared" si="61"/>
        <v/>
      </c>
      <c r="AF1234" s="73">
        <f t="shared" si="62"/>
        <v>4.0012340000000002</v>
      </c>
      <c r="AG1234" s="11" t="str">
        <f t="shared" si="63"/>
        <v/>
      </c>
      <c r="AH1234" s="73">
        <f t="shared" si="64"/>
        <v>-0.99876600000000004</v>
      </c>
    </row>
    <row r="1235" spans="1:34" ht="14.25" customHeight="1">
      <c r="A1235" s="11">
        <v>1220</v>
      </c>
      <c r="B1235" s="66" t="s">
        <v>35</v>
      </c>
      <c r="C1235" s="67"/>
      <c r="D1235" s="67"/>
      <c r="E1235" s="67"/>
      <c r="F1235" s="67">
        <v>46184</v>
      </c>
      <c r="G1235" s="67" t="s">
        <v>35</v>
      </c>
      <c r="H1235" s="67">
        <v>44399</v>
      </c>
      <c r="I1235" s="6" t="s">
        <v>1849</v>
      </c>
      <c r="J1235" s="9">
        <v>6928701978</v>
      </c>
      <c r="K1235" s="68">
        <v>44377</v>
      </c>
      <c r="L1235" s="68">
        <v>46022</v>
      </c>
      <c r="M1235" s="68">
        <v>46203</v>
      </c>
      <c r="N1235" s="69">
        <f t="shared" si="52"/>
        <v>56</v>
      </c>
      <c r="O1235" s="69">
        <f t="shared" si="53"/>
        <v>2</v>
      </c>
      <c r="P1235" s="70">
        <v>10</v>
      </c>
      <c r="Q1235" s="70">
        <v>64</v>
      </c>
      <c r="R1235" s="70">
        <v>66</v>
      </c>
      <c r="S1235" s="68" t="str">
        <f t="shared" si="54"/>
        <v/>
      </c>
      <c r="T1235" s="68"/>
      <c r="U1235" s="68"/>
      <c r="V1235" s="68"/>
      <c r="W1235" s="9"/>
      <c r="X1235" s="10"/>
      <c r="Y1235" s="71">
        <f t="shared" si="55"/>
        <v>64</v>
      </c>
      <c r="Z1235" s="73">
        <f t="shared" si="56"/>
        <v>66</v>
      </c>
      <c r="AA1235" s="73">
        <f t="shared" si="57"/>
        <v>56</v>
      </c>
      <c r="AB1235" s="73">
        <f t="shared" si="58"/>
        <v>56</v>
      </c>
      <c r="AC1235" s="73">
        <f t="shared" si="59"/>
        <v>2</v>
      </c>
      <c r="AD1235" s="73">
        <f t="shared" si="60"/>
        <v>2</v>
      </c>
      <c r="AE1235" s="73">
        <f t="shared" si="61"/>
        <v>56.001235000000001</v>
      </c>
      <c r="AF1235" s="73">
        <f t="shared" si="62"/>
        <v>56.001235000000001</v>
      </c>
      <c r="AG1235" s="73">
        <f t="shared" si="63"/>
        <v>2.0012349999999999</v>
      </c>
      <c r="AH1235" s="73">
        <f t="shared" si="64"/>
        <v>2.0012349999999999</v>
      </c>
    </row>
    <row r="1236" spans="1:34" ht="14.25" customHeight="1">
      <c r="A1236" s="11">
        <v>1221</v>
      </c>
      <c r="B1236" s="66"/>
      <c r="C1236" s="67"/>
      <c r="D1236" s="67"/>
      <c r="E1236" s="67"/>
      <c r="F1236" s="67"/>
      <c r="G1236" s="67" t="s">
        <v>35</v>
      </c>
      <c r="H1236" s="67">
        <v>44879</v>
      </c>
      <c r="I1236" s="6" t="s">
        <v>1850</v>
      </c>
      <c r="J1236" s="9">
        <v>6938102721</v>
      </c>
      <c r="K1236" s="68">
        <v>44865</v>
      </c>
      <c r="L1236" s="68">
        <v>46022</v>
      </c>
      <c r="M1236" s="68">
        <v>46203</v>
      </c>
      <c r="N1236" s="69">
        <f t="shared" si="52"/>
        <v>12</v>
      </c>
      <c r="O1236" s="69">
        <f t="shared" si="53"/>
        <v>1</v>
      </c>
      <c r="P1236" s="70">
        <v>0</v>
      </c>
      <c r="Q1236" s="70">
        <v>11</v>
      </c>
      <c r="R1236" s="70">
        <v>12</v>
      </c>
      <c r="S1236" s="68" t="str">
        <f t="shared" si="54"/>
        <v/>
      </c>
      <c r="T1236" s="68"/>
      <c r="U1236" s="68"/>
      <c r="V1236" s="68"/>
      <c r="W1236" s="9"/>
      <c r="X1236" s="10"/>
      <c r="Y1236" s="71">
        <f t="shared" si="55"/>
        <v>11</v>
      </c>
      <c r="Z1236" s="73">
        <f t="shared" si="56"/>
        <v>12</v>
      </c>
      <c r="AA1236" s="11" t="str">
        <f t="shared" si="57"/>
        <v/>
      </c>
      <c r="AB1236" s="73">
        <f t="shared" si="58"/>
        <v>12</v>
      </c>
      <c r="AC1236" s="11" t="str">
        <f t="shared" si="59"/>
        <v/>
      </c>
      <c r="AD1236" s="73">
        <f t="shared" si="60"/>
        <v>1</v>
      </c>
      <c r="AE1236" s="11" t="str">
        <f t="shared" si="61"/>
        <v/>
      </c>
      <c r="AF1236" s="73">
        <f t="shared" si="62"/>
        <v>12.001236</v>
      </c>
      <c r="AG1236" s="11" t="str">
        <f t="shared" si="63"/>
        <v/>
      </c>
      <c r="AH1236" s="73">
        <f t="shared" si="64"/>
        <v>1.001236</v>
      </c>
    </row>
    <row r="1237" spans="1:34" ht="14.25" customHeight="1">
      <c r="A1237" s="11">
        <v>1222</v>
      </c>
      <c r="B1237" s="66"/>
      <c r="C1237" s="67"/>
      <c r="D1237" s="67"/>
      <c r="E1237" s="67"/>
      <c r="F1237" s="67"/>
      <c r="G1237" s="67" t="s">
        <v>35</v>
      </c>
      <c r="H1237" s="67">
        <v>44456</v>
      </c>
      <c r="I1237" s="6" t="s">
        <v>1851</v>
      </c>
      <c r="J1237" s="9">
        <v>6938601348</v>
      </c>
      <c r="K1237" s="68">
        <v>44439</v>
      </c>
      <c r="L1237" s="68">
        <v>46022</v>
      </c>
      <c r="M1237" s="68">
        <v>46203</v>
      </c>
      <c r="N1237" s="69">
        <f t="shared" si="52"/>
        <v>0</v>
      </c>
      <c r="O1237" s="69">
        <f t="shared" si="53"/>
        <v>0</v>
      </c>
      <c r="P1237" s="70">
        <v>0</v>
      </c>
      <c r="Q1237" s="70">
        <v>0</v>
      </c>
      <c r="R1237" s="70">
        <v>0</v>
      </c>
      <c r="S1237" s="68" t="str">
        <f t="shared" si="54"/>
        <v/>
      </c>
      <c r="T1237" s="68"/>
      <c r="U1237" s="68"/>
      <c r="V1237" s="68"/>
      <c r="W1237" s="9"/>
      <c r="X1237" s="10"/>
      <c r="Y1237" s="71">
        <f t="shared" si="55"/>
        <v>0</v>
      </c>
      <c r="Z1237" s="73">
        <f t="shared" si="56"/>
        <v>0</v>
      </c>
      <c r="AA1237" s="11" t="str">
        <f t="shared" si="57"/>
        <v/>
      </c>
      <c r="AB1237" s="73">
        <f t="shared" si="58"/>
        <v>0</v>
      </c>
      <c r="AC1237" s="11" t="str">
        <f t="shared" si="59"/>
        <v/>
      </c>
      <c r="AD1237" s="73">
        <f t="shared" si="60"/>
        <v>0</v>
      </c>
      <c r="AE1237" s="11" t="str">
        <f t="shared" si="61"/>
        <v/>
      </c>
      <c r="AF1237" s="73">
        <f t="shared" si="62"/>
        <v>1.237E-3</v>
      </c>
      <c r="AG1237" s="11" t="str">
        <f t="shared" si="63"/>
        <v/>
      </c>
      <c r="AH1237" s="73">
        <f t="shared" si="64"/>
        <v>1.237E-3</v>
      </c>
    </row>
    <row r="1238" spans="1:34" ht="14.25" customHeight="1">
      <c r="A1238" s="11">
        <v>1223</v>
      </c>
      <c r="B1238" s="66" t="s">
        <v>35</v>
      </c>
      <c r="C1238" s="67">
        <v>44109</v>
      </c>
      <c r="D1238" s="67"/>
      <c r="E1238" s="67"/>
      <c r="F1238" s="67"/>
      <c r="G1238" s="67"/>
      <c r="H1238" s="67"/>
      <c r="I1238" s="6" t="s">
        <v>1852</v>
      </c>
      <c r="J1238" s="9">
        <v>6938701568</v>
      </c>
      <c r="K1238" s="68">
        <v>44104</v>
      </c>
      <c r="L1238" s="68">
        <v>46022</v>
      </c>
      <c r="M1238" s="68">
        <v>46203</v>
      </c>
      <c r="N1238" s="69">
        <f t="shared" si="52"/>
        <v>18</v>
      </c>
      <c r="O1238" s="69">
        <f t="shared" si="53"/>
        <v>-3</v>
      </c>
      <c r="P1238" s="70">
        <v>0</v>
      </c>
      <c r="Q1238" s="70">
        <v>21</v>
      </c>
      <c r="R1238" s="70">
        <v>18</v>
      </c>
      <c r="S1238" s="68" t="str">
        <f t="shared" si="54"/>
        <v/>
      </c>
      <c r="T1238" s="68"/>
      <c r="U1238" s="68"/>
      <c r="V1238" s="68"/>
      <c r="W1238" s="9"/>
      <c r="X1238" s="10"/>
      <c r="Y1238" s="71">
        <f t="shared" si="55"/>
        <v>21</v>
      </c>
      <c r="Z1238" s="73">
        <f t="shared" si="56"/>
        <v>18</v>
      </c>
      <c r="AA1238" s="73">
        <f t="shared" si="57"/>
        <v>18</v>
      </c>
      <c r="AB1238" s="11" t="str">
        <f t="shared" si="58"/>
        <v/>
      </c>
      <c r="AC1238" s="73">
        <f t="shared" si="59"/>
        <v>-3</v>
      </c>
      <c r="AD1238" s="11" t="str">
        <f t="shared" si="60"/>
        <v/>
      </c>
      <c r="AE1238" s="73">
        <f t="shared" si="61"/>
        <v>18.001238000000001</v>
      </c>
      <c r="AF1238" s="11" t="str">
        <f t="shared" si="62"/>
        <v/>
      </c>
      <c r="AG1238" s="73">
        <f t="shared" si="63"/>
        <v>-2.9987620000000001</v>
      </c>
      <c r="AH1238" s="11" t="str">
        <f t="shared" si="64"/>
        <v/>
      </c>
    </row>
    <row r="1239" spans="1:34" ht="14.25" customHeight="1">
      <c r="A1239" s="11">
        <v>1224</v>
      </c>
      <c r="B1239" s="66" t="s">
        <v>35</v>
      </c>
      <c r="C1239" s="67">
        <v>44728</v>
      </c>
      <c r="D1239" s="67"/>
      <c r="E1239" s="67"/>
      <c r="F1239" s="67"/>
      <c r="G1239" s="67" t="s">
        <v>35</v>
      </c>
      <c r="H1239" s="67">
        <v>44691</v>
      </c>
      <c r="I1239" s="6" t="s">
        <v>1853</v>
      </c>
      <c r="J1239" s="9">
        <v>6948102476</v>
      </c>
      <c r="K1239" s="68">
        <v>44681</v>
      </c>
      <c r="L1239" s="68">
        <v>46022</v>
      </c>
      <c r="M1239" s="68">
        <v>46203</v>
      </c>
      <c r="N1239" s="69">
        <f t="shared" si="52"/>
        <v>0</v>
      </c>
      <c r="O1239" s="69">
        <f t="shared" si="53"/>
        <v>0</v>
      </c>
      <c r="P1239" s="70">
        <v>0</v>
      </c>
      <c r="Q1239" s="70">
        <v>0</v>
      </c>
      <c r="R1239" s="70">
        <v>0</v>
      </c>
      <c r="S1239" s="68" t="str">
        <f t="shared" si="54"/>
        <v/>
      </c>
      <c r="T1239" s="68"/>
      <c r="U1239" s="68"/>
      <c r="V1239" s="68"/>
      <c r="W1239" s="9"/>
      <c r="X1239" s="10" t="s">
        <v>1854</v>
      </c>
      <c r="Y1239" s="71">
        <f t="shared" si="55"/>
        <v>0</v>
      </c>
      <c r="Z1239" s="73">
        <f t="shared" si="56"/>
        <v>0</v>
      </c>
      <c r="AA1239" s="73">
        <f t="shared" si="57"/>
        <v>0</v>
      </c>
      <c r="AB1239" s="73">
        <f t="shared" si="58"/>
        <v>0</v>
      </c>
      <c r="AC1239" s="73">
        <f t="shared" si="59"/>
        <v>0</v>
      </c>
      <c r="AD1239" s="73">
        <f t="shared" si="60"/>
        <v>0</v>
      </c>
      <c r="AE1239" s="73">
        <f t="shared" si="61"/>
        <v>1.2390000000000001E-3</v>
      </c>
      <c r="AF1239" s="73">
        <f t="shared" si="62"/>
        <v>1.2390000000000001E-3</v>
      </c>
      <c r="AG1239" s="73">
        <f t="shared" si="63"/>
        <v>1.2390000000000001E-3</v>
      </c>
      <c r="AH1239" s="73">
        <f t="shared" si="64"/>
        <v>1.2390000000000001E-3</v>
      </c>
    </row>
    <row r="1240" spans="1:34" ht="14.25" customHeight="1">
      <c r="A1240" s="11">
        <v>1225</v>
      </c>
      <c r="B1240" s="66" t="s">
        <v>35</v>
      </c>
      <c r="C1240" s="67">
        <v>44986</v>
      </c>
      <c r="D1240" s="67"/>
      <c r="E1240" s="67"/>
      <c r="F1240" s="67"/>
      <c r="G1240" s="67" t="s">
        <v>35</v>
      </c>
      <c r="H1240" s="67">
        <v>44692</v>
      </c>
      <c r="I1240" s="6" t="s">
        <v>1855</v>
      </c>
      <c r="J1240" s="9">
        <v>6948601661</v>
      </c>
      <c r="K1240" s="68">
        <v>44681</v>
      </c>
      <c r="L1240" s="68">
        <v>46022</v>
      </c>
      <c r="M1240" s="68">
        <v>46203</v>
      </c>
      <c r="N1240" s="69">
        <f t="shared" si="52"/>
        <v>2</v>
      </c>
      <c r="O1240" s="69">
        <f t="shared" si="53"/>
        <v>0</v>
      </c>
      <c r="P1240" s="70">
        <v>7</v>
      </c>
      <c r="Q1240" s="70">
        <v>9</v>
      </c>
      <c r="R1240" s="70">
        <v>9</v>
      </c>
      <c r="S1240" s="68" t="str">
        <f t="shared" si="54"/>
        <v/>
      </c>
      <c r="T1240" s="68"/>
      <c r="U1240" s="68"/>
      <c r="V1240" s="68"/>
      <c r="W1240" s="9"/>
      <c r="X1240" s="10"/>
      <c r="Y1240" s="71">
        <f t="shared" si="55"/>
        <v>9</v>
      </c>
      <c r="Z1240" s="73">
        <f t="shared" si="56"/>
        <v>9</v>
      </c>
      <c r="AA1240" s="73">
        <f t="shared" si="57"/>
        <v>2</v>
      </c>
      <c r="AB1240" s="73">
        <f t="shared" si="58"/>
        <v>2</v>
      </c>
      <c r="AC1240" s="73">
        <f t="shared" si="59"/>
        <v>0</v>
      </c>
      <c r="AD1240" s="73">
        <f t="shared" si="60"/>
        <v>0</v>
      </c>
      <c r="AE1240" s="73">
        <f t="shared" si="61"/>
        <v>2.0012400000000001</v>
      </c>
      <c r="AF1240" s="73">
        <f t="shared" si="62"/>
        <v>2.0012400000000001</v>
      </c>
      <c r="AG1240" s="73">
        <f t="shared" si="63"/>
        <v>1.24E-3</v>
      </c>
      <c r="AH1240" s="73">
        <f t="shared" si="64"/>
        <v>1.24E-3</v>
      </c>
    </row>
    <row r="1241" spans="1:34" ht="14.25" customHeight="1">
      <c r="A1241" s="11">
        <v>1226</v>
      </c>
      <c r="B1241" s="66" t="s">
        <v>35</v>
      </c>
      <c r="C1241" s="67">
        <v>44621</v>
      </c>
      <c r="D1241" s="67">
        <v>44691</v>
      </c>
      <c r="E1241" s="67"/>
      <c r="F1241" s="67"/>
      <c r="G1241" s="67"/>
      <c r="H1241" s="67"/>
      <c r="I1241" s="6" t="s">
        <v>1856</v>
      </c>
      <c r="J1241" s="9">
        <v>6948602485</v>
      </c>
      <c r="K1241" s="68">
        <v>44620</v>
      </c>
      <c r="L1241" s="68">
        <v>46022</v>
      </c>
      <c r="M1241" s="68">
        <v>46203</v>
      </c>
      <c r="N1241" s="69">
        <f t="shared" si="52"/>
        <v>4</v>
      </c>
      <c r="O1241" s="69">
        <f t="shared" si="53"/>
        <v>0</v>
      </c>
      <c r="P1241" s="70">
        <v>0</v>
      </c>
      <c r="Q1241" s="70">
        <v>4</v>
      </c>
      <c r="R1241" s="70">
        <v>4</v>
      </c>
      <c r="S1241" s="68" t="str">
        <f t="shared" si="54"/>
        <v/>
      </c>
      <c r="T1241" s="68"/>
      <c r="U1241" s="68"/>
      <c r="V1241" s="68"/>
      <c r="W1241" s="9"/>
      <c r="X1241" s="10"/>
      <c r="Y1241" s="71">
        <f t="shared" si="55"/>
        <v>4</v>
      </c>
      <c r="Z1241" s="73">
        <f t="shared" si="56"/>
        <v>4</v>
      </c>
      <c r="AA1241" s="73">
        <f t="shared" si="57"/>
        <v>4</v>
      </c>
      <c r="AB1241" s="11" t="str">
        <f t="shared" si="58"/>
        <v/>
      </c>
      <c r="AC1241" s="73">
        <f t="shared" si="59"/>
        <v>0</v>
      </c>
      <c r="AD1241" s="11" t="str">
        <f t="shared" si="60"/>
        <v/>
      </c>
      <c r="AE1241" s="73">
        <f t="shared" si="61"/>
        <v>4.0012410000000003</v>
      </c>
      <c r="AF1241" s="11" t="str">
        <f t="shared" si="62"/>
        <v/>
      </c>
      <c r="AG1241" s="73">
        <f t="shared" si="63"/>
        <v>1.2409999999999999E-3</v>
      </c>
      <c r="AH1241" s="11" t="str">
        <f t="shared" si="64"/>
        <v/>
      </c>
    </row>
    <row r="1242" spans="1:34" ht="14.25" customHeight="1">
      <c r="A1242" s="11">
        <v>1227</v>
      </c>
      <c r="B1242" s="66"/>
      <c r="C1242" s="67"/>
      <c r="D1242" s="67"/>
      <c r="E1242" s="67"/>
      <c r="F1242" s="67"/>
      <c r="G1242" s="67" t="s">
        <v>35</v>
      </c>
      <c r="H1242" s="67">
        <v>45868</v>
      </c>
      <c r="I1242" s="6" t="s">
        <v>1857</v>
      </c>
      <c r="J1242" s="94">
        <v>6968703323</v>
      </c>
      <c r="K1242" s="68">
        <v>45838</v>
      </c>
      <c r="L1242" s="68">
        <v>46022</v>
      </c>
      <c r="M1242" s="68">
        <v>46203</v>
      </c>
      <c r="N1242" s="69">
        <f t="shared" si="52"/>
        <v>6</v>
      </c>
      <c r="O1242" s="69">
        <f t="shared" si="53"/>
        <v>2</v>
      </c>
      <c r="P1242" s="70">
        <v>6</v>
      </c>
      <c r="Q1242" s="70">
        <v>10</v>
      </c>
      <c r="R1242" s="70">
        <v>12</v>
      </c>
      <c r="S1242" s="68" t="str">
        <f t="shared" si="54"/>
        <v/>
      </c>
      <c r="T1242" s="68"/>
      <c r="U1242" s="95"/>
      <c r="V1242" s="68"/>
      <c r="W1242" s="6"/>
      <c r="X1242" s="10"/>
      <c r="Y1242" s="71">
        <f t="shared" si="55"/>
        <v>10</v>
      </c>
      <c r="Z1242" s="73">
        <f t="shared" si="56"/>
        <v>12</v>
      </c>
      <c r="AA1242" s="11" t="str">
        <f t="shared" si="57"/>
        <v/>
      </c>
      <c r="AB1242" s="73">
        <f t="shared" si="58"/>
        <v>6</v>
      </c>
      <c r="AC1242" s="11" t="str">
        <f t="shared" si="59"/>
        <v/>
      </c>
      <c r="AD1242" s="73">
        <f t="shared" si="60"/>
        <v>2</v>
      </c>
      <c r="AE1242" s="11" t="str">
        <f t="shared" si="61"/>
        <v/>
      </c>
      <c r="AF1242" s="73">
        <f t="shared" si="62"/>
        <v>6.0012420000000004</v>
      </c>
      <c r="AG1242" s="11" t="str">
        <f t="shared" si="63"/>
        <v/>
      </c>
      <c r="AH1242" s="73">
        <f t="shared" si="64"/>
        <v>2.001242</v>
      </c>
    </row>
    <row r="1243" spans="1:34" ht="14.25" customHeight="1">
      <c r="A1243" s="11">
        <v>1228</v>
      </c>
      <c r="B1243" s="66" t="s">
        <v>1858</v>
      </c>
      <c r="C1243" s="67">
        <v>43895</v>
      </c>
      <c r="D1243" s="67">
        <v>43805</v>
      </c>
      <c r="E1243" s="67"/>
      <c r="F1243" s="67"/>
      <c r="G1243" s="67"/>
      <c r="H1243" s="67"/>
      <c r="I1243" s="6" t="s">
        <v>1859</v>
      </c>
      <c r="J1243" s="9">
        <v>6978600486</v>
      </c>
      <c r="K1243" s="68">
        <v>43799</v>
      </c>
      <c r="L1243" s="68">
        <v>46022</v>
      </c>
      <c r="M1243" s="68">
        <v>46203</v>
      </c>
      <c r="N1243" s="69">
        <f t="shared" si="52"/>
        <v>16</v>
      </c>
      <c r="O1243" s="69">
        <f t="shared" si="53"/>
        <v>-2</v>
      </c>
      <c r="P1243" s="70">
        <v>6</v>
      </c>
      <c r="Q1243" s="70">
        <v>24</v>
      </c>
      <c r="R1243" s="70">
        <v>22</v>
      </c>
      <c r="S1243" s="68" t="str">
        <f t="shared" si="54"/>
        <v/>
      </c>
      <c r="T1243" s="68"/>
      <c r="U1243" s="68"/>
      <c r="V1243" s="68">
        <v>45147</v>
      </c>
      <c r="W1243" s="9"/>
      <c r="X1243" s="93" t="s">
        <v>352</v>
      </c>
      <c r="Y1243" s="71">
        <f t="shared" si="55"/>
        <v>24</v>
      </c>
      <c r="Z1243" s="73">
        <f t="shared" si="56"/>
        <v>22</v>
      </c>
      <c r="AA1243" s="73">
        <f t="shared" si="57"/>
        <v>16</v>
      </c>
      <c r="AB1243" s="11" t="str">
        <f t="shared" si="58"/>
        <v/>
      </c>
      <c r="AC1243" s="73">
        <f t="shared" si="59"/>
        <v>-2</v>
      </c>
      <c r="AD1243" s="11" t="str">
        <f t="shared" si="60"/>
        <v/>
      </c>
      <c r="AE1243" s="73">
        <f t="shared" si="61"/>
        <v>16.001242999999999</v>
      </c>
      <c r="AF1243" s="11" t="str">
        <f t="shared" si="62"/>
        <v/>
      </c>
      <c r="AG1243" s="73">
        <f t="shared" si="63"/>
        <v>-1.9987569999999999</v>
      </c>
      <c r="AH1243" s="11" t="str">
        <f t="shared" si="64"/>
        <v/>
      </c>
    </row>
    <row r="1244" spans="1:34" ht="14.25" customHeight="1">
      <c r="A1244" s="11">
        <v>1229</v>
      </c>
      <c r="B1244" s="66"/>
      <c r="C1244" s="67"/>
      <c r="D1244" s="67"/>
      <c r="E1244" s="67"/>
      <c r="F1244" s="67"/>
      <c r="G1244" s="67" t="s">
        <v>35</v>
      </c>
      <c r="H1244" s="67">
        <v>45086</v>
      </c>
      <c r="I1244" s="6" t="s">
        <v>1860</v>
      </c>
      <c r="J1244" s="9">
        <v>6978601767</v>
      </c>
      <c r="K1244" s="68">
        <v>45077</v>
      </c>
      <c r="L1244" s="68">
        <v>46022</v>
      </c>
      <c r="M1244" s="68">
        <v>46203</v>
      </c>
      <c r="N1244" s="69">
        <f t="shared" si="52"/>
        <v>20</v>
      </c>
      <c r="O1244" s="69">
        <f t="shared" si="53"/>
        <v>0</v>
      </c>
      <c r="P1244" s="70">
        <v>11</v>
      </c>
      <c r="Q1244" s="70">
        <v>31</v>
      </c>
      <c r="R1244" s="70">
        <v>31</v>
      </c>
      <c r="S1244" s="68" t="str">
        <f t="shared" si="54"/>
        <v/>
      </c>
      <c r="T1244" s="68"/>
      <c r="U1244" s="68"/>
      <c r="V1244" s="68"/>
      <c r="W1244" s="9"/>
      <c r="X1244" s="10"/>
      <c r="Y1244" s="71">
        <f t="shared" si="55"/>
        <v>31</v>
      </c>
      <c r="Z1244" s="73">
        <f t="shared" si="56"/>
        <v>31</v>
      </c>
      <c r="AA1244" s="11" t="str">
        <f t="shared" si="57"/>
        <v/>
      </c>
      <c r="AB1244" s="73">
        <f t="shared" si="58"/>
        <v>20</v>
      </c>
      <c r="AC1244" s="11" t="str">
        <f t="shared" si="59"/>
        <v/>
      </c>
      <c r="AD1244" s="73">
        <f t="shared" si="60"/>
        <v>0</v>
      </c>
      <c r="AE1244" s="11" t="str">
        <f t="shared" si="61"/>
        <v/>
      </c>
      <c r="AF1244" s="73">
        <f t="shared" si="62"/>
        <v>20.001244</v>
      </c>
      <c r="AG1244" s="11" t="str">
        <f t="shared" si="63"/>
        <v/>
      </c>
      <c r="AH1244" s="73">
        <f t="shared" si="64"/>
        <v>1.2440000000000001E-3</v>
      </c>
    </row>
    <row r="1245" spans="1:34" ht="14.25" customHeight="1">
      <c r="A1245" s="11">
        <v>1230</v>
      </c>
      <c r="B1245" s="66"/>
      <c r="C1245" s="67"/>
      <c r="D1245" s="67"/>
      <c r="E1245" s="67"/>
      <c r="F1245" s="67"/>
      <c r="G1245" s="67" t="s">
        <v>35</v>
      </c>
      <c r="H1245" s="67">
        <v>45499</v>
      </c>
      <c r="I1245" s="6" t="s">
        <v>1861</v>
      </c>
      <c r="J1245" s="9">
        <v>6978701880</v>
      </c>
      <c r="K1245" s="68">
        <v>45473</v>
      </c>
      <c r="L1245" s="68">
        <v>46022</v>
      </c>
      <c r="M1245" s="68">
        <v>46203</v>
      </c>
      <c r="N1245" s="69">
        <f t="shared" si="52"/>
        <v>7</v>
      </c>
      <c r="O1245" s="69">
        <f t="shared" si="53"/>
        <v>7</v>
      </c>
      <c r="P1245" s="70">
        <v>25</v>
      </c>
      <c r="Q1245" s="70">
        <v>25</v>
      </c>
      <c r="R1245" s="70">
        <v>32</v>
      </c>
      <c r="S1245" s="68" t="str">
        <f t="shared" si="54"/>
        <v/>
      </c>
      <c r="T1245" s="68"/>
      <c r="U1245" s="68"/>
      <c r="V1245" s="68"/>
      <c r="W1245" s="9"/>
      <c r="X1245" s="10"/>
      <c r="Y1245" s="71">
        <f t="shared" si="55"/>
        <v>25</v>
      </c>
      <c r="Z1245" s="73">
        <f t="shared" si="56"/>
        <v>32</v>
      </c>
      <c r="AA1245" s="11" t="str">
        <f t="shared" si="57"/>
        <v/>
      </c>
      <c r="AB1245" s="73">
        <f t="shared" si="58"/>
        <v>7</v>
      </c>
      <c r="AC1245" s="11" t="str">
        <f t="shared" si="59"/>
        <v/>
      </c>
      <c r="AD1245" s="73">
        <f t="shared" si="60"/>
        <v>7</v>
      </c>
      <c r="AE1245" s="11" t="str">
        <f t="shared" si="61"/>
        <v/>
      </c>
      <c r="AF1245" s="73">
        <f t="shared" si="62"/>
        <v>7.0012449999999999</v>
      </c>
      <c r="AG1245" s="11" t="str">
        <f t="shared" si="63"/>
        <v/>
      </c>
      <c r="AH1245" s="73">
        <f t="shared" si="64"/>
        <v>7.0012449999999999</v>
      </c>
    </row>
    <row r="1246" spans="1:34" ht="14.25" customHeight="1">
      <c r="A1246" s="11">
        <v>1231</v>
      </c>
      <c r="B1246" s="66" t="s">
        <v>35</v>
      </c>
      <c r="C1246" s="67">
        <v>44896</v>
      </c>
      <c r="D1246" s="67"/>
      <c r="E1246" s="67"/>
      <c r="F1246" s="67"/>
      <c r="G1246" s="67"/>
      <c r="H1246" s="67"/>
      <c r="I1246" s="6" t="s">
        <v>1862</v>
      </c>
      <c r="J1246" s="9">
        <v>6978801077</v>
      </c>
      <c r="K1246" s="68">
        <v>44895</v>
      </c>
      <c r="L1246" s="68">
        <v>46022</v>
      </c>
      <c r="M1246" s="68">
        <v>46203</v>
      </c>
      <c r="N1246" s="69">
        <f t="shared" si="52"/>
        <v>-2</v>
      </c>
      <c r="O1246" s="69">
        <f t="shared" si="53"/>
        <v>-1</v>
      </c>
      <c r="P1246" s="70">
        <v>2</v>
      </c>
      <c r="Q1246" s="70">
        <v>1</v>
      </c>
      <c r="R1246" s="70">
        <v>0</v>
      </c>
      <c r="S1246" s="68" t="str">
        <f t="shared" si="54"/>
        <v/>
      </c>
      <c r="T1246" s="68"/>
      <c r="U1246" s="68"/>
      <c r="V1246" s="68"/>
      <c r="W1246" s="9"/>
      <c r="X1246" s="10"/>
      <c r="Y1246" s="71">
        <f t="shared" si="55"/>
        <v>1</v>
      </c>
      <c r="Z1246" s="73">
        <f t="shared" si="56"/>
        <v>0</v>
      </c>
      <c r="AA1246" s="73">
        <f t="shared" si="57"/>
        <v>-2</v>
      </c>
      <c r="AB1246" s="11" t="str">
        <f t="shared" si="58"/>
        <v/>
      </c>
      <c r="AC1246" s="73">
        <f t="shared" si="59"/>
        <v>-1</v>
      </c>
      <c r="AD1246" s="11" t="str">
        <f t="shared" si="60"/>
        <v/>
      </c>
      <c r="AE1246" s="73">
        <f t="shared" si="61"/>
        <v>-1.9987539999999999</v>
      </c>
      <c r="AF1246" s="11" t="str">
        <f t="shared" si="62"/>
        <v/>
      </c>
      <c r="AG1246" s="73">
        <f t="shared" si="63"/>
        <v>-0.99875400000000003</v>
      </c>
      <c r="AH1246" s="11" t="str">
        <f t="shared" si="64"/>
        <v/>
      </c>
    </row>
    <row r="1247" spans="1:34" ht="14.25" customHeight="1">
      <c r="A1247" s="11">
        <v>1232</v>
      </c>
      <c r="B1247" s="66"/>
      <c r="C1247" s="67"/>
      <c r="D1247" s="67"/>
      <c r="E1247" s="67"/>
      <c r="F1247" s="67"/>
      <c r="G1247" s="67" t="s">
        <v>35</v>
      </c>
      <c r="H1247" s="67">
        <v>46021</v>
      </c>
      <c r="I1247" s="6" t="s">
        <v>1863</v>
      </c>
      <c r="J1247" s="94">
        <v>6978803319</v>
      </c>
      <c r="K1247" s="68">
        <v>45991</v>
      </c>
      <c r="L1247" s="68">
        <v>46022</v>
      </c>
      <c r="M1247" s="68">
        <v>46203</v>
      </c>
      <c r="N1247" s="69">
        <f t="shared" si="52"/>
        <v>3</v>
      </c>
      <c r="O1247" s="69">
        <f t="shared" si="53"/>
        <v>3</v>
      </c>
      <c r="P1247" s="70">
        <v>7</v>
      </c>
      <c r="Q1247" s="70">
        <v>7</v>
      </c>
      <c r="R1247" s="70">
        <v>10</v>
      </c>
      <c r="S1247" s="68" t="str">
        <f t="shared" si="54"/>
        <v/>
      </c>
      <c r="T1247" s="68"/>
      <c r="U1247" s="95"/>
      <c r="V1247" s="68"/>
      <c r="W1247" s="6"/>
      <c r="X1247" s="10"/>
      <c r="Y1247" s="71">
        <f t="shared" si="55"/>
        <v>7</v>
      </c>
      <c r="Z1247" s="73">
        <f t="shared" si="56"/>
        <v>10</v>
      </c>
      <c r="AA1247" s="11" t="str">
        <f t="shared" si="57"/>
        <v/>
      </c>
      <c r="AB1247" s="73">
        <f t="shared" si="58"/>
        <v>3</v>
      </c>
      <c r="AC1247" s="11" t="str">
        <f t="shared" si="59"/>
        <v/>
      </c>
      <c r="AD1247" s="73">
        <f t="shared" si="60"/>
        <v>3</v>
      </c>
      <c r="AE1247" s="11" t="str">
        <f t="shared" si="61"/>
        <v/>
      </c>
      <c r="AF1247" s="73">
        <f t="shared" si="62"/>
        <v>3.0012470000000002</v>
      </c>
      <c r="AG1247" s="11" t="str">
        <f t="shared" si="63"/>
        <v/>
      </c>
      <c r="AH1247" s="73">
        <f t="shared" si="64"/>
        <v>3.0012470000000002</v>
      </c>
    </row>
    <row r="1248" spans="1:34" ht="14.25" customHeight="1">
      <c r="A1248" s="11">
        <v>1233</v>
      </c>
      <c r="B1248" s="66"/>
      <c r="C1248" s="67"/>
      <c r="D1248" s="67"/>
      <c r="E1248" s="67"/>
      <c r="F1248" s="67"/>
      <c r="G1248" s="67" t="s">
        <v>35</v>
      </c>
      <c r="H1248" s="67">
        <v>45268</v>
      </c>
      <c r="I1248" s="6" t="s">
        <v>1864</v>
      </c>
      <c r="J1248" s="9">
        <v>6988103138</v>
      </c>
      <c r="K1248" s="68">
        <v>45260</v>
      </c>
      <c r="L1248" s="68">
        <v>46022</v>
      </c>
      <c r="M1248" s="68">
        <v>46203</v>
      </c>
      <c r="N1248" s="69">
        <f t="shared" si="52"/>
        <v>46</v>
      </c>
      <c r="O1248" s="69">
        <f t="shared" si="53"/>
        <v>11</v>
      </c>
      <c r="P1248" s="70">
        <v>0</v>
      </c>
      <c r="Q1248" s="70">
        <v>35</v>
      </c>
      <c r="R1248" s="70">
        <v>46</v>
      </c>
      <c r="S1248" s="68" t="str">
        <f t="shared" si="54"/>
        <v/>
      </c>
      <c r="T1248" s="68"/>
      <c r="U1248" s="68"/>
      <c r="V1248" s="68"/>
      <c r="W1248" s="9"/>
      <c r="X1248" s="10"/>
      <c r="Y1248" s="71">
        <f t="shared" si="55"/>
        <v>35</v>
      </c>
      <c r="Z1248" s="73">
        <f t="shared" si="56"/>
        <v>46</v>
      </c>
      <c r="AA1248" s="11" t="str">
        <f t="shared" si="57"/>
        <v/>
      </c>
      <c r="AB1248" s="73">
        <f t="shared" si="58"/>
        <v>46</v>
      </c>
      <c r="AC1248" s="11" t="str">
        <f t="shared" si="59"/>
        <v/>
      </c>
      <c r="AD1248" s="73">
        <f t="shared" si="60"/>
        <v>11</v>
      </c>
      <c r="AE1248" s="11" t="str">
        <f t="shared" si="61"/>
        <v/>
      </c>
      <c r="AF1248" s="73">
        <f t="shared" si="62"/>
        <v>46.001247999999997</v>
      </c>
      <c r="AG1248" s="11" t="str">
        <f t="shared" si="63"/>
        <v/>
      </c>
      <c r="AH1248" s="73">
        <f t="shared" si="64"/>
        <v>11.001248</v>
      </c>
    </row>
    <row r="1249" spans="1:34" ht="14.25" customHeight="1">
      <c r="A1249" s="11">
        <v>1234</v>
      </c>
      <c r="B1249" s="66"/>
      <c r="C1249" s="67"/>
      <c r="D1249" s="67"/>
      <c r="E1249" s="67"/>
      <c r="F1249" s="67"/>
      <c r="G1249" s="67" t="s">
        <v>24</v>
      </c>
      <c r="H1249" s="67">
        <v>44365</v>
      </c>
      <c r="I1249" s="6" t="s">
        <v>1865</v>
      </c>
      <c r="J1249" s="9">
        <v>6998701886</v>
      </c>
      <c r="K1249" s="68">
        <v>44347</v>
      </c>
      <c r="L1249" s="68" t="s">
        <v>230</v>
      </c>
      <c r="M1249" s="68">
        <v>45747</v>
      </c>
      <c r="N1249" s="69">
        <f t="shared" si="52"/>
        <v>0</v>
      </c>
      <c r="O1249" s="69" t="str">
        <f t="shared" si="53"/>
        <v>N/A</v>
      </c>
      <c r="P1249" s="70">
        <v>0</v>
      </c>
      <c r="Q1249" s="70"/>
      <c r="R1249" s="70">
        <v>0</v>
      </c>
      <c r="S1249" s="68">
        <f t="shared" si="54"/>
        <v>45719</v>
      </c>
      <c r="T1249" s="68">
        <v>45719</v>
      </c>
      <c r="U1249" s="68"/>
      <c r="V1249" s="68"/>
      <c r="W1249" s="9"/>
      <c r="X1249" s="10"/>
      <c r="Y1249" s="65" t="str">
        <f t="shared" si="55"/>
        <v/>
      </c>
      <c r="Z1249" s="11" t="str">
        <f t="shared" si="56"/>
        <v/>
      </c>
      <c r="AA1249" s="11" t="str">
        <f t="shared" si="57"/>
        <v/>
      </c>
      <c r="AB1249" s="73">
        <f t="shared" si="58"/>
        <v>0</v>
      </c>
      <c r="AC1249" s="11" t="str">
        <f t="shared" si="59"/>
        <v/>
      </c>
      <c r="AD1249" s="11" t="str">
        <f t="shared" si="60"/>
        <v/>
      </c>
      <c r="AE1249" s="11" t="str">
        <f t="shared" si="61"/>
        <v/>
      </c>
      <c r="AF1249" s="73">
        <f t="shared" si="62"/>
        <v>1.2489999999999999E-3</v>
      </c>
      <c r="AG1249" s="11" t="str">
        <f t="shared" si="63"/>
        <v/>
      </c>
      <c r="AH1249" s="11" t="str">
        <f t="shared" si="64"/>
        <v/>
      </c>
    </row>
    <row r="1250" spans="1:34" ht="14.25" customHeight="1">
      <c r="A1250" s="11">
        <v>1235</v>
      </c>
      <c r="B1250" s="66" t="s">
        <v>35</v>
      </c>
      <c r="C1250" s="67">
        <v>44484</v>
      </c>
      <c r="D1250" s="67"/>
      <c r="E1250" s="67"/>
      <c r="F1250" s="67"/>
      <c r="G1250" s="67"/>
      <c r="H1250" s="67"/>
      <c r="I1250" s="6" t="s">
        <v>1866</v>
      </c>
      <c r="J1250" s="9">
        <v>7018701364</v>
      </c>
      <c r="K1250" s="68">
        <v>44469</v>
      </c>
      <c r="L1250" s="68">
        <v>46022</v>
      </c>
      <c r="M1250" s="68">
        <v>46203</v>
      </c>
      <c r="N1250" s="69">
        <f t="shared" si="52"/>
        <v>0</v>
      </c>
      <c r="O1250" s="69">
        <f t="shared" si="53"/>
        <v>-4</v>
      </c>
      <c r="P1250" s="70">
        <v>9</v>
      </c>
      <c r="Q1250" s="70">
        <v>13</v>
      </c>
      <c r="R1250" s="70">
        <v>9</v>
      </c>
      <c r="S1250" s="68" t="str">
        <f t="shared" si="54"/>
        <v/>
      </c>
      <c r="T1250" s="68"/>
      <c r="U1250" s="68"/>
      <c r="V1250" s="68"/>
      <c r="W1250" s="9"/>
      <c r="X1250" s="10"/>
      <c r="Y1250" s="71">
        <f t="shared" si="55"/>
        <v>13</v>
      </c>
      <c r="Z1250" s="73">
        <f t="shared" si="56"/>
        <v>9</v>
      </c>
      <c r="AA1250" s="73">
        <f t="shared" si="57"/>
        <v>0</v>
      </c>
      <c r="AB1250" s="11" t="str">
        <f t="shared" si="58"/>
        <v/>
      </c>
      <c r="AC1250" s="73">
        <f t="shared" si="59"/>
        <v>-4</v>
      </c>
      <c r="AD1250" s="11" t="str">
        <f t="shared" si="60"/>
        <v/>
      </c>
      <c r="AE1250" s="73">
        <f t="shared" si="61"/>
        <v>1.25E-3</v>
      </c>
      <c r="AF1250" s="11" t="str">
        <f t="shared" si="62"/>
        <v/>
      </c>
      <c r="AG1250" s="73">
        <f t="shared" si="63"/>
        <v>-3.9987499999999998</v>
      </c>
      <c r="AH1250" s="11" t="str">
        <f t="shared" si="64"/>
        <v/>
      </c>
    </row>
    <row r="1251" spans="1:34" ht="14.25" customHeight="1">
      <c r="A1251" s="11">
        <v>1236</v>
      </c>
      <c r="B1251" s="66"/>
      <c r="C1251" s="67"/>
      <c r="D1251" s="67"/>
      <c r="E1251" s="67"/>
      <c r="F1251" s="67"/>
      <c r="G1251" s="67" t="s">
        <v>35</v>
      </c>
      <c r="H1251" s="67">
        <v>44407</v>
      </c>
      <c r="I1251" s="6" t="s">
        <v>1867</v>
      </c>
      <c r="J1251" s="9">
        <v>7038101918</v>
      </c>
      <c r="K1251" s="68">
        <v>44377</v>
      </c>
      <c r="L1251" s="68">
        <v>46022</v>
      </c>
      <c r="M1251" s="68">
        <v>46203</v>
      </c>
      <c r="N1251" s="69">
        <f t="shared" si="52"/>
        <v>2</v>
      </c>
      <c r="O1251" s="69">
        <f t="shared" si="53"/>
        <v>0</v>
      </c>
      <c r="P1251" s="70">
        <v>0</v>
      </c>
      <c r="Q1251" s="70">
        <v>2</v>
      </c>
      <c r="R1251" s="70">
        <v>2</v>
      </c>
      <c r="S1251" s="68" t="str">
        <f t="shared" si="54"/>
        <v/>
      </c>
      <c r="T1251" s="68"/>
      <c r="U1251" s="68"/>
      <c r="V1251" s="68"/>
      <c r="W1251" s="9"/>
      <c r="X1251" s="10"/>
      <c r="Y1251" s="71">
        <f t="shared" si="55"/>
        <v>2</v>
      </c>
      <c r="Z1251" s="73">
        <f t="shared" si="56"/>
        <v>2</v>
      </c>
      <c r="AA1251" s="11" t="str">
        <f t="shared" si="57"/>
        <v/>
      </c>
      <c r="AB1251" s="73">
        <f t="shared" si="58"/>
        <v>2</v>
      </c>
      <c r="AC1251" s="11" t="str">
        <f t="shared" si="59"/>
        <v/>
      </c>
      <c r="AD1251" s="73">
        <f t="shared" si="60"/>
        <v>0</v>
      </c>
      <c r="AE1251" s="11" t="str">
        <f t="shared" si="61"/>
        <v/>
      </c>
      <c r="AF1251" s="73">
        <f t="shared" si="62"/>
        <v>2.0012509999999999</v>
      </c>
      <c r="AG1251" s="11" t="str">
        <f t="shared" si="63"/>
        <v/>
      </c>
      <c r="AH1251" s="73">
        <f t="shared" si="64"/>
        <v>1.2509999999999999E-3</v>
      </c>
    </row>
    <row r="1252" spans="1:34" ht="14.25" customHeight="1">
      <c r="A1252" s="11">
        <v>1237</v>
      </c>
      <c r="B1252" s="66"/>
      <c r="C1252" s="67"/>
      <c r="D1252" s="67"/>
      <c r="E1252" s="67"/>
      <c r="F1252" s="67"/>
      <c r="G1252" s="67" t="s">
        <v>35</v>
      </c>
      <c r="H1252" s="67">
        <v>44756</v>
      </c>
      <c r="I1252" s="6" t="s">
        <v>1868</v>
      </c>
      <c r="J1252" s="9">
        <v>7038801275</v>
      </c>
      <c r="K1252" s="68">
        <v>44742</v>
      </c>
      <c r="L1252" s="68">
        <v>46022</v>
      </c>
      <c r="M1252" s="68">
        <v>46203</v>
      </c>
      <c r="N1252" s="69">
        <f t="shared" si="52"/>
        <v>-7</v>
      </c>
      <c r="O1252" s="69">
        <f t="shared" si="53"/>
        <v>0</v>
      </c>
      <c r="P1252" s="70">
        <v>7</v>
      </c>
      <c r="Q1252" s="70">
        <v>0</v>
      </c>
      <c r="R1252" s="70">
        <v>0</v>
      </c>
      <c r="S1252" s="68" t="str">
        <f t="shared" si="54"/>
        <v/>
      </c>
      <c r="T1252" s="68"/>
      <c r="U1252" s="68"/>
      <c r="V1252" s="68"/>
      <c r="W1252" s="9"/>
      <c r="X1252" s="10"/>
      <c r="Y1252" s="71">
        <f t="shared" si="55"/>
        <v>0</v>
      </c>
      <c r="Z1252" s="73">
        <f t="shared" si="56"/>
        <v>0</v>
      </c>
      <c r="AA1252" s="11" t="str">
        <f t="shared" si="57"/>
        <v/>
      </c>
      <c r="AB1252" s="73">
        <f t="shared" si="58"/>
        <v>-7</v>
      </c>
      <c r="AC1252" s="11" t="str">
        <f t="shared" si="59"/>
        <v/>
      </c>
      <c r="AD1252" s="73">
        <f t="shared" si="60"/>
        <v>0</v>
      </c>
      <c r="AE1252" s="11" t="str">
        <f t="shared" si="61"/>
        <v/>
      </c>
      <c r="AF1252" s="73">
        <f t="shared" si="62"/>
        <v>-6.998748</v>
      </c>
      <c r="AG1252" s="11" t="str">
        <f t="shared" si="63"/>
        <v/>
      </c>
      <c r="AH1252" s="73">
        <f t="shared" si="64"/>
        <v>1.2520000000000001E-3</v>
      </c>
    </row>
    <row r="1253" spans="1:34" ht="14.25" customHeight="1">
      <c r="A1253" s="11">
        <v>1238</v>
      </c>
      <c r="B1253" s="66" t="s">
        <v>35</v>
      </c>
      <c r="C1253" s="67">
        <v>43832</v>
      </c>
      <c r="D1253" s="67"/>
      <c r="E1253" s="67"/>
      <c r="F1253" s="67">
        <v>45757</v>
      </c>
      <c r="G1253" s="67" t="s">
        <v>35</v>
      </c>
      <c r="H1253" s="67">
        <v>43819</v>
      </c>
      <c r="I1253" s="6" t="s">
        <v>1869</v>
      </c>
      <c r="J1253" s="9">
        <v>7048801152</v>
      </c>
      <c r="K1253" s="68">
        <v>43799</v>
      </c>
      <c r="L1253" s="68">
        <v>46022</v>
      </c>
      <c r="M1253" s="68">
        <v>46203</v>
      </c>
      <c r="N1253" s="69">
        <f t="shared" si="52"/>
        <v>-2</v>
      </c>
      <c r="O1253" s="69">
        <f t="shared" si="53"/>
        <v>0</v>
      </c>
      <c r="P1253" s="70">
        <v>5</v>
      </c>
      <c r="Q1253" s="70">
        <v>3</v>
      </c>
      <c r="R1253" s="70">
        <v>3</v>
      </c>
      <c r="S1253" s="68" t="str">
        <f t="shared" si="54"/>
        <v/>
      </c>
      <c r="T1253" s="68"/>
      <c r="U1253" s="68"/>
      <c r="V1253" s="68"/>
      <c r="W1253" s="9"/>
      <c r="X1253" s="10"/>
      <c r="Y1253" s="71">
        <f t="shared" si="55"/>
        <v>3</v>
      </c>
      <c r="Z1253" s="73">
        <f t="shared" si="56"/>
        <v>3</v>
      </c>
      <c r="AA1253" s="73">
        <f t="shared" si="57"/>
        <v>-2</v>
      </c>
      <c r="AB1253" s="73">
        <f t="shared" si="58"/>
        <v>-2</v>
      </c>
      <c r="AC1253" s="73">
        <f t="shared" si="59"/>
        <v>0</v>
      </c>
      <c r="AD1253" s="73">
        <f t="shared" si="60"/>
        <v>0</v>
      </c>
      <c r="AE1253" s="73">
        <f t="shared" si="61"/>
        <v>-1.9987470000000001</v>
      </c>
      <c r="AF1253" s="73">
        <f t="shared" si="62"/>
        <v>-1.9987470000000001</v>
      </c>
      <c r="AG1253" s="73">
        <f t="shared" si="63"/>
        <v>1.253E-3</v>
      </c>
      <c r="AH1253" s="73">
        <f t="shared" si="64"/>
        <v>1.253E-3</v>
      </c>
    </row>
    <row r="1254" spans="1:34" ht="14.25" customHeight="1">
      <c r="A1254" s="11">
        <v>1239</v>
      </c>
      <c r="B1254" s="121" t="s">
        <v>24</v>
      </c>
      <c r="C1254" s="67">
        <v>43325</v>
      </c>
      <c r="D1254" s="67">
        <v>43406</v>
      </c>
      <c r="E1254" s="67"/>
      <c r="F1254" s="67"/>
      <c r="G1254" s="67"/>
      <c r="H1254" s="67"/>
      <c r="I1254" s="6" t="s">
        <v>1870</v>
      </c>
      <c r="J1254" s="9">
        <v>7058100628</v>
      </c>
      <c r="K1254" s="68">
        <v>43312</v>
      </c>
      <c r="L1254" s="68">
        <v>46022</v>
      </c>
      <c r="M1254" s="68">
        <v>46081</v>
      </c>
      <c r="N1254" s="69">
        <f t="shared" si="52"/>
        <v>-7</v>
      </c>
      <c r="O1254" s="69">
        <f t="shared" si="53"/>
        <v>0</v>
      </c>
      <c r="P1254" s="70">
        <v>7</v>
      </c>
      <c r="Q1254" s="70">
        <v>0</v>
      </c>
      <c r="R1254" s="70">
        <v>0</v>
      </c>
      <c r="S1254" s="68">
        <f t="shared" si="54"/>
        <v>46075</v>
      </c>
      <c r="T1254" s="68">
        <v>46075</v>
      </c>
      <c r="U1254" s="68">
        <v>44926</v>
      </c>
      <c r="V1254" s="68">
        <v>45560</v>
      </c>
      <c r="W1254" s="9"/>
      <c r="X1254" s="93"/>
      <c r="Y1254" s="71">
        <f t="shared" si="55"/>
        <v>0</v>
      </c>
      <c r="Z1254" s="73">
        <f t="shared" si="56"/>
        <v>0</v>
      </c>
      <c r="AA1254" s="73">
        <f t="shared" si="57"/>
        <v>-7</v>
      </c>
      <c r="AB1254" s="11" t="str">
        <f t="shared" si="58"/>
        <v/>
      </c>
      <c r="AC1254" s="73">
        <f t="shared" si="59"/>
        <v>0</v>
      </c>
      <c r="AD1254" s="11" t="str">
        <f t="shared" si="60"/>
        <v/>
      </c>
      <c r="AE1254" s="73">
        <f t="shared" si="61"/>
        <v>-6.9987459999999997</v>
      </c>
      <c r="AF1254" s="11" t="str">
        <f t="shared" si="62"/>
        <v/>
      </c>
      <c r="AG1254" s="73">
        <f t="shared" si="63"/>
        <v>1.2539999999999999E-3</v>
      </c>
      <c r="AH1254" s="11" t="str">
        <f t="shared" si="64"/>
        <v/>
      </c>
    </row>
    <row r="1255" spans="1:34" ht="14.25" customHeight="1">
      <c r="A1255" s="11">
        <v>1240</v>
      </c>
      <c r="B1255" s="66"/>
      <c r="C1255" s="67"/>
      <c r="D1255" s="67"/>
      <c r="E1255" s="67"/>
      <c r="F1255" s="67"/>
      <c r="G1255" s="67" t="s">
        <v>35</v>
      </c>
      <c r="H1255" s="67">
        <v>45511</v>
      </c>
      <c r="I1255" s="6" t="s">
        <v>1871</v>
      </c>
      <c r="J1255" s="9">
        <v>7058602126</v>
      </c>
      <c r="K1255" s="68">
        <v>45504</v>
      </c>
      <c r="L1255" s="68">
        <v>46022</v>
      </c>
      <c r="M1255" s="68">
        <v>46203</v>
      </c>
      <c r="N1255" s="69">
        <f t="shared" si="52"/>
        <v>-7</v>
      </c>
      <c r="O1255" s="69">
        <f t="shared" si="53"/>
        <v>-14</v>
      </c>
      <c r="P1255" s="70">
        <v>25</v>
      </c>
      <c r="Q1255" s="70">
        <v>32</v>
      </c>
      <c r="R1255" s="70">
        <v>18</v>
      </c>
      <c r="S1255" s="68" t="str">
        <f t="shared" si="54"/>
        <v/>
      </c>
      <c r="T1255" s="68"/>
      <c r="U1255" s="68"/>
      <c r="V1255" s="68"/>
      <c r="W1255" s="9"/>
      <c r="X1255" s="10"/>
      <c r="Y1255" s="71">
        <f t="shared" si="55"/>
        <v>32</v>
      </c>
      <c r="Z1255" s="73">
        <f t="shared" si="56"/>
        <v>18</v>
      </c>
      <c r="AA1255" s="11" t="str">
        <f t="shared" si="57"/>
        <v/>
      </c>
      <c r="AB1255" s="73">
        <f t="shared" si="58"/>
        <v>-7</v>
      </c>
      <c r="AC1255" s="11" t="str">
        <f t="shared" si="59"/>
        <v/>
      </c>
      <c r="AD1255" s="73">
        <f t="shared" si="60"/>
        <v>-14</v>
      </c>
      <c r="AE1255" s="11" t="str">
        <f t="shared" si="61"/>
        <v/>
      </c>
      <c r="AF1255" s="73">
        <f t="shared" si="62"/>
        <v>-6.9987450000000004</v>
      </c>
      <c r="AG1255" s="11" t="str">
        <f t="shared" si="63"/>
        <v/>
      </c>
      <c r="AH1255" s="73">
        <f t="shared" si="64"/>
        <v>-13.998745</v>
      </c>
    </row>
    <row r="1256" spans="1:34" ht="14.25" customHeight="1">
      <c r="A1256" s="11">
        <v>1241</v>
      </c>
      <c r="B1256" s="66" t="s">
        <v>35</v>
      </c>
      <c r="C1256" s="67">
        <v>44531</v>
      </c>
      <c r="D1256" s="67"/>
      <c r="E1256" s="67"/>
      <c r="F1256" s="67"/>
      <c r="G1256" s="67"/>
      <c r="H1256" s="67"/>
      <c r="I1256" s="6" t="s">
        <v>1872</v>
      </c>
      <c r="J1256" s="9">
        <v>7058700940</v>
      </c>
      <c r="K1256" s="68">
        <v>44530</v>
      </c>
      <c r="L1256" s="68">
        <v>46022</v>
      </c>
      <c r="M1256" s="68">
        <v>46203</v>
      </c>
      <c r="N1256" s="69">
        <f t="shared" si="52"/>
        <v>-5</v>
      </c>
      <c r="O1256" s="69">
        <f t="shared" si="53"/>
        <v>1</v>
      </c>
      <c r="P1256" s="70">
        <v>10</v>
      </c>
      <c r="Q1256" s="70">
        <v>4</v>
      </c>
      <c r="R1256" s="70">
        <v>5</v>
      </c>
      <c r="S1256" s="68" t="str">
        <f t="shared" si="54"/>
        <v/>
      </c>
      <c r="T1256" s="68"/>
      <c r="U1256" s="68"/>
      <c r="V1256" s="68"/>
      <c r="W1256" s="9"/>
      <c r="X1256" s="10"/>
      <c r="Y1256" s="71">
        <f t="shared" si="55"/>
        <v>4</v>
      </c>
      <c r="Z1256" s="73">
        <f t="shared" si="56"/>
        <v>5</v>
      </c>
      <c r="AA1256" s="73">
        <f t="shared" si="57"/>
        <v>-5</v>
      </c>
      <c r="AB1256" s="11" t="str">
        <f t="shared" si="58"/>
        <v/>
      </c>
      <c r="AC1256" s="73">
        <f t="shared" si="59"/>
        <v>1</v>
      </c>
      <c r="AD1256" s="11" t="str">
        <f t="shared" si="60"/>
        <v/>
      </c>
      <c r="AE1256" s="73">
        <f t="shared" si="61"/>
        <v>-4.9987440000000003</v>
      </c>
      <c r="AF1256" s="11" t="str">
        <f t="shared" si="62"/>
        <v/>
      </c>
      <c r="AG1256" s="73">
        <f t="shared" si="63"/>
        <v>1.0012559999999999</v>
      </c>
      <c r="AH1256" s="11" t="str">
        <f t="shared" si="64"/>
        <v/>
      </c>
    </row>
    <row r="1257" spans="1:34" ht="14.25" customHeight="1">
      <c r="A1257" s="11">
        <v>1242</v>
      </c>
      <c r="B1257" s="66" t="s">
        <v>35</v>
      </c>
      <c r="C1257" s="67"/>
      <c r="D1257" s="67">
        <v>45106</v>
      </c>
      <c r="E1257" s="67"/>
      <c r="F1257" s="67"/>
      <c r="G1257" s="67" t="s">
        <v>35</v>
      </c>
      <c r="H1257" s="67">
        <v>44588</v>
      </c>
      <c r="I1257" s="6" t="s">
        <v>1873</v>
      </c>
      <c r="J1257" s="9">
        <v>7058701046</v>
      </c>
      <c r="K1257" s="68">
        <v>44561</v>
      </c>
      <c r="L1257" s="68">
        <v>46022</v>
      </c>
      <c r="M1257" s="68">
        <v>46203</v>
      </c>
      <c r="N1257" s="69">
        <f t="shared" si="52"/>
        <v>15</v>
      </c>
      <c r="O1257" s="69">
        <f t="shared" si="53"/>
        <v>-1</v>
      </c>
      <c r="P1257" s="70">
        <v>4</v>
      </c>
      <c r="Q1257" s="70">
        <v>20</v>
      </c>
      <c r="R1257" s="70">
        <v>19</v>
      </c>
      <c r="S1257" s="68" t="str">
        <f t="shared" si="54"/>
        <v/>
      </c>
      <c r="T1257" s="68"/>
      <c r="U1257" s="68"/>
      <c r="V1257" s="68"/>
      <c r="W1257" s="9"/>
      <c r="X1257" s="10"/>
      <c r="Y1257" s="71">
        <f t="shared" si="55"/>
        <v>20</v>
      </c>
      <c r="Z1257" s="73">
        <f t="shared" si="56"/>
        <v>19</v>
      </c>
      <c r="AA1257" s="73">
        <f t="shared" si="57"/>
        <v>15</v>
      </c>
      <c r="AB1257" s="73">
        <f t="shared" si="58"/>
        <v>15</v>
      </c>
      <c r="AC1257" s="73">
        <f t="shared" si="59"/>
        <v>-1</v>
      </c>
      <c r="AD1257" s="73">
        <f t="shared" si="60"/>
        <v>-1</v>
      </c>
      <c r="AE1257" s="73">
        <f t="shared" si="61"/>
        <v>15.001257000000001</v>
      </c>
      <c r="AF1257" s="73">
        <f t="shared" si="62"/>
        <v>15.001257000000001</v>
      </c>
      <c r="AG1257" s="73">
        <f t="shared" si="63"/>
        <v>-0.99874300000000005</v>
      </c>
      <c r="AH1257" s="73">
        <f t="shared" si="64"/>
        <v>-0.99874300000000005</v>
      </c>
    </row>
    <row r="1258" spans="1:34" ht="14.25" customHeight="1">
      <c r="A1258" s="11">
        <v>1243</v>
      </c>
      <c r="B1258" s="66"/>
      <c r="C1258" s="67"/>
      <c r="D1258" s="67"/>
      <c r="E1258" s="67"/>
      <c r="F1258" s="67"/>
      <c r="G1258" s="67" t="s">
        <v>35</v>
      </c>
      <c r="H1258" s="67">
        <v>43788</v>
      </c>
      <c r="I1258" s="6" t="s">
        <v>1874</v>
      </c>
      <c r="J1258" s="9">
        <v>7088100933</v>
      </c>
      <c r="K1258" s="68">
        <v>43769</v>
      </c>
      <c r="L1258" s="68">
        <v>46022</v>
      </c>
      <c r="M1258" s="68">
        <v>46203</v>
      </c>
      <c r="N1258" s="69">
        <f t="shared" si="52"/>
        <v>55</v>
      </c>
      <c r="O1258" s="69">
        <f t="shared" si="53"/>
        <v>-1</v>
      </c>
      <c r="P1258" s="70">
        <v>11</v>
      </c>
      <c r="Q1258" s="70">
        <v>67</v>
      </c>
      <c r="R1258" s="70">
        <v>66</v>
      </c>
      <c r="S1258" s="68" t="str">
        <f t="shared" si="54"/>
        <v/>
      </c>
      <c r="T1258" s="68"/>
      <c r="U1258" s="68"/>
      <c r="V1258" s="68"/>
      <c r="W1258" s="9"/>
      <c r="X1258" s="10"/>
      <c r="Y1258" s="71">
        <f t="shared" si="55"/>
        <v>67</v>
      </c>
      <c r="Z1258" s="73">
        <f t="shared" si="56"/>
        <v>66</v>
      </c>
      <c r="AA1258" s="11" t="str">
        <f t="shared" si="57"/>
        <v/>
      </c>
      <c r="AB1258" s="73">
        <f t="shared" si="58"/>
        <v>55</v>
      </c>
      <c r="AC1258" s="11" t="str">
        <f t="shared" si="59"/>
        <v/>
      </c>
      <c r="AD1258" s="73">
        <f t="shared" si="60"/>
        <v>-1</v>
      </c>
      <c r="AE1258" s="11" t="str">
        <f t="shared" si="61"/>
        <v/>
      </c>
      <c r="AF1258" s="73">
        <f t="shared" si="62"/>
        <v>55.001258</v>
      </c>
      <c r="AG1258" s="11" t="str">
        <f t="shared" si="63"/>
        <v/>
      </c>
      <c r="AH1258" s="73">
        <f t="shared" si="64"/>
        <v>-0.99874200000000002</v>
      </c>
    </row>
    <row r="1259" spans="1:34" ht="14.25" customHeight="1">
      <c r="A1259" s="11">
        <v>1244</v>
      </c>
      <c r="B1259" s="66"/>
      <c r="C1259" s="67"/>
      <c r="D1259" s="67"/>
      <c r="E1259" s="67"/>
      <c r="F1259" s="67"/>
      <c r="G1259" s="67" t="s">
        <v>35</v>
      </c>
      <c r="H1259" s="67">
        <v>45820</v>
      </c>
      <c r="I1259" s="6" t="s">
        <v>1875</v>
      </c>
      <c r="J1259" s="9">
        <v>7098700826</v>
      </c>
      <c r="K1259" s="68">
        <v>45808</v>
      </c>
      <c r="L1259" s="68">
        <v>46022</v>
      </c>
      <c r="M1259" s="68">
        <v>46203</v>
      </c>
      <c r="N1259" s="69">
        <f t="shared" si="52"/>
        <v>27</v>
      </c>
      <c r="O1259" s="69">
        <f t="shared" si="53"/>
        <v>15</v>
      </c>
      <c r="P1259" s="70">
        <v>15</v>
      </c>
      <c r="Q1259" s="70">
        <v>27</v>
      </c>
      <c r="R1259" s="70">
        <v>42</v>
      </c>
      <c r="S1259" s="68" t="str">
        <f t="shared" si="54"/>
        <v/>
      </c>
      <c r="T1259" s="68"/>
      <c r="U1259" s="68"/>
      <c r="V1259" s="68"/>
      <c r="W1259" s="9"/>
      <c r="X1259" s="10"/>
      <c r="Y1259" s="71">
        <f t="shared" si="55"/>
        <v>27</v>
      </c>
      <c r="Z1259" s="73">
        <f t="shared" si="56"/>
        <v>42</v>
      </c>
      <c r="AA1259" s="11" t="str">
        <f t="shared" si="57"/>
        <v/>
      </c>
      <c r="AB1259" s="73">
        <f t="shared" si="58"/>
        <v>27</v>
      </c>
      <c r="AC1259" s="11" t="str">
        <f t="shared" si="59"/>
        <v/>
      </c>
      <c r="AD1259" s="73">
        <f t="shared" si="60"/>
        <v>15</v>
      </c>
      <c r="AE1259" s="11" t="str">
        <f t="shared" si="61"/>
        <v/>
      </c>
      <c r="AF1259" s="73">
        <f t="shared" si="62"/>
        <v>27.001259000000001</v>
      </c>
      <c r="AG1259" s="11" t="str">
        <f t="shared" si="63"/>
        <v/>
      </c>
      <c r="AH1259" s="73">
        <f t="shared" si="64"/>
        <v>15.001258999999999</v>
      </c>
    </row>
    <row r="1260" spans="1:34" ht="14.25" customHeight="1">
      <c r="A1260" s="11">
        <v>1245</v>
      </c>
      <c r="B1260" s="66"/>
      <c r="C1260" s="67"/>
      <c r="D1260" s="67"/>
      <c r="E1260" s="67"/>
      <c r="F1260" s="67"/>
      <c r="G1260" s="67" t="s">
        <v>35</v>
      </c>
      <c r="H1260" s="67">
        <v>43962</v>
      </c>
      <c r="I1260" s="6" t="s">
        <v>1876</v>
      </c>
      <c r="J1260" s="94">
        <v>7108101686</v>
      </c>
      <c r="K1260" s="68">
        <v>43951</v>
      </c>
      <c r="L1260" s="68">
        <v>46022</v>
      </c>
      <c r="M1260" s="68">
        <v>46203</v>
      </c>
      <c r="N1260" s="69">
        <f t="shared" si="52"/>
        <v>7</v>
      </c>
      <c r="O1260" s="69">
        <f t="shared" si="53"/>
        <v>0</v>
      </c>
      <c r="P1260" s="78">
        <v>8</v>
      </c>
      <c r="Q1260" s="78">
        <v>15</v>
      </c>
      <c r="R1260" s="78">
        <v>15</v>
      </c>
      <c r="S1260" s="68" t="str">
        <f t="shared" si="54"/>
        <v/>
      </c>
      <c r="T1260" s="68"/>
      <c r="U1260" s="95"/>
      <c r="V1260" s="68"/>
      <c r="W1260" s="6"/>
      <c r="X1260" s="122" t="s">
        <v>807</v>
      </c>
      <c r="Y1260" s="71">
        <f t="shared" si="55"/>
        <v>15</v>
      </c>
      <c r="Z1260" s="73">
        <f t="shared" si="56"/>
        <v>15</v>
      </c>
      <c r="AA1260" s="11" t="str">
        <f t="shared" si="57"/>
        <v/>
      </c>
      <c r="AB1260" s="73">
        <f t="shared" si="58"/>
        <v>7</v>
      </c>
      <c r="AC1260" s="11" t="str">
        <f t="shared" si="59"/>
        <v/>
      </c>
      <c r="AD1260" s="73">
        <f t="shared" si="60"/>
        <v>0</v>
      </c>
      <c r="AE1260" s="11" t="str">
        <f t="shared" si="61"/>
        <v/>
      </c>
      <c r="AF1260" s="73">
        <f t="shared" si="62"/>
        <v>7.0012600000000003</v>
      </c>
      <c r="AG1260" s="11" t="str">
        <f t="shared" si="63"/>
        <v/>
      </c>
      <c r="AH1260" s="73">
        <f t="shared" si="64"/>
        <v>1.2600000000000001E-3</v>
      </c>
    </row>
    <row r="1261" spans="1:34" ht="14.25" customHeight="1">
      <c r="A1261" s="11">
        <v>1246</v>
      </c>
      <c r="B1261" s="66"/>
      <c r="C1261" s="67"/>
      <c r="D1261" s="67"/>
      <c r="E1261" s="67"/>
      <c r="F1261" s="67"/>
      <c r="G1261" s="67" t="s">
        <v>35</v>
      </c>
      <c r="H1261" s="67">
        <v>44838</v>
      </c>
      <c r="I1261" s="6" t="s">
        <v>1877</v>
      </c>
      <c r="J1261" s="9">
        <v>7108801782</v>
      </c>
      <c r="K1261" s="68">
        <v>44834</v>
      </c>
      <c r="L1261" s="68">
        <v>46022</v>
      </c>
      <c r="M1261" s="68">
        <v>46203</v>
      </c>
      <c r="N1261" s="69">
        <f t="shared" si="52"/>
        <v>-1</v>
      </c>
      <c r="O1261" s="69">
        <f t="shared" si="53"/>
        <v>-16</v>
      </c>
      <c r="P1261" s="70">
        <v>22</v>
      </c>
      <c r="Q1261" s="70">
        <v>37</v>
      </c>
      <c r="R1261" s="70">
        <v>21</v>
      </c>
      <c r="S1261" s="68" t="str">
        <f t="shared" si="54"/>
        <v/>
      </c>
      <c r="T1261" s="68"/>
      <c r="U1261" s="68"/>
      <c r="V1261" s="68"/>
      <c r="W1261" s="9"/>
      <c r="X1261" s="10"/>
      <c r="Y1261" s="71">
        <f t="shared" si="55"/>
        <v>37</v>
      </c>
      <c r="Z1261" s="73">
        <f t="shared" si="56"/>
        <v>21</v>
      </c>
      <c r="AA1261" s="11" t="str">
        <f t="shared" si="57"/>
        <v/>
      </c>
      <c r="AB1261" s="73">
        <f t="shared" si="58"/>
        <v>-1</v>
      </c>
      <c r="AC1261" s="11" t="str">
        <f t="shared" si="59"/>
        <v/>
      </c>
      <c r="AD1261" s="73">
        <f t="shared" si="60"/>
        <v>-16</v>
      </c>
      <c r="AE1261" s="11" t="str">
        <f t="shared" si="61"/>
        <v/>
      </c>
      <c r="AF1261" s="73">
        <f t="shared" si="62"/>
        <v>-0.99873900000000004</v>
      </c>
      <c r="AG1261" s="11" t="str">
        <f t="shared" si="63"/>
        <v/>
      </c>
      <c r="AH1261" s="73">
        <f t="shared" si="64"/>
        <v>-15.998739</v>
      </c>
    </row>
    <row r="1262" spans="1:34" ht="14.25" customHeight="1">
      <c r="A1262" s="11">
        <v>1247</v>
      </c>
      <c r="B1262" s="66"/>
      <c r="C1262" s="67"/>
      <c r="D1262" s="67"/>
      <c r="E1262" s="67"/>
      <c r="F1262" s="67"/>
      <c r="G1262" s="67" t="s">
        <v>35</v>
      </c>
      <c r="H1262" s="67">
        <v>45296</v>
      </c>
      <c r="I1262" s="6" t="s">
        <v>1878</v>
      </c>
      <c r="J1262" s="9">
        <v>7118702695</v>
      </c>
      <c r="K1262" s="68">
        <v>45291</v>
      </c>
      <c r="L1262" s="68">
        <v>46022</v>
      </c>
      <c r="M1262" s="68">
        <v>46203</v>
      </c>
      <c r="N1262" s="69">
        <f t="shared" si="52"/>
        <v>-1</v>
      </c>
      <c r="O1262" s="69">
        <f t="shared" si="53"/>
        <v>1</v>
      </c>
      <c r="P1262" s="70">
        <v>13</v>
      </c>
      <c r="Q1262" s="70">
        <v>11</v>
      </c>
      <c r="R1262" s="70">
        <v>12</v>
      </c>
      <c r="S1262" s="68" t="str">
        <f t="shared" si="54"/>
        <v/>
      </c>
      <c r="T1262" s="68"/>
      <c r="U1262" s="68"/>
      <c r="V1262" s="68"/>
      <c r="W1262" s="9"/>
      <c r="X1262" s="10"/>
      <c r="Y1262" s="71">
        <f t="shared" si="55"/>
        <v>11</v>
      </c>
      <c r="Z1262" s="73">
        <f t="shared" si="56"/>
        <v>12</v>
      </c>
      <c r="AA1262" s="11" t="str">
        <f t="shared" si="57"/>
        <v/>
      </c>
      <c r="AB1262" s="73">
        <f t="shared" si="58"/>
        <v>-1</v>
      </c>
      <c r="AC1262" s="11" t="str">
        <f t="shared" si="59"/>
        <v/>
      </c>
      <c r="AD1262" s="73">
        <f t="shared" si="60"/>
        <v>1</v>
      </c>
      <c r="AE1262" s="11" t="str">
        <f t="shared" si="61"/>
        <v/>
      </c>
      <c r="AF1262" s="73">
        <f t="shared" si="62"/>
        <v>-0.99873800000000001</v>
      </c>
      <c r="AG1262" s="11" t="str">
        <f t="shared" si="63"/>
        <v/>
      </c>
      <c r="AH1262" s="73">
        <f t="shared" si="64"/>
        <v>1.0012620000000001</v>
      </c>
    </row>
    <row r="1263" spans="1:34" ht="14.25" customHeight="1">
      <c r="A1263" s="11">
        <v>1248</v>
      </c>
      <c r="B1263" s="66"/>
      <c r="C1263" s="67"/>
      <c r="D1263" s="67"/>
      <c r="E1263" s="67"/>
      <c r="F1263" s="67"/>
      <c r="G1263" s="67" t="s">
        <v>35</v>
      </c>
      <c r="H1263" s="67">
        <v>45926</v>
      </c>
      <c r="I1263" s="6" t="s">
        <v>1879</v>
      </c>
      <c r="J1263" s="94">
        <v>7128102885</v>
      </c>
      <c r="K1263" s="68">
        <v>45900</v>
      </c>
      <c r="L1263" s="68">
        <v>46022</v>
      </c>
      <c r="M1263" s="68">
        <v>46203</v>
      </c>
      <c r="N1263" s="69">
        <f t="shared" si="52"/>
        <v>8</v>
      </c>
      <c r="O1263" s="69">
        <f t="shared" si="53"/>
        <v>1</v>
      </c>
      <c r="P1263" s="70">
        <v>6</v>
      </c>
      <c r="Q1263" s="70">
        <v>13</v>
      </c>
      <c r="R1263" s="70">
        <v>14</v>
      </c>
      <c r="S1263" s="68" t="str">
        <f t="shared" si="54"/>
        <v/>
      </c>
      <c r="T1263" s="68"/>
      <c r="U1263" s="95"/>
      <c r="V1263" s="68"/>
      <c r="W1263" s="6"/>
      <c r="X1263" s="10"/>
      <c r="Y1263" s="71">
        <f t="shared" si="55"/>
        <v>13</v>
      </c>
      <c r="Z1263" s="73">
        <f t="shared" si="56"/>
        <v>14</v>
      </c>
      <c r="AA1263" s="11" t="str">
        <f t="shared" si="57"/>
        <v/>
      </c>
      <c r="AB1263" s="73">
        <f t="shared" si="58"/>
        <v>8</v>
      </c>
      <c r="AC1263" s="11" t="str">
        <f t="shared" si="59"/>
        <v/>
      </c>
      <c r="AD1263" s="73">
        <f t="shared" si="60"/>
        <v>1</v>
      </c>
      <c r="AE1263" s="11" t="str">
        <f t="shared" si="61"/>
        <v/>
      </c>
      <c r="AF1263" s="73">
        <f t="shared" si="62"/>
        <v>8.0012629999999998</v>
      </c>
      <c r="AG1263" s="11" t="str">
        <f t="shared" si="63"/>
        <v/>
      </c>
      <c r="AH1263" s="73">
        <f t="shared" si="64"/>
        <v>1.001263</v>
      </c>
    </row>
    <row r="1264" spans="1:34" ht="14.25" customHeight="1">
      <c r="A1264" s="11">
        <v>1249</v>
      </c>
      <c r="B1264" s="66"/>
      <c r="C1264" s="67"/>
      <c r="D1264" s="67"/>
      <c r="E1264" s="67"/>
      <c r="F1264" s="67"/>
      <c r="G1264" s="67" t="s">
        <v>35</v>
      </c>
      <c r="H1264" s="67">
        <v>44342</v>
      </c>
      <c r="I1264" s="6" t="s">
        <v>1880</v>
      </c>
      <c r="J1264" s="9">
        <v>7138102097</v>
      </c>
      <c r="K1264" s="68">
        <v>44316</v>
      </c>
      <c r="L1264" s="68">
        <v>46022</v>
      </c>
      <c r="M1264" s="68">
        <v>46203</v>
      </c>
      <c r="N1264" s="69">
        <f t="shared" si="52"/>
        <v>-1</v>
      </c>
      <c r="O1264" s="69">
        <f t="shared" si="53"/>
        <v>1</v>
      </c>
      <c r="P1264" s="70">
        <v>4</v>
      </c>
      <c r="Q1264" s="70">
        <v>2</v>
      </c>
      <c r="R1264" s="70">
        <v>3</v>
      </c>
      <c r="S1264" s="68" t="str">
        <f t="shared" si="54"/>
        <v/>
      </c>
      <c r="T1264" s="68"/>
      <c r="U1264" s="68"/>
      <c r="V1264" s="68"/>
      <c r="W1264" s="9"/>
      <c r="X1264" s="10"/>
      <c r="Y1264" s="71">
        <f t="shared" si="55"/>
        <v>2</v>
      </c>
      <c r="Z1264" s="73">
        <f t="shared" si="56"/>
        <v>3</v>
      </c>
      <c r="AA1264" s="11" t="str">
        <f t="shared" si="57"/>
        <v/>
      </c>
      <c r="AB1264" s="73">
        <f t="shared" si="58"/>
        <v>-1</v>
      </c>
      <c r="AC1264" s="11" t="str">
        <f t="shared" si="59"/>
        <v/>
      </c>
      <c r="AD1264" s="73">
        <f t="shared" si="60"/>
        <v>1</v>
      </c>
      <c r="AE1264" s="11" t="str">
        <f t="shared" si="61"/>
        <v/>
      </c>
      <c r="AF1264" s="73">
        <f t="shared" si="62"/>
        <v>-0.99873599999999996</v>
      </c>
      <c r="AG1264" s="11" t="str">
        <f t="shared" si="63"/>
        <v/>
      </c>
      <c r="AH1264" s="73">
        <f t="shared" si="64"/>
        <v>1.0012639999999999</v>
      </c>
    </row>
    <row r="1265" spans="1:34" ht="14.25" customHeight="1">
      <c r="A1265" s="11">
        <v>1250</v>
      </c>
      <c r="B1265" s="66" t="s">
        <v>35</v>
      </c>
      <c r="C1265" s="67">
        <v>44151</v>
      </c>
      <c r="D1265" s="67"/>
      <c r="E1265" s="67"/>
      <c r="F1265" s="67"/>
      <c r="G1265" s="67" t="s">
        <v>35</v>
      </c>
      <c r="H1265" s="67">
        <v>44084</v>
      </c>
      <c r="I1265" s="6" t="s">
        <v>1881</v>
      </c>
      <c r="J1265" s="9">
        <v>7148601927</v>
      </c>
      <c r="K1265" s="68">
        <v>44074</v>
      </c>
      <c r="L1265" s="68">
        <v>46022</v>
      </c>
      <c r="M1265" s="68">
        <v>46203</v>
      </c>
      <c r="N1265" s="69">
        <f t="shared" si="52"/>
        <v>30</v>
      </c>
      <c r="O1265" s="69">
        <f t="shared" si="53"/>
        <v>5</v>
      </c>
      <c r="P1265" s="70">
        <v>5</v>
      </c>
      <c r="Q1265" s="70">
        <v>30</v>
      </c>
      <c r="R1265" s="70">
        <v>35</v>
      </c>
      <c r="S1265" s="68" t="str">
        <f t="shared" si="54"/>
        <v/>
      </c>
      <c r="T1265" s="68"/>
      <c r="U1265" s="68"/>
      <c r="V1265" s="68"/>
      <c r="W1265" s="9"/>
      <c r="X1265" s="10" t="s">
        <v>1882</v>
      </c>
      <c r="Y1265" s="71">
        <f t="shared" si="55"/>
        <v>30</v>
      </c>
      <c r="Z1265" s="73">
        <f t="shared" si="56"/>
        <v>35</v>
      </c>
      <c r="AA1265" s="73">
        <f t="shared" si="57"/>
        <v>30</v>
      </c>
      <c r="AB1265" s="73">
        <f t="shared" si="58"/>
        <v>30</v>
      </c>
      <c r="AC1265" s="73">
        <f t="shared" si="59"/>
        <v>5</v>
      </c>
      <c r="AD1265" s="73">
        <f t="shared" si="60"/>
        <v>5</v>
      </c>
      <c r="AE1265" s="73">
        <f t="shared" si="61"/>
        <v>30.001265</v>
      </c>
      <c r="AF1265" s="73">
        <f t="shared" si="62"/>
        <v>30.001265</v>
      </c>
      <c r="AG1265" s="73">
        <f t="shared" si="63"/>
        <v>5.0012650000000001</v>
      </c>
      <c r="AH1265" s="73">
        <f t="shared" si="64"/>
        <v>5.0012650000000001</v>
      </c>
    </row>
    <row r="1266" spans="1:34" ht="14.25" customHeight="1">
      <c r="A1266" s="11">
        <v>1251</v>
      </c>
      <c r="B1266" s="66" t="s">
        <v>35</v>
      </c>
      <c r="C1266" s="67"/>
      <c r="D1266" s="67"/>
      <c r="E1266" s="67"/>
      <c r="F1266" s="67">
        <v>45911</v>
      </c>
      <c r="G1266" s="67" t="s">
        <v>35</v>
      </c>
      <c r="H1266" s="67">
        <v>44792</v>
      </c>
      <c r="I1266" s="6" t="s">
        <v>1883</v>
      </c>
      <c r="J1266" s="9">
        <v>7158602138</v>
      </c>
      <c r="K1266" s="68">
        <v>44773</v>
      </c>
      <c r="L1266" s="68">
        <v>46022</v>
      </c>
      <c r="M1266" s="68">
        <v>46203</v>
      </c>
      <c r="N1266" s="69">
        <f t="shared" si="52"/>
        <v>22</v>
      </c>
      <c r="O1266" s="69">
        <f t="shared" si="53"/>
        <v>10</v>
      </c>
      <c r="P1266" s="70">
        <v>25</v>
      </c>
      <c r="Q1266" s="70">
        <v>37</v>
      </c>
      <c r="R1266" s="70">
        <v>47</v>
      </c>
      <c r="S1266" s="68" t="str">
        <f t="shared" si="54"/>
        <v/>
      </c>
      <c r="T1266" s="68"/>
      <c r="U1266" s="68"/>
      <c r="V1266" s="68"/>
      <c r="W1266" s="9"/>
      <c r="X1266" s="10"/>
      <c r="Y1266" s="71">
        <f t="shared" si="55"/>
        <v>37</v>
      </c>
      <c r="Z1266" s="73">
        <f t="shared" si="56"/>
        <v>47</v>
      </c>
      <c r="AA1266" s="73">
        <f t="shared" si="57"/>
        <v>22</v>
      </c>
      <c r="AB1266" s="73">
        <f t="shared" si="58"/>
        <v>22</v>
      </c>
      <c r="AC1266" s="73">
        <f t="shared" si="59"/>
        <v>10</v>
      </c>
      <c r="AD1266" s="73">
        <f t="shared" si="60"/>
        <v>10</v>
      </c>
      <c r="AE1266" s="73">
        <f t="shared" si="61"/>
        <v>22.001266000000001</v>
      </c>
      <c r="AF1266" s="73">
        <f t="shared" si="62"/>
        <v>22.001266000000001</v>
      </c>
      <c r="AG1266" s="73">
        <f t="shared" si="63"/>
        <v>10.001265999999999</v>
      </c>
      <c r="AH1266" s="73">
        <f t="shared" si="64"/>
        <v>10.001265999999999</v>
      </c>
    </row>
    <row r="1267" spans="1:34" ht="14.25" customHeight="1">
      <c r="A1267" s="11">
        <v>1252</v>
      </c>
      <c r="B1267" s="66"/>
      <c r="C1267" s="67"/>
      <c r="D1267" s="67"/>
      <c r="E1267" s="67"/>
      <c r="F1267" s="67"/>
      <c r="G1267" s="67" t="s">
        <v>35</v>
      </c>
      <c r="H1267" s="67">
        <v>45714</v>
      </c>
      <c r="I1267" s="6" t="s">
        <v>1884</v>
      </c>
      <c r="J1267" s="9">
        <v>7168703383</v>
      </c>
      <c r="K1267" s="68">
        <v>45688</v>
      </c>
      <c r="L1267" s="68">
        <v>46022</v>
      </c>
      <c r="M1267" s="68">
        <v>46203</v>
      </c>
      <c r="N1267" s="69">
        <f t="shared" si="52"/>
        <v>20</v>
      </c>
      <c r="O1267" s="69">
        <f t="shared" si="53"/>
        <v>14</v>
      </c>
      <c r="P1267" s="70">
        <v>4</v>
      </c>
      <c r="Q1267" s="70">
        <v>10</v>
      </c>
      <c r="R1267" s="70">
        <v>24</v>
      </c>
      <c r="S1267" s="68" t="str">
        <f t="shared" si="54"/>
        <v/>
      </c>
      <c r="T1267" s="68"/>
      <c r="U1267" s="68"/>
      <c r="V1267" s="68"/>
      <c r="W1267" s="9"/>
      <c r="X1267" s="10"/>
      <c r="Y1267" s="71">
        <f t="shared" si="55"/>
        <v>10</v>
      </c>
      <c r="Z1267" s="73">
        <f t="shared" si="56"/>
        <v>24</v>
      </c>
      <c r="AA1267" s="11" t="str">
        <f t="shared" si="57"/>
        <v/>
      </c>
      <c r="AB1267" s="73">
        <f t="shared" si="58"/>
        <v>20</v>
      </c>
      <c r="AC1267" s="11" t="str">
        <f t="shared" si="59"/>
        <v/>
      </c>
      <c r="AD1267" s="73">
        <f t="shared" si="60"/>
        <v>14</v>
      </c>
      <c r="AE1267" s="11" t="str">
        <f t="shared" si="61"/>
        <v/>
      </c>
      <c r="AF1267" s="73">
        <f t="shared" si="62"/>
        <v>20.001266999999999</v>
      </c>
      <c r="AG1267" s="11" t="str">
        <f t="shared" si="63"/>
        <v/>
      </c>
      <c r="AH1267" s="73">
        <f t="shared" si="64"/>
        <v>14.001267</v>
      </c>
    </row>
    <row r="1268" spans="1:34" ht="14.25" customHeight="1">
      <c r="A1268" s="11">
        <v>1253</v>
      </c>
      <c r="B1268" s="66"/>
      <c r="C1268" s="67"/>
      <c r="D1268" s="67"/>
      <c r="E1268" s="67"/>
      <c r="F1268" s="67"/>
      <c r="G1268" s="67" t="s">
        <v>35</v>
      </c>
      <c r="H1268" s="67">
        <v>45630</v>
      </c>
      <c r="I1268" s="6" t="s">
        <v>1885</v>
      </c>
      <c r="J1268" s="9">
        <v>7178101445</v>
      </c>
      <c r="K1268" s="68">
        <v>45626</v>
      </c>
      <c r="L1268" s="68">
        <v>46022</v>
      </c>
      <c r="M1268" s="68">
        <v>46203</v>
      </c>
      <c r="N1268" s="69">
        <f t="shared" si="52"/>
        <v>2</v>
      </c>
      <c r="O1268" s="69">
        <f t="shared" si="53"/>
        <v>-3</v>
      </c>
      <c r="P1268" s="70">
        <v>1</v>
      </c>
      <c r="Q1268" s="70">
        <v>6</v>
      </c>
      <c r="R1268" s="70">
        <v>3</v>
      </c>
      <c r="S1268" s="68" t="str">
        <f t="shared" si="54"/>
        <v/>
      </c>
      <c r="T1268" s="68"/>
      <c r="U1268" s="68"/>
      <c r="V1268" s="68"/>
      <c r="W1268" s="9"/>
      <c r="X1268" s="10"/>
      <c r="Y1268" s="71">
        <f t="shared" si="55"/>
        <v>6</v>
      </c>
      <c r="Z1268" s="73">
        <f t="shared" si="56"/>
        <v>3</v>
      </c>
      <c r="AA1268" s="11" t="str">
        <f t="shared" si="57"/>
        <v/>
      </c>
      <c r="AB1268" s="73">
        <f t="shared" si="58"/>
        <v>2</v>
      </c>
      <c r="AC1268" s="11" t="str">
        <f t="shared" si="59"/>
        <v/>
      </c>
      <c r="AD1268" s="73">
        <f t="shared" si="60"/>
        <v>-3</v>
      </c>
      <c r="AE1268" s="11" t="str">
        <f t="shared" si="61"/>
        <v/>
      </c>
      <c r="AF1268" s="73">
        <f t="shared" si="62"/>
        <v>2.001268</v>
      </c>
      <c r="AG1268" s="11" t="str">
        <f t="shared" si="63"/>
        <v/>
      </c>
      <c r="AH1268" s="73">
        <f t="shared" si="64"/>
        <v>-2.998732</v>
      </c>
    </row>
    <row r="1269" spans="1:34" ht="14.25" customHeight="1">
      <c r="A1269" s="11">
        <v>1254</v>
      </c>
      <c r="B1269" s="66"/>
      <c r="C1269" s="67"/>
      <c r="D1269" s="67"/>
      <c r="E1269" s="67"/>
      <c r="F1269" s="67"/>
      <c r="G1269" s="67" t="s">
        <v>35</v>
      </c>
      <c r="H1269" s="67">
        <v>45919</v>
      </c>
      <c r="I1269" s="6" t="s">
        <v>1886</v>
      </c>
      <c r="J1269" s="94">
        <v>7178602890</v>
      </c>
      <c r="K1269" s="68">
        <v>45900</v>
      </c>
      <c r="L1269" s="68">
        <v>46022</v>
      </c>
      <c r="M1269" s="68">
        <v>46203</v>
      </c>
      <c r="N1269" s="69">
        <f t="shared" si="52"/>
        <v>4</v>
      </c>
      <c r="O1269" s="69">
        <f t="shared" si="53"/>
        <v>2</v>
      </c>
      <c r="P1269" s="70">
        <v>15</v>
      </c>
      <c r="Q1269" s="70">
        <v>17</v>
      </c>
      <c r="R1269" s="70">
        <v>19</v>
      </c>
      <c r="S1269" s="68" t="str">
        <f t="shared" si="54"/>
        <v/>
      </c>
      <c r="T1269" s="68"/>
      <c r="U1269" s="95"/>
      <c r="V1269" s="68"/>
      <c r="W1269" s="6"/>
      <c r="X1269" s="10"/>
      <c r="Y1269" s="71">
        <f t="shared" si="55"/>
        <v>17</v>
      </c>
      <c r="Z1269" s="73">
        <f t="shared" si="56"/>
        <v>19</v>
      </c>
      <c r="AA1269" s="11" t="str">
        <f t="shared" si="57"/>
        <v/>
      </c>
      <c r="AB1269" s="73">
        <f t="shared" si="58"/>
        <v>4</v>
      </c>
      <c r="AC1269" s="11" t="str">
        <f t="shared" si="59"/>
        <v/>
      </c>
      <c r="AD1269" s="73">
        <f t="shared" si="60"/>
        <v>2</v>
      </c>
      <c r="AE1269" s="11" t="str">
        <f t="shared" si="61"/>
        <v/>
      </c>
      <c r="AF1269" s="73">
        <f t="shared" si="62"/>
        <v>4.0012689999999997</v>
      </c>
      <c r="AG1269" s="11" t="str">
        <f t="shared" si="63"/>
        <v/>
      </c>
      <c r="AH1269" s="73">
        <f t="shared" si="64"/>
        <v>2.0012690000000002</v>
      </c>
    </row>
    <row r="1270" spans="1:34" ht="14.25" customHeight="1">
      <c r="A1270" s="11">
        <v>1255</v>
      </c>
      <c r="B1270" s="66" t="s">
        <v>24</v>
      </c>
      <c r="C1270" s="67">
        <v>44438</v>
      </c>
      <c r="D1270" s="67">
        <v>43903</v>
      </c>
      <c r="E1270" s="67"/>
      <c r="F1270" s="67"/>
      <c r="G1270" s="67" t="s">
        <v>24</v>
      </c>
      <c r="H1270" s="67">
        <v>44449</v>
      </c>
      <c r="I1270" s="6" t="s">
        <v>1887</v>
      </c>
      <c r="J1270" s="9">
        <v>7178800289</v>
      </c>
      <c r="K1270" s="68">
        <v>43890</v>
      </c>
      <c r="L1270" s="68" t="s">
        <v>230</v>
      </c>
      <c r="M1270" s="68">
        <v>45473</v>
      </c>
      <c r="N1270" s="69">
        <f t="shared" si="52"/>
        <v>-18</v>
      </c>
      <c r="O1270" s="69" t="str">
        <f t="shared" si="53"/>
        <v>N/A</v>
      </c>
      <c r="P1270" s="70">
        <v>18</v>
      </c>
      <c r="Q1270" s="70"/>
      <c r="R1270" s="70">
        <v>0</v>
      </c>
      <c r="S1270" s="68">
        <f t="shared" si="54"/>
        <v>45453</v>
      </c>
      <c r="T1270" s="68">
        <v>45453</v>
      </c>
      <c r="U1270" s="68">
        <v>45657</v>
      </c>
      <c r="V1270" s="68">
        <v>45926</v>
      </c>
      <c r="W1270" s="9"/>
      <c r="X1270" s="10"/>
      <c r="Y1270" s="65" t="str">
        <f t="shared" si="55"/>
        <v/>
      </c>
      <c r="Z1270" s="11" t="str">
        <f t="shared" si="56"/>
        <v/>
      </c>
      <c r="AA1270" s="73">
        <f t="shared" si="57"/>
        <v>-18</v>
      </c>
      <c r="AB1270" s="73">
        <f t="shared" si="58"/>
        <v>-18</v>
      </c>
      <c r="AC1270" s="11" t="str">
        <f t="shared" si="59"/>
        <v/>
      </c>
      <c r="AD1270" s="11" t="str">
        <f t="shared" si="60"/>
        <v/>
      </c>
      <c r="AE1270" s="73">
        <f t="shared" si="61"/>
        <v>-17.998729999999998</v>
      </c>
      <c r="AF1270" s="73">
        <f t="shared" si="62"/>
        <v>-17.998729999999998</v>
      </c>
      <c r="AG1270" s="11" t="str">
        <f t="shared" si="63"/>
        <v/>
      </c>
      <c r="AH1270" s="11" t="str">
        <f t="shared" si="64"/>
        <v/>
      </c>
    </row>
    <row r="1271" spans="1:34" ht="14.25" customHeight="1">
      <c r="A1271" s="11">
        <v>1256</v>
      </c>
      <c r="B1271" s="66"/>
      <c r="C1271" s="67"/>
      <c r="D1271" s="67"/>
      <c r="E1271" s="67"/>
      <c r="F1271" s="67"/>
      <c r="G1271" s="67" t="s">
        <v>35</v>
      </c>
      <c r="H1271" s="67">
        <v>42171</v>
      </c>
      <c r="I1271" s="6" t="s">
        <v>1888</v>
      </c>
      <c r="J1271" s="9">
        <v>7188600124</v>
      </c>
      <c r="K1271" s="68">
        <v>42155</v>
      </c>
      <c r="L1271" s="68">
        <v>46022</v>
      </c>
      <c r="M1271" s="68">
        <v>46203</v>
      </c>
      <c r="N1271" s="69">
        <f t="shared" si="52"/>
        <v>25</v>
      </c>
      <c r="O1271" s="69">
        <f t="shared" si="53"/>
        <v>0</v>
      </c>
      <c r="P1271" s="70">
        <v>0</v>
      </c>
      <c r="Q1271" s="70">
        <v>25</v>
      </c>
      <c r="R1271" s="70">
        <v>25</v>
      </c>
      <c r="S1271" s="68" t="str">
        <f t="shared" si="54"/>
        <v/>
      </c>
      <c r="T1271" s="68"/>
      <c r="U1271" s="68"/>
      <c r="V1271" s="68"/>
      <c r="W1271" s="9"/>
      <c r="X1271" s="10"/>
      <c r="Y1271" s="71">
        <f t="shared" si="55"/>
        <v>25</v>
      </c>
      <c r="Z1271" s="73">
        <f t="shared" si="56"/>
        <v>25</v>
      </c>
      <c r="AA1271" s="11" t="str">
        <f t="shared" si="57"/>
        <v/>
      </c>
      <c r="AB1271" s="73">
        <f t="shared" si="58"/>
        <v>25</v>
      </c>
      <c r="AC1271" s="11" t="str">
        <f t="shared" si="59"/>
        <v/>
      </c>
      <c r="AD1271" s="73">
        <f t="shared" si="60"/>
        <v>0</v>
      </c>
      <c r="AE1271" s="11" t="str">
        <f t="shared" si="61"/>
        <v/>
      </c>
      <c r="AF1271" s="73">
        <f t="shared" si="62"/>
        <v>25.001270999999999</v>
      </c>
      <c r="AG1271" s="11" t="str">
        <f t="shared" si="63"/>
        <v/>
      </c>
      <c r="AH1271" s="73">
        <f t="shared" si="64"/>
        <v>1.271E-3</v>
      </c>
    </row>
    <row r="1272" spans="1:34" ht="14.25" customHeight="1">
      <c r="A1272" s="11">
        <v>1257</v>
      </c>
      <c r="B1272" s="66"/>
      <c r="C1272" s="67"/>
      <c r="D1272" s="67"/>
      <c r="E1272" s="67"/>
      <c r="F1272" s="67"/>
      <c r="G1272" s="67" t="s">
        <v>35</v>
      </c>
      <c r="H1272" s="67">
        <v>44853</v>
      </c>
      <c r="I1272" s="6" t="s">
        <v>1889</v>
      </c>
      <c r="J1272" s="9">
        <v>7198102678</v>
      </c>
      <c r="K1272" s="68">
        <v>44834</v>
      </c>
      <c r="L1272" s="68">
        <v>46022</v>
      </c>
      <c r="M1272" s="68">
        <v>46203</v>
      </c>
      <c r="N1272" s="69">
        <f t="shared" si="52"/>
        <v>14</v>
      </c>
      <c r="O1272" s="69">
        <f t="shared" si="53"/>
        <v>-20</v>
      </c>
      <c r="P1272" s="70">
        <v>8</v>
      </c>
      <c r="Q1272" s="70">
        <v>42</v>
      </c>
      <c r="R1272" s="70">
        <v>22</v>
      </c>
      <c r="S1272" s="68" t="str">
        <f t="shared" si="54"/>
        <v/>
      </c>
      <c r="T1272" s="68"/>
      <c r="U1272" s="68"/>
      <c r="V1272" s="68"/>
      <c r="W1272" s="9"/>
      <c r="X1272" s="10"/>
      <c r="Y1272" s="71">
        <f t="shared" si="55"/>
        <v>42</v>
      </c>
      <c r="Z1272" s="73">
        <f t="shared" si="56"/>
        <v>22</v>
      </c>
      <c r="AA1272" s="11" t="str">
        <f t="shared" si="57"/>
        <v/>
      </c>
      <c r="AB1272" s="73">
        <f t="shared" si="58"/>
        <v>14</v>
      </c>
      <c r="AC1272" s="11" t="str">
        <f t="shared" si="59"/>
        <v/>
      </c>
      <c r="AD1272" s="73">
        <f t="shared" si="60"/>
        <v>-20</v>
      </c>
      <c r="AE1272" s="11" t="str">
        <f t="shared" si="61"/>
        <v/>
      </c>
      <c r="AF1272" s="73">
        <f t="shared" si="62"/>
        <v>14.001272</v>
      </c>
      <c r="AG1272" s="11" t="str">
        <f t="shared" si="63"/>
        <v/>
      </c>
      <c r="AH1272" s="73">
        <f t="shared" si="64"/>
        <v>-19.998728</v>
      </c>
    </row>
    <row r="1273" spans="1:34" ht="14.25" customHeight="1">
      <c r="A1273" s="11">
        <v>1258</v>
      </c>
      <c r="B1273" s="121" t="s">
        <v>24</v>
      </c>
      <c r="C1273" s="67">
        <v>42705</v>
      </c>
      <c r="D1273" s="67">
        <v>42837</v>
      </c>
      <c r="E1273" s="67"/>
      <c r="F1273" s="67"/>
      <c r="G1273" s="67"/>
      <c r="H1273" s="67"/>
      <c r="I1273" s="6" t="s">
        <v>1890</v>
      </c>
      <c r="J1273" s="9">
        <v>7198700158</v>
      </c>
      <c r="K1273" s="68">
        <v>42704</v>
      </c>
      <c r="L1273" s="68" t="s">
        <v>230</v>
      </c>
      <c r="M1273" s="68">
        <v>43982</v>
      </c>
      <c r="N1273" s="69">
        <f t="shared" si="52"/>
        <v>0</v>
      </c>
      <c r="O1273" s="69" t="str">
        <f t="shared" si="53"/>
        <v>N/A</v>
      </c>
      <c r="P1273" s="70">
        <v>0</v>
      </c>
      <c r="Q1273" s="70"/>
      <c r="R1273" s="70">
        <v>0</v>
      </c>
      <c r="S1273" s="68">
        <f t="shared" si="54"/>
        <v>43962</v>
      </c>
      <c r="T1273" s="68">
        <v>43962</v>
      </c>
      <c r="U1273" s="68"/>
      <c r="V1273" s="68">
        <v>43524</v>
      </c>
      <c r="W1273" s="9"/>
      <c r="X1273" s="93"/>
      <c r="Y1273" s="65" t="str">
        <f t="shared" si="55"/>
        <v/>
      </c>
      <c r="Z1273" s="11" t="str">
        <f t="shared" si="56"/>
        <v/>
      </c>
      <c r="AA1273" s="73">
        <f t="shared" si="57"/>
        <v>0</v>
      </c>
      <c r="AB1273" s="11" t="str">
        <f t="shared" si="58"/>
        <v/>
      </c>
      <c r="AC1273" s="11" t="str">
        <f t="shared" si="59"/>
        <v/>
      </c>
      <c r="AD1273" s="11" t="str">
        <f t="shared" si="60"/>
        <v/>
      </c>
      <c r="AE1273" s="73">
        <f t="shared" si="61"/>
        <v>1.273E-3</v>
      </c>
      <c r="AF1273" s="11" t="str">
        <f t="shared" si="62"/>
        <v/>
      </c>
      <c r="AG1273" s="11" t="str">
        <f t="shared" si="63"/>
        <v/>
      </c>
      <c r="AH1273" s="11" t="str">
        <f t="shared" si="64"/>
        <v/>
      </c>
    </row>
    <row r="1274" spans="1:34" ht="14.25" customHeight="1">
      <c r="A1274" s="11">
        <v>1259</v>
      </c>
      <c r="B1274" s="66" t="s">
        <v>1891</v>
      </c>
      <c r="C1274" s="67">
        <v>44501</v>
      </c>
      <c r="D1274" s="67">
        <v>42922</v>
      </c>
      <c r="E1274" s="67"/>
      <c r="F1274" s="67"/>
      <c r="G1274" s="67"/>
      <c r="H1274" s="67"/>
      <c r="I1274" s="6" t="s">
        <v>1892</v>
      </c>
      <c r="J1274" s="9">
        <v>7218800371</v>
      </c>
      <c r="K1274" s="68">
        <v>42916</v>
      </c>
      <c r="L1274" s="68">
        <v>46022</v>
      </c>
      <c r="M1274" s="68">
        <v>46203</v>
      </c>
      <c r="N1274" s="69">
        <f t="shared" si="52"/>
        <v>-4</v>
      </c>
      <c r="O1274" s="69">
        <f t="shared" si="53"/>
        <v>0</v>
      </c>
      <c r="P1274" s="70">
        <v>4</v>
      </c>
      <c r="Q1274" s="70">
        <v>0</v>
      </c>
      <c r="R1274" s="70">
        <v>0</v>
      </c>
      <c r="S1274" s="68" t="str">
        <f t="shared" si="54"/>
        <v/>
      </c>
      <c r="T1274" s="68"/>
      <c r="U1274" s="68">
        <v>44926</v>
      </c>
      <c r="V1274" s="68">
        <v>45560</v>
      </c>
      <c r="W1274" s="9"/>
      <c r="X1274" s="93" t="s">
        <v>482</v>
      </c>
      <c r="Y1274" s="71">
        <f t="shared" si="55"/>
        <v>0</v>
      </c>
      <c r="Z1274" s="73">
        <f t="shared" si="56"/>
        <v>0</v>
      </c>
      <c r="AA1274" s="73">
        <f t="shared" si="57"/>
        <v>-4</v>
      </c>
      <c r="AB1274" s="11" t="str">
        <f t="shared" si="58"/>
        <v/>
      </c>
      <c r="AC1274" s="73">
        <f t="shared" si="59"/>
        <v>0</v>
      </c>
      <c r="AD1274" s="11" t="str">
        <f t="shared" si="60"/>
        <v/>
      </c>
      <c r="AE1274" s="73">
        <f t="shared" si="61"/>
        <v>-3.998726</v>
      </c>
      <c r="AF1274" s="11" t="str">
        <f t="shared" si="62"/>
        <v/>
      </c>
      <c r="AG1274" s="73">
        <f t="shared" si="63"/>
        <v>1.274E-3</v>
      </c>
      <c r="AH1274" s="11" t="str">
        <f t="shared" si="64"/>
        <v/>
      </c>
    </row>
    <row r="1275" spans="1:34" ht="14.25" customHeight="1">
      <c r="A1275" s="11">
        <v>1260</v>
      </c>
      <c r="B1275" s="66"/>
      <c r="C1275" s="67"/>
      <c r="D1275" s="67"/>
      <c r="E1275" s="67"/>
      <c r="F1275" s="67"/>
      <c r="G1275" s="67" t="s">
        <v>35</v>
      </c>
      <c r="H1275" s="67">
        <v>45590</v>
      </c>
      <c r="I1275" s="6" t="s">
        <v>1893</v>
      </c>
      <c r="J1275" s="9">
        <v>7228702962</v>
      </c>
      <c r="K1275" s="68">
        <v>45565</v>
      </c>
      <c r="L1275" s="68">
        <v>46022</v>
      </c>
      <c r="M1275" s="68">
        <v>46203</v>
      </c>
      <c r="N1275" s="69">
        <f t="shared" si="52"/>
        <v>3</v>
      </c>
      <c r="O1275" s="69">
        <f t="shared" si="53"/>
        <v>-1</v>
      </c>
      <c r="P1275" s="70">
        <v>2</v>
      </c>
      <c r="Q1275" s="70">
        <v>6</v>
      </c>
      <c r="R1275" s="70">
        <v>5</v>
      </c>
      <c r="S1275" s="68" t="str">
        <f t="shared" si="54"/>
        <v/>
      </c>
      <c r="T1275" s="68"/>
      <c r="U1275" s="68"/>
      <c r="V1275" s="68"/>
      <c r="W1275" s="9"/>
      <c r="X1275" s="10"/>
      <c r="Y1275" s="71">
        <f t="shared" si="55"/>
        <v>6</v>
      </c>
      <c r="Z1275" s="73">
        <f t="shared" si="56"/>
        <v>5</v>
      </c>
      <c r="AA1275" s="11" t="str">
        <f t="shared" si="57"/>
        <v/>
      </c>
      <c r="AB1275" s="73">
        <f t="shared" si="58"/>
        <v>3</v>
      </c>
      <c r="AC1275" s="11" t="str">
        <f t="shared" si="59"/>
        <v/>
      </c>
      <c r="AD1275" s="73">
        <f t="shared" si="60"/>
        <v>-1</v>
      </c>
      <c r="AE1275" s="11" t="str">
        <f t="shared" si="61"/>
        <v/>
      </c>
      <c r="AF1275" s="73">
        <f t="shared" si="62"/>
        <v>3.0012750000000001</v>
      </c>
      <c r="AG1275" s="11" t="str">
        <f t="shared" si="63"/>
        <v/>
      </c>
      <c r="AH1275" s="73">
        <f t="shared" si="64"/>
        <v>-0.99872499999999997</v>
      </c>
    </row>
    <row r="1276" spans="1:34" ht="14.25" customHeight="1">
      <c r="A1276" s="11">
        <v>1261</v>
      </c>
      <c r="B1276" s="66"/>
      <c r="C1276" s="67"/>
      <c r="D1276" s="67"/>
      <c r="E1276" s="67"/>
      <c r="F1276" s="67"/>
      <c r="G1276" s="67" t="s">
        <v>35</v>
      </c>
      <c r="H1276" s="67">
        <v>44084</v>
      </c>
      <c r="I1276" s="6" t="s">
        <v>1894</v>
      </c>
      <c r="J1276" s="9">
        <v>7228800734</v>
      </c>
      <c r="K1276" s="68">
        <v>44074</v>
      </c>
      <c r="L1276" s="68">
        <v>46022</v>
      </c>
      <c r="M1276" s="68">
        <v>46203</v>
      </c>
      <c r="N1276" s="69">
        <f t="shared" si="52"/>
        <v>40</v>
      </c>
      <c r="O1276" s="69">
        <f t="shared" si="53"/>
        <v>3</v>
      </c>
      <c r="P1276" s="70">
        <v>21</v>
      </c>
      <c r="Q1276" s="70">
        <v>58</v>
      </c>
      <c r="R1276" s="70">
        <v>61</v>
      </c>
      <c r="S1276" s="68" t="str">
        <f t="shared" si="54"/>
        <v/>
      </c>
      <c r="T1276" s="68"/>
      <c r="U1276" s="68"/>
      <c r="V1276" s="68"/>
      <c r="W1276" s="9"/>
      <c r="X1276" s="10"/>
      <c r="Y1276" s="71">
        <f t="shared" si="55"/>
        <v>58</v>
      </c>
      <c r="Z1276" s="73">
        <f t="shared" si="56"/>
        <v>61</v>
      </c>
      <c r="AA1276" s="11" t="str">
        <f t="shared" si="57"/>
        <v/>
      </c>
      <c r="AB1276" s="73">
        <f t="shared" si="58"/>
        <v>40</v>
      </c>
      <c r="AC1276" s="11" t="str">
        <f t="shared" si="59"/>
        <v/>
      </c>
      <c r="AD1276" s="73">
        <f t="shared" si="60"/>
        <v>3</v>
      </c>
      <c r="AE1276" s="11" t="str">
        <f t="shared" si="61"/>
        <v/>
      </c>
      <c r="AF1276" s="73">
        <f t="shared" si="62"/>
        <v>40.001275999999997</v>
      </c>
      <c r="AG1276" s="11" t="str">
        <f t="shared" si="63"/>
        <v/>
      </c>
      <c r="AH1276" s="73">
        <f t="shared" si="64"/>
        <v>3.0012759999999998</v>
      </c>
    </row>
    <row r="1277" spans="1:34" ht="14.25" customHeight="1">
      <c r="A1277" s="11">
        <v>1262</v>
      </c>
      <c r="B1277" s="66"/>
      <c r="C1277" s="67"/>
      <c r="D1277" s="67"/>
      <c r="E1277" s="67"/>
      <c r="F1277" s="67"/>
      <c r="G1277" s="67" t="s">
        <v>35</v>
      </c>
      <c r="H1277" s="67">
        <v>45812</v>
      </c>
      <c r="I1277" s="6" t="s">
        <v>1895</v>
      </c>
      <c r="J1277" s="9">
        <v>7228803255</v>
      </c>
      <c r="K1277" s="68">
        <v>45808</v>
      </c>
      <c r="L1277" s="68">
        <v>46022</v>
      </c>
      <c r="M1277" s="68">
        <v>46203</v>
      </c>
      <c r="N1277" s="69">
        <f t="shared" si="52"/>
        <v>1</v>
      </c>
      <c r="O1277" s="69">
        <f t="shared" si="53"/>
        <v>0</v>
      </c>
      <c r="P1277" s="70">
        <v>8</v>
      </c>
      <c r="Q1277" s="70">
        <v>9</v>
      </c>
      <c r="R1277" s="70">
        <v>9</v>
      </c>
      <c r="S1277" s="68" t="str">
        <f t="shared" si="54"/>
        <v/>
      </c>
      <c r="T1277" s="68"/>
      <c r="U1277" s="68"/>
      <c r="V1277" s="68"/>
      <c r="W1277" s="9"/>
      <c r="X1277" s="10"/>
      <c r="Y1277" s="71">
        <f t="shared" si="55"/>
        <v>9</v>
      </c>
      <c r="Z1277" s="73">
        <f t="shared" si="56"/>
        <v>9</v>
      </c>
      <c r="AA1277" s="11" t="str">
        <f t="shared" si="57"/>
        <v/>
      </c>
      <c r="AB1277" s="73">
        <f t="shared" si="58"/>
        <v>1</v>
      </c>
      <c r="AC1277" s="11" t="str">
        <f t="shared" si="59"/>
        <v/>
      </c>
      <c r="AD1277" s="73">
        <f t="shared" si="60"/>
        <v>0</v>
      </c>
      <c r="AE1277" s="11" t="str">
        <f t="shared" si="61"/>
        <v/>
      </c>
      <c r="AF1277" s="73">
        <f t="shared" si="62"/>
        <v>1.001277</v>
      </c>
      <c r="AG1277" s="11" t="str">
        <f t="shared" si="63"/>
        <v/>
      </c>
      <c r="AH1277" s="73">
        <f t="shared" si="64"/>
        <v>1.2769999999999999E-3</v>
      </c>
    </row>
    <row r="1278" spans="1:34" ht="14.25" customHeight="1">
      <c r="A1278" s="11">
        <v>1263</v>
      </c>
      <c r="B1278" s="66" t="s">
        <v>35</v>
      </c>
      <c r="C1278" s="67">
        <v>43836</v>
      </c>
      <c r="D1278" s="67"/>
      <c r="E1278" s="67"/>
      <c r="F1278" s="67"/>
      <c r="G1278" s="67"/>
      <c r="H1278" s="67"/>
      <c r="I1278" s="6" t="s">
        <v>1896</v>
      </c>
      <c r="J1278" s="9">
        <v>7238101101</v>
      </c>
      <c r="K1278" s="68">
        <v>43830</v>
      </c>
      <c r="L1278" s="68">
        <v>46022</v>
      </c>
      <c r="M1278" s="68">
        <v>46203</v>
      </c>
      <c r="N1278" s="69">
        <f t="shared" si="52"/>
        <v>27</v>
      </c>
      <c r="O1278" s="69">
        <f t="shared" si="53"/>
        <v>-9</v>
      </c>
      <c r="P1278" s="70">
        <v>5</v>
      </c>
      <c r="Q1278" s="70">
        <v>41</v>
      </c>
      <c r="R1278" s="70">
        <v>32</v>
      </c>
      <c r="S1278" s="68" t="str">
        <f t="shared" si="54"/>
        <v/>
      </c>
      <c r="T1278" s="68"/>
      <c r="U1278" s="68"/>
      <c r="V1278" s="68"/>
      <c r="W1278" s="9"/>
      <c r="X1278" s="10"/>
      <c r="Y1278" s="71">
        <f t="shared" si="55"/>
        <v>41</v>
      </c>
      <c r="Z1278" s="73">
        <f t="shared" si="56"/>
        <v>32</v>
      </c>
      <c r="AA1278" s="73">
        <f t="shared" si="57"/>
        <v>27</v>
      </c>
      <c r="AB1278" s="11" t="str">
        <f t="shared" si="58"/>
        <v/>
      </c>
      <c r="AC1278" s="73">
        <f t="shared" si="59"/>
        <v>-9</v>
      </c>
      <c r="AD1278" s="11" t="str">
        <f t="shared" si="60"/>
        <v/>
      </c>
      <c r="AE1278" s="73">
        <f t="shared" si="61"/>
        <v>27.001277999999999</v>
      </c>
      <c r="AF1278" s="11" t="str">
        <f t="shared" si="62"/>
        <v/>
      </c>
      <c r="AG1278" s="73">
        <f t="shared" si="63"/>
        <v>-8.9987220000000008</v>
      </c>
      <c r="AH1278" s="11" t="str">
        <f t="shared" si="64"/>
        <v/>
      </c>
    </row>
    <row r="1279" spans="1:34" ht="14.25" customHeight="1">
      <c r="A1279" s="11">
        <v>1264</v>
      </c>
      <c r="B1279" s="66" t="s">
        <v>35</v>
      </c>
      <c r="C1279" s="67">
        <v>43739</v>
      </c>
      <c r="D1279" s="67"/>
      <c r="E1279" s="67"/>
      <c r="F1279" s="67"/>
      <c r="G1279" s="67"/>
      <c r="H1279" s="67"/>
      <c r="I1279" s="6" t="s">
        <v>1897</v>
      </c>
      <c r="J1279" s="9">
        <v>7238801089</v>
      </c>
      <c r="K1279" s="68">
        <v>43738</v>
      </c>
      <c r="L1279" s="68">
        <v>46022</v>
      </c>
      <c r="M1279" s="68">
        <v>46203</v>
      </c>
      <c r="N1279" s="69">
        <f t="shared" si="52"/>
        <v>-1</v>
      </c>
      <c r="O1279" s="69">
        <f t="shared" si="53"/>
        <v>0</v>
      </c>
      <c r="P1279" s="70">
        <v>6</v>
      </c>
      <c r="Q1279" s="70">
        <v>5</v>
      </c>
      <c r="R1279" s="70">
        <v>5</v>
      </c>
      <c r="S1279" s="68" t="str">
        <f t="shared" si="54"/>
        <v/>
      </c>
      <c r="T1279" s="68"/>
      <c r="U1279" s="68"/>
      <c r="V1279" s="68"/>
      <c r="W1279" s="9"/>
      <c r="X1279" s="10"/>
      <c r="Y1279" s="71">
        <f t="shared" si="55"/>
        <v>5</v>
      </c>
      <c r="Z1279" s="73">
        <f t="shared" si="56"/>
        <v>5</v>
      </c>
      <c r="AA1279" s="73">
        <f t="shared" si="57"/>
        <v>-1</v>
      </c>
      <c r="AB1279" s="11" t="str">
        <f t="shared" si="58"/>
        <v/>
      </c>
      <c r="AC1279" s="73">
        <f t="shared" si="59"/>
        <v>0</v>
      </c>
      <c r="AD1279" s="11" t="str">
        <f t="shared" si="60"/>
        <v/>
      </c>
      <c r="AE1279" s="73">
        <f t="shared" si="61"/>
        <v>-0.99872099999999997</v>
      </c>
      <c r="AF1279" s="11" t="str">
        <f t="shared" si="62"/>
        <v/>
      </c>
      <c r="AG1279" s="73">
        <f t="shared" si="63"/>
        <v>1.279E-3</v>
      </c>
      <c r="AH1279" s="11" t="str">
        <f t="shared" si="64"/>
        <v/>
      </c>
    </row>
    <row r="1280" spans="1:34" ht="14.25" customHeight="1">
      <c r="A1280" s="11">
        <v>1265</v>
      </c>
      <c r="B1280" s="66"/>
      <c r="C1280" s="67"/>
      <c r="D1280" s="67"/>
      <c r="E1280" s="67"/>
      <c r="F1280" s="67"/>
      <c r="G1280" s="67" t="s">
        <v>35</v>
      </c>
      <c r="H1280" s="67">
        <v>44909</v>
      </c>
      <c r="I1280" s="6" t="s">
        <v>1898</v>
      </c>
      <c r="J1280" s="9">
        <v>7258702428</v>
      </c>
      <c r="K1280" s="68">
        <v>44895</v>
      </c>
      <c r="L1280" s="68">
        <v>46022</v>
      </c>
      <c r="M1280" s="68">
        <v>46203</v>
      </c>
      <c r="N1280" s="69">
        <f t="shared" si="52"/>
        <v>-5</v>
      </c>
      <c r="O1280" s="69">
        <f t="shared" si="53"/>
        <v>-4</v>
      </c>
      <c r="P1280" s="70">
        <v>5</v>
      </c>
      <c r="Q1280" s="70">
        <v>4</v>
      </c>
      <c r="R1280" s="70">
        <v>0</v>
      </c>
      <c r="S1280" s="68" t="str">
        <f t="shared" si="54"/>
        <v/>
      </c>
      <c r="T1280" s="68"/>
      <c r="U1280" s="68"/>
      <c r="V1280" s="68"/>
      <c r="W1280" s="9"/>
      <c r="X1280" s="10"/>
      <c r="Y1280" s="71">
        <f t="shared" si="55"/>
        <v>4</v>
      </c>
      <c r="Z1280" s="73">
        <f t="shared" si="56"/>
        <v>0</v>
      </c>
      <c r="AA1280" s="11" t="str">
        <f t="shared" si="57"/>
        <v/>
      </c>
      <c r="AB1280" s="73">
        <f t="shared" si="58"/>
        <v>-5</v>
      </c>
      <c r="AC1280" s="11" t="str">
        <f t="shared" si="59"/>
        <v/>
      </c>
      <c r="AD1280" s="73">
        <f t="shared" si="60"/>
        <v>-4</v>
      </c>
      <c r="AE1280" s="11" t="str">
        <f t="shared" si="61"/>
        <v/>
      </c>
      <c r="AF1280" s="73">
        <f t="shared" si="62"/>
        <v>-4.9987199999999996</v>
      </c>
      <c r="AG1280" s="11" t="str">
        <f t="shared" si="63"/>
        <v/>
      </c>
      <c r="AH1280" s="73">
        <f t="shared" si="64"/>
        <v>-3.9987200000000001</v>
      </c>
    </row>
    <row r="1281" spans="1:34" ht="14.25" customHeight="1">
      <c r="A1281" s="11">
        <v>1266</v>
      </c>
      <c r="B1281" s="66" t="s">
        <v>35</v>
      </c>
      <c r="C1281" s="67">
        <v>46113</v>
      </c>
      <c r="D1281" s="67"/>
      <c r="E1281" s="67">
        <v>46113</v>
      </c>
      <c r="F1281" s="67"/>
      <c r="G1281" s="67" t="s">
        <v>35</v>
      </c>
      <c r="H1281" s="67">
        <v>45282</v>
      </c>
      <c r="I1281" s="6" t="s">
        <v>1899</v>
      </c>
      <c r="J1281" s="9">
        <v>7258801713</v>
      </c>
      <c r="K1281" s="68">
        <v>45260</v>
      </c>
      <c r="L1281" s="68">
        <v>46022</v>
      </c>
      <c r="M1281" s="68">
        <v>46203</v>
      </c>
      <c r="N1281" s="69">
        <f t="shared" si="52"/>
        <v>3</v>
      </c>
      <c r="O1281" s="69">
        <f t="shared" si="53"/>
        <v>1</v>
      </c>
      <c r="P1281" s="70">
        <v>4</v>
      </c>
      <c r="Q1281" s="70">
        <v>6</v>
      </c>
      <c r="R1281" s="70">
        <v>7</v>
      </c>
      <c r="S1281" s="68" t="str">
        <f t="shared" si="54"/>
        <v/>
      </c>
      <c r="T1281" s="68"/>
      <c r="U1281" s="68"/>
      <c r="V1281" s="68"/>
      <c r="W1281" s="9"/>
      <c r="X1281" s="10"/>
      <c r="Y1281" s="71">
        <f t="shared" si="55"/>
        <v>6</v>
      </c>
      <c r="Z1281" s="73">
        <f t="shared" si="56"/>
        <v>7</v>
      </c>
      <c r="AA1281" s="73">
        <f t="shared" si="57"/>
        <v>3</v>
      </c>
      <c r="AB1281" s="73">
        <f t="shared" si="58"/>
        <v>3</v>
      </c>
      <c r="AC1281" s="73">
        <f t="shared" si="59"/>
        <v>1</v>
      </c>
      <c r="AD1281" s="73">
        <f t="shared" si="60"/>
        <v>1</v>
      </c>
      <c r="AE1281" s="73">
        <f t="shared" si="61"/>
        <v>3.0012810000000001</v>
      </c>
      <c r="AF1281" s="73">
        <f t="shared" si="62"/>
        <v>3.0012810000000001</v>
      </c>
      <c r="AG1281" s="73">
        <f t="shared" si="63"/>
        <v>1.0012810000000001</v>
      </c>
      <c r="AH1281" s="73">
        <f t="shared" si="64"/>
        <v>1.0012810000000001</v>
      </c>
    </row>
    <row r="1282" spans="1:34" ht="14.25" customHeight="1">
      <c r="A1282" s="11">
        <v>1267</v>
      </c>
      <c r="B1282" s="66"/>
      <c r="C1282" s="67"/>
      <c r="D1282" s="67"/>
      <c r="E1282" s="67"/>
      <c r="F1282" s="67"/>
      <c r="G1282" s="67" t="s">
        <v>35</v>
      </c>
      <c r="H1282" s="67">
        <v>45170</v>
      </c>
      <c r="I1282" s="6" t="s">
        <v>1900</v>
      </c>
      <c r="J1282" s="9">
        <v>7268101527</v>
      </c>
      <c r="K1282" s="68">
        <v>45169</v>
      </c>
      <c r="L1282" s="68">
        <v>46022</v>
      </c>
      <c r="M1282" s="68">
        <v>46203</v>
      </c>
      <c r="N1282" s="69">
        <f t="shared" si="52"/>
        <v>-9</v>
      </c>
      <c r="O1282" s="69">
        <f t="shared" si="53"/>
        <v>-4</v>
      </c>
      <c r="P1282" s="70">
        <v>10</v>
      </c>
      <c r="Q1282" s="70">
        <v>5</v>
      </c>
      <c r="R1282" s="70">
        <v>1</v>
      </c>
      <c r="S1282" s="68" t="str">
        <f t="shared" si="54"/>
        <v/>
      </c>
      <c r="T1282" s="68"/>
      <c r="U1282" s="68"/>
      <c r="V1282" s="68"/>
      <c r="W1282" s="9"/>
      <c r="X1282" s="10"/>
      <c r="Y1282" s="71">
        <f t="shared" si="55"/>
        <v>5</v>
      </c>
      <c r="Z1282" s="73">
        <f t="shared" si="56"/>
        <v>1</v>
      </c>
      <c r="AA1282" s="11" t="str">
        <f t="shared" si="57"/>
        <v/>
      </c>
      <c r="AB1282" s="73">
        <f t="shared" si="58"/>
        <v>-9</v>
      </c>
      <c r="AC1282" s="11" t="str">
        <f t="shared" si="59"/>
        <v/>
      </c>
      <c r="AD1282" s="73">
        <f t="shared" si="60"/>
        <v>-4</v>
      </c>
      <c r="AE1282" s="11" t="str">
        <f t="shared" si="61"/>
        <v/>
      </c>
      <c r="AF1282" s="73">
        <f t="shared" si="62"/>
        <v>-8.9987180000000002</v>
      </c>
      <c r="AG1282" s="11" t="str">
        <f t="shared" si="63"/>
        <v/>
      </c>
      <c r="AH1282" s="73">
        <f t="shared" si="64"/>
        <v>-3.9987180000000002</v>
      </c>
    </row>
    <row r="1283" spans="1:34" ht="14.25" customHeight="1">
      <c r="A1283" s="11">
        <v>1268</v>
      </c>
      <c r="B1283" s="66"/>
      <c r="C1283" s="67"/>
      <c r="D1283" s="67"/>
      <c r="E1283" s="67"/>
      <c r="F1283" s="67"/>
      <c r="G1283" s="67" t="s">
        <v>35</v>
      </c>
      <c r="H1283" s="67">
        <v>44945</v>
      </c>
      <c r="I1283" s="6" t="s">
        <v>1901</v>
      </c>
      <c r="J1283" s="9">
        <v>7268103073</v>
      </c>
      <c r="K1283" s="68">
        <v>44926</v>
      </c>
      <c r="L1283" s="68">
        <v>46022</v>
      </c>
      <c r="M1283" s="68">
        <v>46203</v>
      </c>
      <c r="N1283" s="69">
        <f t="shared" si="52"/>
        <v>9</v>
      </c>
      <c r="O1283" s="69">
        <f t="shared" si="53"/>
        <v>-7</v>
      </c>
      <c r="P1283" s="70">
        <v>0</v>
      </c>
      <c r="Q1283" s="70">
        <v>16</v>
      </c>
      <c r="R1283" s="70">
        <v>9</v>
      </c>
      <c r="S1283" s="68" t="str">
        <f t="shared" si="54"/>
        <v/>
      </c>
      <c r="T1283" s="68"/>
      <c r="U1283" s="68"/>
      <c r="V1283" s="68"/>
      <c r="W1283" s="9"/>
      <c r="X1283" s="10"/>
      <c r="Y1283" s="71">
        <f t="shared" si="55"/>
        <v>16</v>
      </c>
      <c r="Z1283" s="73">
        <f t="shared" si="56"/>
        <v>9</v>
      </c>
      <c r="AA1283" s="11" t="str">
        <f t="shared" si="57"/>
        <v/>
      </c>
      <c r="AB1283" s="73">
        <f t="shared" si="58"/>
        <v>9</v>
      </c>
      <c r="AC1283" s="11" t="str">
        <f t="shared" si="59"/>
        <v/>
      </c>
      <c r="AD1283" s="73">
        <f t="shared" si="60"/>
        <v>-7</v>
      </c>
      <c r="AE1283" s="11" t="str">
        <f t="shared" si="61"/>
        <v/>
      </c>
      <c r="AF1283" s="73">
        <f t="shared" si="62"/>
        <v>9.0012830000000008</v>
      </c>
      <c r="AG1283" s="11" t="str">
        <f t="shared" si="63"/>
        <v/>
      </c>
      <c r="AH1283" s="73">
        <f t="shared" si="64"/>
        <v>-6.9987170000000001</v>
      </c>
    </row>
    <row r="1284" spans="1:34" ht="14.25" customHeight="1">
      <c r="A1284" s="11">
        <v>1269</v>
      </c>
      <c r="B1284" s="66"/>
      <c r="C1284" s="67"/>
      <c r="D1284" s="67"/>
      <c r="E1284" s="67"/>
      <c r="F1284" s="67"/>
      <c r="G1284" s="67" t="s">
        <v>35</v>
      </c>
      <c r="H1284" s="67">
        <v>44390</v>
      </c>
      <c r="I1284" s="6" t="s">
        <v>1902</v>
      </c>
      <c r="J1284" s="9">
        <v>7268800056</v>
      </c>
      <c r="K1284" s="68">
        <v>44377</v>
      </c>
      <c r="L1284" s="68">
        <v>46022</v>
      </c>
      <c r="M1284" s="68">
        <v>46203</v>
      </c>
      <c r="N1284" s="69">
        <f t="shared" si="52"/>
        <v>60</v>
      </c>
      <c r="O1284" s="69">
        <f t="shared" si="53"/>
        <v>-2</v>
      </c>
      <c r="P1284" s="70">
        <v>13</v>
      </c>
      <c r="Q1284" s="70">
        <v>75</v>
      </c>
      <c r="R1284" s="70">
        <v>73</v>
      </c>
      <c r="S1284" s="68" t="str">
        <f t="shared" si="54"/>
        <v/>
      </c>
      <c r="T1284" s="68"/>
      <c r="U1284" s="68"/>
      <c r="V1284" s="68"/>
      <c r="W1284" s="9"/>
      <c r="X1284" s="10"/>
      <c r="Y1284" s="71">
        <f t="shared" si="55"/>
        <v>75</v>
      </c>
      <c r="Z1284" s="73">
        <f t="shared" si="56"/>
        <v>73</v>
      </c>
      <c r="AA1284" s="11" t="str">
        <f t="shared" si="57"/>
        <v/>
      </c>
      <c r="AB1284" s="73">
        <f t="shared" si="58"/>
        <v>60</v>
      </c>
      <c r="AC1284" s="11" t="str">
        <f t="shared" si="59"/>
        <v/>
      </c>
      <c r="AD1284" s="73">
        <f t="shared" si="60"/>
        <v>-2</v>
      </c>
      <c r="AE1284" s="11" t="str">
        <f t="shared" si="61"/>
        <v/>
      </c>
      <c r="AF1284" s="73">
        <f t="shared" si="62"/>
        <v>60.001283999999998</v>
      </c>
      <c r="AG1284" s="11" t="str">
        <f t="shared" si="63"/>
        <v/>
      </c>
      <c r="AH1284" s="73">
        <f t="shared" si="64"/>
        <v>-1.9987159999999999</v>
      </c>
    </row>
    <row r="1285" spans="1:34" ht="14.25" customHeight="1">
      <c r="A1285" s="11">
        <v>1270</v>
      </c>
      <c r="B1285" s="66"/>
      <c r="C1285" s="67"/>
      <c r="D1285" s="67"/>
      <c r="E1285" s="67"/>
      <c r="F1285" s="67"/>
      <c r="G1285" s="67" t="s">
        <v>35</v>
      </c>
      <c r="H1285" s="67">
        <v>44085</v>
      </c>
      <c r="I1285" s="6" t="s">
        <v>1903</v>
      </c>
      <c r="J1285" s="9">
        <v>7278102043</v>
      </c>
      <c r="K1285" s="68">
        <v>44074</v>
      </c>
      <c r="L1285" s="68">
        <v>46022</v>
      </c>
      <c r="M1285" s="68">
        <v>46203</v>
      </c>
      <c r="N1285" s="69">
        <f t="shared" si="52"/>
        <v>0</v>
      </c>
      <c r="O1285" s="69">
        <f t="shared" si="53"/>
        <v>0</v>
      </c>
      <c r="P1285" s="70">
        <v>0</v>
      </c>
      <c r="Q1285" s="70">
        <v>0</v>
      </c>
      <c r="R1285" s="70">
        <v>0</v>
      </c>
      <c r="S1285" s="68" t="str">
        <f t="shared" si="54"/>
        <v/>
      </c>
      <c r="T1285" s="68"/>
      <c r="U1285" s="68"/>
      <c r="V1285" s="68"/>
      <c r="W1285" s="9"/>
      <c r="X1285" s="10"/>
      <c r="Y1285" s="71">
        <f t="shared" si="55"/>
        <v>0</v>
      </c>
      <c r="Z1285" s="73">
        <f t="shared" si="56"/>
        <v>0</v>
      </c>
      <c r="AA1285" s="11" t="str">
        <f t="shared" si="57"/>
        <v/>
      </c>
      <c r="AB1285" s="73">
        <f t="shared" si="58"/>
        <v>0</v>
      </c>
      <c r="AC1285" s="11" t="str">
        <f t="shared" si="59"/>
        <v/>
      </c>
      <c r="AD1285" s="73">
        <f t="shared" si="60"/>
        <v>0</v>
      </c>
      <c r="AE1285" s="11" t="str">
        <f t="shared" si="61"/>
        <v/>
      </c>
      <c r="AF1285" s="73">
        <f t="shared" si="62"/>
        <v>1.2849999999999999E-3</v>
      </c>
      <c r="AG1285" s="11" t="str">
        <f t="shared" si="63"/>
        <v/>
      </c>
      <c r="AH1285" s="73">
        <f t="shared" si="64"/>
        <v>1.2849999999999999E-3</v>
      </c>
    </row>
    <row r="1286" spans="1:34" ht="14.25" customHeight="1">
      <c r="A1286" s="11">
        <v>1271</v>
      </c>
      <c r="B1286" s="66"/>
      <c r="C1286" s="67"/>
      <c r="D1286" s="67"/>
      <c r="E1286" s="67"/>
      <c r="F1286" s="67"/>
      <c r="G1286" s="124" t="s">
        <v>24</v>
      </c>
      <c r="H1286" s="67">
        <v>42845</v>
      </c>
      <c r="I1286" s="6" t="s">
        <v>1904</v>
      </c>
      <c r="J1286" s="9">
        <v>7278600638</v>
      </c>
      <c r="K1286" s="68">
        <v>42825</v>
      </c>
      <c r="L1286" s="68">
        <v>46022</v>
      </c>
      <c r="M1286" s="68">
        <v>46203</v>
      </c>
      <c r="N1286" s="69">
        <f t="shared" si="52"/>
        <v>-8</v>
      </c>
      <c r="O1286" s="69">
        <f t="shared" si="53"/>
        <v>-2</v>
      </c>
      <c r="P1286" s="70">
        <v>8</v>
      </c>
      <c r="Q1286" s="70">
        <v>2</v>
      </c>
      <c r="R1286" s="70">
        <v>0</v>
      </c>
      <c r="S1286" s="68">
        <f t="shared" si="54"/>
        <v>46203</v>
      </c>
      <c r="T1286" s="68">
        <v>46203</v>
      </c>
      <c r="U1286" s="68"/>
      <c r="V1286" s="68"/>
      <c r="W1286" s="9"/>
      <c r="X1286" s="10"/>
      <c r="Y1286" s="71">
        <f t="shared" si="55"/>
        <v>2</v>
      </c>
      <c r="Z1286" s="73">
        <f t="shared" si="56"/>
        <v>0</v>
      </c>
      <c r="AA1286" s="11" t="str">
        <f t="shared" si="57"/>
        <v/>
      </c>
      <c r="AB1286" s="73">
        <f t="shared" si="58"/>
        <v>-8</v>
      </c>
      <c r="AC1286" s="11" t="str">
        <f t="shared" si="59"/>
        <v/>
      </c>
      <c r="AD1286" s="73">
        <f t="shared" si="60"/>
        <v>-2</v>
      </c>
      <c r="AE1286" s="11" t="str">
        <f t="shared" si="61"/>
        <v/>
      </c>
      <c r="AF1286" s="73">
        <f t="shared" si="62"/>
        <v>-7.9987139999999997</v>
      </c>
      <c r="AG1286" s="11" t="str">
        <f t="shared" si="63"/>
        <v/>
      </c>
      <c r="AH1286" s="73">
        <f t="shared" si="64"/>
        <v>-1.9987140000000001</v>
      </c>
    </row>
    <row r="1287" spans="1:34" ht="14.25" customHeight="1">
      <c r="A1287" s="11">
        <v>1272</v>
      </c>
      <c r="B1287" s="66" t="s">
        <v>35</v>
      </c>
      <c r="C1287" s="67">
        <v>45536</v>
      </c>
      <c r="D1287" s="67"/>
      <c r="E1287" s="67"/>
      <c r="F1287" s="67">
        <v>45532</v>
      </c>
      <c r="G1287" s="67"/>
      <c r="H1287" s="67"/>
      <c r="I1287" s="6" t="s">
        <v>1905</v>
      </c>
      <c r="J1287" s="9">
        <v>7288102973</v>
      </c>
      <c r="K1287" s="68">
        <v>45504</v>
      </c>
      <c r="L1287" s="68">
        <v>46022</v>
      </c>
      <c r="M1287" s="68">
        <v>46203</v>
      </c>
      <c r="N1287" s="69">
        <f t="shared" si="52"/>
        <v>0</v>
      </c>
      <c r="O1287" s="69">
        <f t="shared" si="53"/>
        <v>0</v>
      </c>
      <c r="P1287" s="70">
        <v>6</v>
      </c>
      <c r="Q1287" s="70">
        <v>6</v>
      </c>
      <c r="R1287" s="70">
        <v>6</v>
      </c>
      <c r="S1287" s="68" t="str">
        <f t="shared" si="54"/>
        <v/>
      </c>
      <c r="T1287" s="68"/>
      <c r="U1287" s="68"/>
      <c r="V1287" s="68"/>
      <c r="W1287" s="9"/>
      <c r="X1287" s="10"/>
      <c r="Y1287" s="71">
        <f t="shared" si="55"/>
        <v>6</v>
      </c>
      <c r="Z1287" s="73">
        <f t="shared" si="56"/>
        <v>6</v>
      </c>
      <c r="AA1287" s="73">
        <f t="shared" si="57"/>
        <v>0</v>
      </c>
      <c r="AB1287" s="11" t="str">
        <f t="shared" si="58"/>
        <v/>
      </c>
      <c r="AC1287" s="73">
        <f t="shared" si="59"/>
        <v>0</v>
      </c>
      <c r="AD1287" s="11" t="str">
        <f t="shared" si="60"/>
        <v/>
      </c>
      <c r="AE1287" s="73">
        <f t="shared" si="61"/>
        <v>1.2869999999999999E-3</v>
      </c>
      <c r="AF1287" s="11" t="str">
        <f t="shared" si="62"/>
        <v/>
      </c>
      <c r="AG1287" s="73">
        <f t="shared" si="63"/>
        <v>1.2869999999999999E-3</v>
      </c>
      <c r="AH1287" s="11" t="str">
        <f t="shared" si="64"/>
        <v/>
      </c>
    </row>
    <row r="1288" spans="1:34" ht="14.25" customHeight="1">
      <c r="A1288" s="11">
        <v>1273</v>
      </c>
      <c r="B1288" s="66"/>
      <c r="C1288" s="67"/>
      <c r="D1288" s="67"/>
      <c r="E1288" s="67"/>
      <c r="F1288" s="67"/>
      <c r="G1288" s="67" t="s">
        <v>35</v>
      </c>
      <c r="H1288" s="67">
        <v>45559</v>
      </c>
      <c r="I1288" s="6" t="s">
        <v>1906</v>
      </c>
      <c r="J1288" s="9">
        <v>7288600698</v>
      </c>
      <c r="K1288" s="68">
        <v>45535</v>
      </c>
      <c r="L1288" s="68">
        <v>46022</v>
      </c>
      <c r="M1288" s="68">
        <v>46203</v>
      </c>
      <c r="N1288" s="69">
        <f t="shared" si="52"/>
        <v>3</v>
      </c>
      <c r="O1288" s="69">
        <f t="shared" si="53"/>
        <v>0</v>
      </c>
      <c r="P1288" s="70">
        <v>2</v>
      </c>
      <c r="Q1288" s="70">
        <v>5</v>
      </c>
      <c r="R1288" s="70">
        <v>5</v>
      </c>
      <c r="S1288" s="68" t="str">
        <f t="shared" si="54"/>
        <v/>
      </c>
      <c r="T1288" s="68"/>
      <c r="U1288" s="68"/>
      <c r="V1288" s="68"/>
      <c r="W1288" s="9"/>
      <c r="X1288" s="10"/>
      <c r="Y1288" s="71">
        <f t="shared" si="55"/>
        <v>5</v>
      </c>
      <c r="Z1288" s="73">
        <f t="shared" si="56"/>
        <v>5</v>
      </c>
      <c r="AA1288" s="11" t="str">
        <f t="shared" si="57"/>
        <v/>
      </c>
      <c r="AB1288" s="73">
        <f t="shared" si="58"/>
        <v>3</v>
      </c>
      <c r="AC1288" s="11" t="str">
        <f t="shared" si="59"/>
        <v/>
      </c>
      <c r="AD1288" s="73">
        <f t="shared" si="60"/>
        <v>0</v>
      </c>
      <c r="AE1288" s="11" t="str">
        <f t="shared" si="61"/>
        <v/>
      </c>
      <c r="AF1288" s="73">
        <f t="shared" si="62"/>
        <v>3.0012880000000002</v>
      </c>
      <c r="AG1288" s="11" t="str">
        <f t="shared" si="63"/>
        <v/>
      </c>
      <c r="AH1288" s="73">
        <f t="shared" si="64"/>
        <v>1.2880000000000001E-3</v>
      </c>
    </row>
    <row r="1289" spans="1:34" ht="14.25" customHeight="1">
      <c r="A1289" s="11">
        <v>1274</v>
      </c>
      <c r="B1289" s="66"/>
      <c r="C1289" s="67"/>
      <c r="D1289" s="67"/>
      <c r="E1289" s="67"/>
      <c r="F1289" s="67"/>
      <c r="G1289" s="67" t="s">
        <v>35</v>
      </c>
      <c r="H1289" s="67">
        <v>45254</v>
      </c>
      <c r="I1289" s="6" t="s">
        <v>1907</v>
      </c>
      <c r="J1289" s="9">
        <v>7288701544</v>
      </c>
      <c r="K1289" s="68">
        <v>45230</v>
      </c>
      <c r="L1289" s="68">
        <v>46022</v>
      </c>
      <c r="M1289" s="68">
        <v>46203</v>
      </c>
      <c r="N1289" s="69">
        <f t="shared" si="52"/>
        <v>-2</v>
      </c>
      <c r="O1289" s="69">
        <f t="shared" si="53"/>
        <v>0</v>
      </c>
      <c r="P1289" s="70">
        <v>9</v>
      </c>
      <c r="Q1289" s="70">
        <v>7</v>
      </c>
      <c r="R1289" s="70">
        <v>7</v>
      </c>
      <c r="S1289" s="68" t="str">
        <f t="shared" si="54"/>
        <v/>
      </c>
      <c r="T1289" s="68"/>
      <c r="U1289" s="68"/>
      <c r="V1289" s="68"/>
      <c r="W1289" s="9"/>
      <c r="X1289" s="10"/>
      <c r="Y1289" s="71">
        <f t="shared" si="55"/>
        <v>7</v>
      </c>
      <c r="Z1289" s="73">
        <f t="shared" si="56"/>
        <v>7</v>
      </c>
      <c r="AA1289" s="11" t="str">
        <f t="shared" si="57"/>
        <v/>
      </c>
      <c r="AB1289" s="73">
        <f t="shared" si="58"/>
        <v>-2</v>
      </c>
      <c r="AC1289" s="11" t="str">
        <f t="shared" si="59"/>
        <v/>
      </c>
      <c r="AD1289" s="73">
        <f t="shared" si="60"/>
        <v>0</v>
      </c>
      <c r="AE1289" s="11" t="str">
        <f t="shared" si="61"/>
        <v/>
      </c>
      <c r="AF1289" s="73">
        <f t="shared" si="62"/>
        <v>-1.9987109999999999</v>
      </c>
      <c r="AG1289" s="11" t="str">
        <f t="shared" si="63"/>
        <v/>
      </c>
      <c r="AH1289" s="73">
        <f t="shared" si="64"/>
        <v>1.289E-3</v>
      </c>
    </row>
    <row r="1290" spans="1:34" ht="14.25" customHeight="1">
      <c r="A1290" s="11">
        <v>1275</v>
      </c>
      <c r="B1290" s="66"/>
      <c r="C1290" s="67"/>
      <c r="D1290" s="67"/>
      <c r="E1290" s="67"/>
      <c r="F1290" s="67"/>
      <c r="G1290" s="67" t="s">
        <v>35</v>
      </c>
      <c r="H1290" s="67">
        <v>45621</v>
      </c>
      <c r="I1290" s="6" t="s">
        <v>1908</v>
      </c>
      <c r="J1290" s="9">
        <v>7298601685</v>
      </c>
      <c r="K1290" s="68">
        <v>45596</v>
      </c>
      <c r="L1290" s="68">
        <v>46022</v>
      </c>
      <c r="M1290" s="68">
        <v>46203</v>
      </c>
      <c r="N1290" s="69">
        <f t="shared" si="52"/>
        <v>11</v>
      </c>
      <c r="O1290" s="69">
        <f t="shared" si="53"/>
        <v>3</v>
      </c>
      <c r="P1290" s="70">
        <v>6</v>
      </c>
      <c r="Q1290" s="70">
        <v>14</v>
      </c>
      <c r="R1290" s="70">
        <v>17</v>
      </c>
      <c r="S1290" s="68" t="str">
        <f t="shared" si="54"/>
        <v/>
      </c>
      <c r="T1290" s="68"/>
      <c r="U1290" s="68"/>
      <c r="V1290" s="68"/>
      <c r="W1290" s="9"/>
      <c r="X1290" s="10"/>
      <c r="Y1290" s="71">
        <f t="shared" si="55"/>
        <v>14</v>
      </c>
      <c r="Z1290" s="73">
        <f t="shared" si="56"/>
        <v>17</v>
      </c>
      <c r="AA1290" s="11" t="str">
        <f t="shared" si="57"/>
        <v/>
      </c>
      <c r="AB1290" s="73">
        <f t="shared" si="58"/>
        <v>11</v>
      </c>
      <c r="AC1290" s="11" t="str">
        <f t="shared" si="59"/>
        <v/>
      </c>
      <c r="AD1290" s="73">
        <f t="shared" si="60"/>
        <v>3</v>
      </c>
      <c r="AE1290" s="11" t="str">
        <f t="shared" si="61"/>
        <v/>
      </c>
      <c r="AF1290" s="73">
        <f t="shared" si="62"/>
        <v>11.001289999999999</v>
      </c>
      <c r="AG1290" s="11" t="str">
        <f t="shared" si="63"/>
        <v/>
      </c>
      <c r="AH1290" s="73">
        <f t="shared" si="64"/>
        <v>3.00129</v>
      </c>
    </row>
    <row r="1291" spans="1:34" ht="14.25" customHeight="1">
      <c r="A1291" s="11">
        <v>1276</v>
      </c>
      <c r="B1291" s="66"/>
      <c r="C1291" s="67"/>
      <c r="D1291" s="67"/>
      <c r="E1291" s="67"/>
      <c r="F1291" s="67"/>
      <c r="G1291" s="67" t="s">
        <v>35</v>
      </c>
      <c r="H1291" s="67">
        <v>45289</v>
      </c>
      <c r="I1291" s="6" t="s">
        <v>1909</v>
      </c>
      <c r="J1291" s="9">
        <v>7298703055</v>
      </c>
      <c r="K1291" s="68">
        <v>45260</v>
      </c>
      <c r="L1291" s="68">
        <v>46022</v>
      </c>
      <c r="M1291" s="68">
        <v>46203</v>
      </c>
      <c r="N1291" s="69">
        <f t="shared" ref="N1291:N1545" si="65">R1291-P1291</f>
        <v>3</v>
      </c>
      <c r="O1291" s="69">
        <f t="shared" ref="O1291:O1545" si="66">IF(M1291&lt;DATE(2026,1,1),"N/A",IF(K1291&gt;=DATE(2026,1,1),R1291-P1291,R1291-Q1291))</f>
        <v>0</v>
      </c>
      <c r="P1291" s="70">
        <v>0</v>
      </c>
      <c r="Q1291" s="70">
        <v>3</v>
      </c>
      <c r="R1291" s="70">
        <v>3</v>
      </c>
      <c r="S1291" s="68" t="str">
        <f t="shared" ref="S1291:S1545" si="67">IF(OR(LEFT(B1291,6)="Active",G1291="Active"),"",IF(COUNT(C1291,E1291,F1291)&gt;0,IF(COUNT(T1291)=0,"",T1291),IF(COUNT(T1291:W1291)=0,"",MIN(T1291:W1291))))</f>
        <v/>
      </c>
      <c r="T1291" s="68"/>
      <c r="U1291" s="68"/>
      <c r="V1291" s="68"/>
      <c r="W1291" s="9"/>
      <c r="X1291" s="10"/>
      <c r="Y1291" s="71">
        <f t="shared" ref="Y1291:Y1545" si="68">IF($M1291&lt;DATE(2026,1,1),"",IF($K1291&gt;=DATE(2026,1,1),$P1291,$Q1291))</f>
        <v>3</v>
      </c>
      <c r="Z1291" s="73">
        <f t="shared" ref="Z1291:Z1545" si="69">IF($M1291&lt;DATE(2026,1,1),"",$R1291)</f>
        <v>3</v>
      </c>
      <c r="AA1291" s="11" t="str">
        <f t="shared" ref="AA1291:AA1545" si="70">IF($B1291="","",IF(ISNUMBER($N1291),$N1291,""))</f>
        <v/>
      </c>
      <c r="AB1291" s="73">
        <f t="shared" ref="AB1291:AB1545" si="71">IF($G1291="","",IF(ISNUMBER($N1291),$N1291,""))</f>
        <v>3</v>
      </c>
      <c r="AC1291" s="11" t="str">
        <f t="shared" ref="AC1291:AC1545" si="72">IF($B1291="","",IF(ISNUMBER($O1291),$O1291,""))</f>
        <v/>
      </c>
      <c r="AD1291" s="73">
        <f t="shared" ref="AD1291:AD1545" si="73">IF($G1291="","",IF(ISNUMBER($O1291),$O1291,""))</f>
        <v>0</v>
      </c>
      <c r="AE1291" s="11" t="str">
        <f t="shared" ref="AE1291:AE1545" si="74">IF($AA1291="","",$AA1291+ROW()/1000000)</f>
        <v/>
      </c>
      <c r="AF1291" s="73">
        <f t="shared" ref="AF1291:AF1545" si="75">IF($AB1291="","",$AB1291+ROW()/1000000)</f>
        <v>3.0012910000000002</v>
      </c>
      <c r="AG1291" s="11" t="str">
        <f t="shared" ref="AG1291:AG1545" si="76">IF($AC1291="","",$AC1291+ROW()/1000000)</f>
        <v/>
      </c>
      <c r="AH1291" s="73">
        <f t="shared" ref="AH1291:AH1545" si="77">IF($AD1291="","",$AD1291+ROW()/1000000)</f>
        <v>1.291E-3</v>
      </c>
    </row>
    <row r="1292" spans="1:34" ht="14.25" customHeight="1">
      <c r="A1292" s="11">
        <v>1277</v>
      </c>
      <c r="B1292" s="66"/>
      <c r="C1292" s="67"/>
      <c r="D1292" s="67"/>
      <c r="E1292" s="67"/>
      <c r="F1292" s="67"/>
      <c r="G1292" s="67" t="s">
        <v>35</v>
      </c>
      <c r="H1292" s="67">
        <v>44372</v>
      </c>
      <c r="I1292" s="6" t="s">
        <v>1910</v>
      </c>
      <c r="J1292" s="9">
        <v>7308101749</v>
      </c>
      <c r="K1292" s="68">
        <v>44347</v>
      </c>
      <c r="L1292" s="68">
        <v>46022</v>
      </c>
      <c r="M1292" s="68">
        <v>46203</v>
      </c>
      <c r="N1292" s="69">
        <f t="shared" si="65"/>
        <v>0</v>
      </c>
      <c r="O1292" s="69">
        <f t="shared" si="66"/>
        <v>0</v>
      </c>
      <c r="P1292" s="70">
        <v>0</v>
      </c>
      <c r="Q1292" s="70">
        <v>0</v>
      </c>
      <c r="R1292" s="70">
        <v>0</v>
      </c>
      <c r="S1292" s="68" t="str">
        <f t="shared" si="67"/>
        <v/>
      </c>
      <c r="T1292" s="68"/>
      <c r="U1292" s="68"/>
      <c r="V1292" s="68"/>
      <c r="W1292" s="9"/>
      <c r="X1292" s="10"/>
      <c r="Y1292" s="71">
        <f t="shared" si="68"/>
        <v>0</v>
      </c>
      <c r="Z1292" s="73">
        <f t="shared" si="69"/>
        <v>0</v>
      </c>
      <c r="AA1292" s="11" t="str">
        <f t="shared" si="70"/>
        <v/>
      </c>
      <c r="AB1292" s="73">
        <f t="shared" si="71"/>
        <v>0</v>
      </c>
      <c r="AC1292" s="11" t="str">
        <f t="shared" si="72"/>
        <v/>
      </c>
      <c r="AD1292" s="73">
        <f t="shared" si="73"/>
        <v>0</v>
      </c>
      <c r="AE1292" s="11" t="str">
        <f t="shared" si="74"/>
        <v/>
      </c>
      <c r="AF1292" s="73">
        <f t="shared" si="75"/>
        <v>1.292E-3</v>
      </c>
      <c r="AG1292" s="11" t="str">
        <f t="shared" si="76"/>
        <v/>
      </c>
      <c r="AH1292" s="73">
        <f t="shared" si="77"/>
        <v>1.292E-3</v>
      </c>
    </row>
    <row r="1293" spans="1:34" ht="14.25" customHeight="1">
      <c r="A1293" s="11">
        <v>1278</v>
      </c>
      <c r="B1293" s="66" t="s">
        <v>35</v>
      </c>
      <c r="C1293" s="67">
        <v>45352</v>
      </c>
      <c r="D1293" s="67"/>
      <c r="E1293" s="67"/>
      <c r="F1293" s="67"/>
      <c r="G1293" s="67"/>
      <c r="H1293" s="67"/>
      <c r="I1293" s="6" t="s">
        <v>1911</v>
      </c>
      <c r="J1293" s="9">
        <v>7308803203</v>
      </c>
      <c r="K1293" s="68">
        <v>45351</v>
      </c>
      <c r="L1293" s="68">
        <v>46022</v>
      </c>
      <c r="M1293" s="68">
        <v>46203</v>
      </c>
      <c r="N1293" s="69">
        <f t="shared" si="65"/>
        <v>6</v>
      </c>
      <c r="O1293" s="69">
        <f t="shared" si="66"/>
        <v>3</v>
      </c>
      <c r="P1293" s="70">
        <v>1</v>
      </c>
      <c r="Q1293" s="70">
        <v>4</v>
      </c>
      <c r="R1293" s="70">
        <v>7</v>
      </c>
      <c r="S1293" s="68" t="str">
        <f t="shared" si="67"/>
        <v/>
      </c>
      <c r="T1293" s="68"/>
      <c r="U1293" s="68"/>
      <c r="V1293" s="68"/>
      <c r="W1293" s="9"/>
      <c r="X1293" s="10"/>
      <c r="Y1293" s="71">
        <f t="shared" si="68"/>
        <v>4</v>
      </c>
      <c r="Z1293" s="73">
        <f t="shared" si="69"/>
        <v>7</v>
      </c>
      <c r="AA1293" s="73">
        <f t="shared" si="70"/>
        <v>6</v>
      </c>
      <c r="AB1293" s="11" t="str">
        <f t="shared" si="71"/>
        <v/>
      </c>
      <c r="AC1293" s="73">
        <f t="shared" si="72"/>
        <v>3</v>
      </c>
      <c r="AD1293" s="11" t="str">
        <f t="shared" si="73"/>
        <v/>
      </c>
      <c r="AE1293" s="73">
        <f t="shared" si="74"/>
        <v>6.0012930000000004</v>
      </c>
      <c r="AF1293" s="11" t="str">
        <f t="shared" si="75"/>
        <v/>
      </c>
      <c r="AG1293" s="73">
        <f t="shared" si="76"/>
        <v>3.001293</v>
      </c>
      <c r="AH1293" s="11" t="str">
        <f t="shared" si="77"/>
        <v/>
      </c>
    </row>
    <row r="1294" spans="1:34" ht="14.25" customHeight="1">
      <c r="A1294" s="11">
        <v>1279</v>
      </c>
      <c r="B1294" s="66" t="s">
        <v>35</v>
      </c>
      <c r="C1294" s="67">
        <v>46113</v>
      </c>
      <c r="D1294" s="67"/>
      <c r="E1294" s="67">
        <v>46113</v>
      </c>
      <c r="F1294" s="67"/>
      <c r="G1294" s="67" t="s">
        <v>35</v>
      </c>
      <c r="H1294" s="67">
        <v>45491</v>
      </c>
      <c r="I1294" s="6" t="s">
        <v>1912</v>
      </c>
      <c r="J1294" s="9">
        <v>7318802342</v>
      </c>
      <c r="K1294" s="68">
        <v>45473</v>
      </c>
      <c r="L1294" s="68">
        <v>46022</v>
      </c>
      <c r="M1294" s="68">
        <v>46203</v>
      </c>
      <c r="N1294" s="69">
        <f t="shared" si="65"/>
        <v>20</v>
      </c>
      <c r="O1294" s="69">
        <f t="shared" si="66"/>
        <v>6</v>
      </c>
      <c r="P1294" s="70">
        <v>10</v>
      </c>
      <c r="Q1294" s="70">
        <v>24</v>
      </c>
      <c r="R1294" s="70">
        <v>30</v>
      </c>
      <c r="S1294" s="68" t="str">
        <f t="shared" si="67"/>
        <v/>
      </c>
      <c r="T1294" s="68"/>
      <c r="U1294" s="68"/>
      <c r="V1294" s="68"/>
      <c r="W1294" s="9"/>
      <c r="X1294" s="10"/>
      <c r="Y1294" s="71">
        <f t="shared" si="68"/>
        <v>24</v>
      </c>
      <c r="Z1294" s="73">
        <f t="shared" si="69"/>
        <v>30</v>
      </c>
      <c r="AA1294" s="73">
        <f t="shared" si="70"/>
        <v>20</v>
      </c>
      <c r="AB1294" s="73">
        <f t="shared" si="71"/>
        <v>20</v>
      </c>
      <c r="AC1294" s="73">
        <f t="shared" si="72"/>
        <v>6</v>
      </c>
      <c r="AD1294" s="73">
        <f t="shared" si="73"/>
        <v>6</v>
      </c>
      <c r="AE1294" s="73">
        <f t="shared" si="74"/>
        <v>20.001294000000001</v>
      </c>
      <c r="AF1294" s="73">
        <f t="shared" si="75"/>
        <v>20.001294000000001</v>
      </c>
      <c r="AG1294" s="73">
        <f t="shared" si="76"/>
        <v>6.0012939999999997</v>
      </c>
      <c r="AH1294" s="73">
        <f t="shared" si="77"/>
        <v>6.0012939999999997</v>
      </c>
    </row>
    <row r="1295" spans="1:34" ht="14.25" customHeight="1">
      <c r="A1295" s="11">
        <v>1280</v>
      </c>
      <c r="B1295" s="66"/>
      <c r="C1295" s="67"/>
      <c r="D1295" s="67"/>
      <c r="E1295" s="67"/>
      <c r="F1295" s="67"/>
      <c r="G1295" s="67" t="s">
        <v>35</v>
      </c>
      <c r="H1295" s="67">
        <v>45182</v>
      </c>
      <c r="I1295" s="6" t="s">
        <v>1913</v>
      </c>
      <c r="J1295" s="9">
        <v>7328601599</v>
      </c>
      <c r="K1295" s="68">
        <v>45169</v>
      </c>
      <c r="L1295" s="68">
        <v>46022</v>
      </c>
      <c r="M1295" s="68">
        <v>46203</v>
      </c>
      <c r="N1295" s="69">
        <f t="shared" si="65"/>
        <v>8</v>
      </c>
      <c r="O1295" s="69">
        <f t="shared" si="66"/>
        <v>1</v>
      </c>
      <c r="P1295" s="70">
        <v>7</v>
      </c>
      <c r="Q1295" s="70">
        <v>14</v>
      </c>
      <c r="R1295" s="70">
        <v>15</v>
      </c>
      <c r="S1295" s="68" t="str">
        <f t="shared" si="67"/>
        <v/>
      </c>
      <c r="T1295" s="68"/>
      <c r="U1295" s="68"/>
      <c r="V1295" s="68"/>
      <c r="W1295" s="9"/>
      <c r="X1295" s="10"/>
      <c r="Y1295" s="71">
        <f t="shared" si="68"/>
        <v>14</v>
      </c>
      <c r="Z1295" s="73">
        <f t="shared" si="69"/>
        <v>15</v>
      </c>
      <c r="AA1295" s="11" t="str">
        <f t="shared" si="70"/>
        <v/>
      </c>
      <c r="AB1295" s="73">
        <f t="shared" si="71"/>
        <v>8</v>
      </c>
      <c r="AC1295" s="11" t="str">
        <f t="shared" si="72"/>
        <v/>
      </c>
      <c r="AD1295" s="73">
        <f t="shared" si="73"/>
        <v>1</v>
      </c>
      <c r="AE1295" s="11" t="str">
        <f t="shared" si="74"/>
        <v/>
      </c>
      <c r="AF1295" s="73">
        <f t="shared" si="75"/>
        <v>8.0012950000000007</v>
      </c>
      <c r="AG1295" s="11" t="str">
        <f t="shared" si="76"/>
        <v/>
      </c>
      <c r="AH1295" s="73">
        <f t="shared" si="77"/>
        <v>1.001295</v>
      </c>
    </row>
    <row r="1296" spans="1:34" ht="14.25" customHeight="1">
      <c r="A1296" s="11">
        <v>1281</v>
      </c>
      <c r="B1296" s="66" t="s">
        <v>35</v>
      </c>
      <c r="C1296" s="67">
        <v>45261</v>
      </c>
      <c r="D1296" s="67">
        <v>44691</v>
      </c>
      <c r="E1296" s="67"/>
      <c r="F1296" s="67"/>
      <c r="G1296" s="67" t="s">
        <v>35</v>
      </c>
      <c r="H1296" s="67">
        <v>44858</v>
      </c>
      <c r="I1296" s="6" t="s">
        <v>1914</v>
      </c>
      <c r="J1296" s="9">
        <v>7328602642</v>
      </c>
      <c r="K1296" s="68">
        <v>44681</v>
      </c>
      <c r="L1296" s="68">
        <v>46022</v>
      </c>
      <c r="M1296" s="68">
        <v>46203</v>
      </c>
      <c r="N1296" s="69">
        <f t="shared" si="65"/>
        <v>5</v>
      </c>
      <c r="O1296" s="69">
        <f t="shared" si="66"/>
        <v>-6</v>
      </c>
      <c r="P1296" s="70">
        <v>0</v>
      </c>
      <c r="Q1296" s="70">
        <v>11</v>
      </c>
      <c r="R1296" s="70">
        <v>5</v>
      </c>
      <c r="S1296" s="68" t="str">
        <f t="shared" si="67"/>
        <v/>
      </c>
      <c r="T1296" s="68"/>
      <c r="U1296" s="68"/>
      <c r="V1296" s="68"/>
      <c r="W1296" s="9"/>
      <c r="X1296" s="93"/>
      <c r="Y1296" s="71">
        <f t="shared" si="68"/>
        <v>11</v>
      </c>
      <c r="Z1296" s="73">
        <f t="shared" si="69"/>
        <v>5</v>
      </c>
      <c r="AA1296" s="73">
        <f t="shared" si="70"/>
        <v>5</v>
      </c>
      <c r="AB1296" s="73">
        <f t="shared" si="71"/>
        <v>5</v>
      </c>
      <c r="AC1296" s="73">
        <f t="shared" si="72"/>
        <v>-6</v>
      </c>
      <c r="AD1296" s="73">
        <f t="shared" si="73"/>
        <v>-6</v>
      </c>
      <c r="AE1296" s="73">
        <f t="shared" si="74"/>
        <v>5.001296</v>
      </c>
      <c r="AF1296" s="73">
        <f t="shared" si="75"/>
        <v>5.001296</v>
      </c>
      <c r="AG1296" s="73">
        <f t="shared" si="76"/>
        <v>-5.998704</v>
      </c>
      <c r="AH1296" s="73">
        <f t="shared" si="77"/>
        <v>-5.998704</v>
      </c>
    </row>
    <row r="1297" spans="1:34" ht="14.25" customHeight="1">
      <c r="A1297" s="11">
        <v>1282</v>
      </c>
      <c r="B1297" s="66"/>
      <c r="C1297" s="67"/>
      <c r="D1297" s="67"/>
      <c r="E1297" s="67"/>
      <c r="F1297" s="67"/>
      <c r="G1297" s="67" t="s">
        <v>35</v>
      </c>
      <c r="H1297" s="67">
        <v>45457</v>
      </c>
      <c r="I1297" s="6" t="s">
        <v>1915</v>
      </c>
      <c r="J1297" s="9">
        <v>7328700277</v>
      </c>
      <c r="K1297" s="68">
        <v>45443</v>
      </c>
      <c r="L1297" s="68">
        <v>46022</v>
      </c>
      <c r="M1297" s="68">
        <v>46203</v>
      </c>
      <c r="N1297" s="69">
        <f t="shared" si="65"/>
        <v>4</v>
      </c>
      <c r="O1297" s="69">
        <f t="shared" si="66"/>
        <v>1</v>
      </c>
      <c r="P1297" s="70">
        <v>6</v>
      </c>
      <c r="Q1297" s="70">
        <v>9</v>
      </c>
      <c r="R1297" s="70">
        <v>10</v>
      </c>
      <c r="S1297" s="68" t="str">
        <f t="shared" si="67"/>
        <v/>
      </c>
      <c r="T1297" s="68"/>
      <c r="U1297" s="68"/>
      <c r="V1297" s="68"/>
      <c r="W1297" s="9"/>
      <c r="X1297" s="10"/>
      <c r="Y1297" s="71">
        <f t="shared" si="68"/>
        <v>9</v>
      </c>
      <c r="Z1297" s="73">
        <f t="shared" si="69"/>
        <v>10</v>
      </c>
      <c r="AA1297" s="11" t="str">
        <f t="shared" si="70"/>
        <v/>
      </c>
      <c r="AB1297" s="73">
        <f t="shared" si="71"/>
        <v>4</v>
      </c>
      <c r="AC1297" s="11" t="str">
        <f t="shared" si="72"/>
        <v/>
      </c>
      <c r="AD1297" s="73">
        <f t="shared" si="73"/>
        <v>1</v>
      </c>
      <c r="AE1297" s="11" t="str">
        <f t="shared" si="74"/>
        <v/>
      </c>
      <c r="AF1297" s="73">
        <f t="shared" si="75"/>
        <v>4.0012970000000001</v>
      </c>
      <c r="AG1297" s="11" t="str">
        <f t="shared" si="76"/>
        <v/>
      </c>
      <c r="AH1297" s="73">
        <f t="shared" si="77"/>
        <v>1.0012970000000001</v>
      </c>
    </row>
    <row r="1298" spans="1:34" ht="14.25" customHeight="1">
      <c r="A1298" s="11">
        <v>1283</v>
      </c>
      <c r="B1298" s="66"/>
      <c r="C1298" s="67"/>
      <c r="D1298" s="67"/>
      <c r="E1298" s="67"/>
      <c r="F1298" s="67"/>
      <c r="G1298" s="67" t="s">
        <v>35</v>
      </c>
      <c r="H1298" s="67">
        <v>43348</v>
      </c>
      <c r="I1298" s="6" t="s">
        <v>1916</v>
      </c>
      <c r="J1298" s="9">
        <v>7338101035</v>
      </c>
      <c r="K1298" s="68">
        <v>43343</v>
      </c>
      <c r="L1298" s="68">
        <v>46022</v>
      </c>
      <c r="M1298" s="68">
        <v>46203</v>
      </c>
      <c r="N1298" s="69">
        <f t="shared" si="65"/>
        <v>49</v>
      </c>
      <c r="O1298" s="69">
        <f t="shared" si="66"/>
        <v>-6</v>
      </c>
      <c r="P1298" s="70">
        <v>4</v>
      </c>
      <c r="Q1298" s="70">
        <v>59</v>
      </c>
      <c r="R1298" s="70">
        <v>53</v>
      </c>
      <c r="S1298" s="68" t="str">
        <f t="shared" si="67"/>
        <v/>
      </c>
      <c r="T1298" s="68"/>
      <c r="U1298" s="68"/>
      <c r="V1298" s="68"/>
      <c r="W1298" s="9"/>
      <c r="X1298" s="10"/>
      <c r="Y1298" s="71">
        <f t="shared" si="68"/>
        <v>59</v>
      </c>
      <c r="Z1298" s="73">
        <f t="shared" si="69"/>
        <v>53</v>
      </c>
      <c r="AA1298" s="11" t="str">
        <f t="shared" si="70"/>
        <v/>
      </c>
      <c r="AB1298" s="73">
        <f t="shared" si="71"/>
        <v>49</v>
      </c>
      <c r="AC1298" s="11" t="str">
        <f t="shared" si="72"/>
        <v/>
      </c>
      <c r="AD1298" s="73">
        <f t="shared" si="73"/>
        <v>-6</v>
      </c>
      <c r="AE1298" s="11" t="str">
        <f t="shared" si="74"/>
        <v/>
      </c>
      <c r="AF1298" s="73">
        <f t="shared" si="75"/>
        <v>49.001297999999998</v>
      </c>
      <c r="AG1298" s="11" t="str">
        <f t="shared" si="76"/>
        <v/>
      </c>
      <c r="AH1298" s="73">
        <f t="shared" si="77"/>
        <v>-5.9987019999999998</v>
      </c>
    </row>
    <row r="1299" spans="1:34" ht="14.25" customHeight="1">
      <c r="A1299" s="11">
        <v>1284</v>
      </c>
      <c r="B1299" s="66"/>
      <c r="C1299" s="67"/>
      <c r="D1299" s="67"/>
      <c r="E1299" s="67"/>
      <c r="F1299" s="67"/>
      <c r="G1299" s="67" t="s">
        <v>35</v>
      </c>
      <c r="H1299" s="67">
        <v>44644</v>
      </c>
      <c r="I1299" s="6" t="s">
        <v>1917</v>
      </c>
      <c r="J1299" s="9">
        <v>7338601836</v>
      </c>
      <c r="K1299" s="68">
        <v>44620</v>
      </c>
      <c r="L1299" s="68">
        <v>46022</v>
      </c>
      <c r="M1299" s="68">
        <v>46203</v>
      </c>
      <c r="N1299" s="69">
        <f t="shared" si="65"/>
        <v>-2</v>
      </c>
      <c r="O1299" s="69">
        <f t="shared" si="66"/>
        <v>0</v>
      </c>
      <c r="P1299" s="70">
        <v>8</v>
      </c>
      <c r="Q1299" s="70">
        <v>6</v>
      </c>
      <c r="R1299" s="70">
        <v>6</v>
      </c>
      <c r="S1299" s="68" t="str">
        <f t="shared" si="67"/>
        <v/>
      </c>
      <c r="T1299" s="68"/>
      <c r="U1299" s="68"/>
      <c r="V1299" s="68"/>
      <c r="W1299" s="9"/>
      <c r="X1299" s="10"/>
      <c r="Y1299" s="71">
        <f t="shared" si="68"/>
        <v>6</v>
      </c>
      <c r="Z1299" s="73">
        <f t="shared" si="69"/>
        <v>6</v>
      </c>
      <c r="AA1299" s="11" t="str">
        <f t="shared" si="70"/>
        <v/>
      </c>
      <c r="AB1299" s="73">
        <f t="shared" si="71"/>
        <v>-2</v>
      </c>
      <c r="AC1299" s="11" t="str">
        <f t="shared" si="72"/>
        <v/>
      </c>
      <c r="AD1299" s="73">
        <f t="shared" si="73"/>
        <v>0</v>
      </c>
      <c r="AE1299" s="11" t="str">
        <f t="shared" si="74"/>
        <v/>
      </c>
      <c r="AF1299" s="73">
        <f t="shared" si="75"/>
        <v>-1.9987010000000001</v>
      </c>
      <c r="AG1299" s="11" t="str">
        <f t="shared" si="76"/>
        <v/>
      </c>
      <c r="AH1299" s="73">
        <f t="shared" si="77"/>
        <v>1.299E-3</v>
      </c>
    </row>
    <row r="1300" spans="1:34" ht="14.25" customHeight="1">
      <c r="A1300" s="11">
        <v>1285</v>
      </c>
      <c r="B1300" s="66" t="s">
        <v>35</v>
      </c>
      <c r="C1300" s="67">
        <v>42714</v>
      </c>
      <c r="D1300" s="67">
        <v>42684</v>
      </c>
      <c r="E1300" s="67"/>
      <c r="F1300" s="67"/>
      <c r="G1300" s="67" t="s">
        <v>35</v>
      </c>
      <c r="H1300" s="67">
        <v>42688</v>
      </c>
      <c r="I1300" s="6" t="s">
        <v>1918</v>
      </c>
      <c r="J1300" s="9">
        <v>7348800358</v>
      </c>
      <c r="K1300" s="68">
        <v>42674</v>
      </c>
      <c r="L1300" s="68">
        <v>46022</v>
      </c>
      <c r="M1300" s="68">
        <v>46203</v>
      </c>
      <c r="N1300" s="69">
        <f t="shared" si="65"/>
        <v>198</v>
      </c>
      <c r="O1300" s="69">
        <f t="shared" si="66"/>
        <v>2</v>
      </c>
      <c r="P1300" s="70">
        <v>3</v>
      </c>
      <c r="Q1300" s="70">
        <v>199</v>
      </c>
      <c r="R1300" s="70">
        <v>201</v>
      </c>
      <c r="S1300" s="68" t="str">
        <f t="shared" si="67"/>
        <v/>
      </c>
      <c r="T1300" s="68"/>
      <c r="U1300" s="68"/>
      <c r="V1300" s="68"/>
      <c r="W1300" s="9"/>
      <c r="X1300" s="10"/>
      <c r="Y1300" s="71">
        <f t="shared" si="68"/>
        <v>199</v>
      </c>
      <c r="Z1300" s="73">
        <f t="shared" si="69"/>
        <v>201</v>
      </c>
      <c r="AA1300" s="73">
        <f t="shared" si="70"/>
        <v>198</v>
      </c>
      <c r="AB1300" s="73">
        <f t="shared" si="71"/>
        <v>198</v>
      </c>
      <c r="AC1300" s="73">
        <f t="shared" si="72"/>
        <v>2</v>
      </c>
      <c r="AD1300" s="73">
        <f t="shared" si="73"/>
        <v>2</v>
      </c>
      <c r="AE1300" s="73">
        <f t="shared" si="74"/>
        <v>198.00129999999999</v>
      </c>
      <c r="AF1300" s="73">
        <f t="shared" si="75"/>
        <v>198.00129999999999</v>
      </c>
      <c r="AG1300" s="73">
        <f t="shared" si="76"/>
        <v>2.0013000000000001</v>
      </c>
      <c r="AH1300" s="73">
        <f t="shared" si="77"/>
        <v>2.0013000000000001</v>
      </c>
    </row>
    <row r="1301" spans="1:34" ht="14.25" customHeight="1">
      <c r="A1301" s="11">
        <v>1286</v>
      </c>
      <c r="B1301" s="66"/>
      <c r="C1301" s="67"/>
      <c r="D1301" s="67"/>
      <c r="E1301" s="67"/>
      <c r="F1301" s="67"/>
      <c r="G1301" s="67" t="s">
        <v>24</v>
      </c>
      <c r="H1301" s="67">
        <v>44180</v>
      </c>
      <c r="I1301" s="6" t="s">
        <v>1919</v>
      </c>
      <c r="J1301" s="9">
        <v>7358100992</v>
      </c>
      <c r="K1301" s="68">
        <v>44165</v>
      </c>
      <c r="L1301" s="68" t="s">
        <v>230</v>
      </c>
      <c r="M1301" s="68">
        <v>45688</v>
      </c>
      <c r="N1301" s="69">
        <f t="shared" si="65"/>
        <v>-2</v>
      </c>
      <c r="O1301" s="69" t="str">
        <f t="shared" si="66"/>
        <v>N/A</v>
      </c>
      <c r="P1301" s="70">
        <v>2</v>
      </c>
      <c r="Q1301" s="70"/>
      <c r="R1301" s="70">
        <v>0</v>
      </c>
      <c r="S1301" s="68">
        <f t="shared" si="67"/>
        <v>45667</v>
      </c>
      <c r="T1301" s="68">
        <v>45667</v>
      </c>
      <c r="U1301" s="68"/>
      <c r="V1301" s="68"/>
      <c r="W1301" s="9"/>
      <c r="X1301" s="10"/>
      <c r="Y1301" s="65" t="str">
        <f t="shared" si="68"/>
        <v/>
      </c>
      <c r="Z1301" s="11" t="str">
        <f t="shared" si="69"/>
        <v/>
      </c>
      <c r="AA1301" s="11" t="str">
        <f t="shared" si="70"/>
        <v/>
      </c>
      <c r="AB1301" s="73">
        <f t="shared" si="71"/>
        <v>-2</v>
      </c>
      <c r="AC1301" s="11" t="str">
        <f t="shared" si="72"/>
        <v/>
      </c>
      <c r="AD1301" s="11" t="str">
        <f t="shared" si="73"/>
        <v/>
      </c>
      <c r="AE1301" s="11" t="str">
        <f t="shared" si="74"/>
        <v/>
      </c>
      <c r="AF1301" s="73">
        <f t="shared" si="75"/>
        <v>-1.998699</v>
      </c>
      <c r="AG1301" s="11" t="str">
        <f t="shared" si="76"/>
        <v/>
      </c>
      <c r="AH1301" s="11" t="str">
        <f t="shared" si="77"/>
        <v/>
      </c>
    </row>
    <row r="1302" spans="1:34" ht="14.25" customHeight="1">
      <c r="A1302" s="11">
        <v>1287</v>
      </c>
      <c r="B1302" s="66" t="s">
        <v>35</v>
      </c>
      <c r="C1302" s="67">
        <v>45839</v>
      </c>
      <c r="D1302" s="67">
        <v>44999</v>
      </c>
      <c r="E1302" s="67">
        <v>45839</v>
      </c>
      <c r="F1302" s="67"/>
      <c r="G1302" s="67" t="s">
        <v>35</v>
      </c>
      <c r="H1302" s="67">
        <v>44858</v>
      </c>
      <c r="I1302" s="6" t="s">
        <v>1920</v>
      </c>
      <c r="J1302" s="9">
        <v>7358101889</v>
      </c>
      <c r="K1302" s="68">
        <v>44834</v>
      </c>
      <c r="L1302" s="68">
        <v>46022</v>
      </c>
      <c r="M1302" s="68">
        <v>46203</v>
      </c>
      <c r="N1302" s="69">
        <f t="shared" si="65"/>
        <v>21</v>
      </c>
      <c r="O1302" s="69">
        <f t="shared" si="66"/>
        <v>7</v>
      </c>
      <c r="P1302" s="70">
        <v>12</v>
      </c>
      <c r="Q1302" s="70">
        <v>26</v>
      </c>
      <c r="R1302" s="70">
        <v>33</v>
      </c>
      <c r="S1302" s="68" t="str">
        <f t="shared" si="67"/>
        <v/>
      </c>
      <c r="T1302" s="68"/>
      <c r="U1302" s="68"/>
      <c r="V1302" s="68"/>
      <c r="W1302" s="9"/>
      <c r="X1302" s="10"/>
      <c r="Y1302" s="71">
        <f t="shared" si="68"/>
        <v>26</v>
      </c>
      <c r="Z1302" s="73">
        <f t="shared" si="69"/>
        <v>33</v>
      </c>
      <c r="AA1302" s="73">
        <f t="shared" si="70"/>
        <v>21</v>
      </c>
      <c r="AB1302" s="73">
        <f t="shared" si="71"/>
        <v>21</v>
      </c>
      <c r="AC1302" s="73">
        <f t="shared" si="72"/>
        <v>7</v>
      </c>
      <c r="AD1302" s="73">
        <f t="shared" si="73"/>
        <v>7</v>
      </c>
      <c r="AE1302" s="73">
        <f t="shared" si="74"/>
        <v>21.001301999999999</v>
      </c>
      <c r="AF1302" s="73">
        <f t="shared" si="75"/>
        <v>21.001301999999999</v>
      </c>
      <c r="AG1302" s="73">
        <f t="shared" si="76"/>
        <v>7.0013019999999999</v>
      </c>
      <c r="AH1302" s="73">
        <f t="shared" si="77"/>
        <v>7.0013019999999999</v>
      </c>
    </row>
    <row r="1303" spans="1:34" ht="14.25" customHeight="1">
      <c r="A1303" s="11">
        <v>1288</v>
      </c>
      <c r="B1303" s="66" t="s">
        <v>24</v>
      </c>
      <c r="C1303" s="67">
        <v>44531</v>
      </c>
      <c r="D1303" s="67"/>
      <c r="E1303" s="67"/>
      <c r="F1303" s="67"/>
      <c r="G1303" s="67"/>
      <c r="H1303" s="67"/>
      <c r="I1303" s="6" t="s">
        <v>1921</v>
      </c>
      <c r="J1303" s="9">
        <v>7358601467</v>
      </c>
      <c r="K1303" s="68">
        <v>44530</v>
      </c>
      <c r="L1303" s="68" t="s">
        <v>230</v>
      </c>
      <c r="M1303" s="68">
        <v>45626</v>
      </c>
      <c r="N1303" s="69">
        <f t="shared" si="65"/>
        <v>-4</v>
      </c>
      <c r="O1303" s="69" t="str">
        <f t="shared" si="66"/>
        <v>N/A</v>
      </c>
      <c r="P1303" s="70">
        <v>4</v>
      </c>
      <c r="Q1303" s="70"/>
      <c r="R1303" s="70">
        <v>0</v>
      </c>
      <c r="S1303" s="68">
        <f t="shared" si="67"/>
        <v>45626</v>
      </c>
      <c r="T1303" s="68">
        <v>45626</v>
      </c>
      <c r="U1303" s="68"/>
      <c r="V1303" s="68"/>
      <c r="W1303" s="9"/>
      <c r="X1303" s="10"/>
      <c r="Y1303" s="65" t="str">
        <f t="shared" si="68"/>
        <v/>
      </c>
      <c r="Z1303" s="11" t="str">
        <f t="shared" si="69"/>
        <v/>
      </c>
      <c r="AA1303" s="73">
        <f t="shared" si="70"/>
        <v>-4</v>
      </c>
      <c r="AB1303" s="11" t="str">
        <f t="shared" si="71"/>
        <v/>
      </c>
      <c r="AC1303" s="11" t="str">
        <f t="shared" si="72"/>
        <v/>
      </c>
      <c r="AD1303" s="11" t="str">
        <f t="shared" si="73"/>
        <v/>
      </c>
      <c r="AE1303" s="73">
        <f t="shared" si="74"/>
        <v>-3.9986969999999999</v>
      </c>
      <c r="AF1303" s="11" t="str">
        <f t="shared" si="75"/>
        <v/>
      </c>
      <c r="AG1303" s="11" t="str">
        <f t="shared" si="76"/>
        <v/>
      </c>
      <c r="AH1303" s="11" t="str">
        <f t="shared" si="77"/>
        <v/>
      </c>
    </row>
    <row r="1304" spans="1:34" ht="14.25" customHeight="1">
      <c r="A1304" s="11">
        <v>1289</v>
      </c>
      <c r="B1304" s="66" t="s">
        <v>35</v>
      </c>
      <c r="C1304" s="67">
        <v>42705</v>
      </c>
      <c r="D1304" s="67"/>
      <c r="E1304" s="67"/>
      <c r="F1304" s="67"/>
      <c r="G1304" s="67"/>
      <c r="H1304" s="67"/>
      <c r="I1304" s="6" t="s">
        <v>1922</v>
      </c>
      <c r="J1304" s="9">
        <v>7368100447</v>
      </c>
      <c r="K1304" s="68">
        <v>42704</v>
      </c>
      <c r="L1304" s="68">
        <v>46022</v>
      </c>
      <c r="M1304" s="68">
        <v>46203</v>
      </c>
      <c r="N1304" s="69">
        <f t="shared" si="65"/>
        <v>4</v>
      </c>
      <c r="O1304" s="69">
        <f t="shared" si="66"/>
        <v>0</v>
      </c>
      <c r="P1304" s="70">
        <v>4</v>
      </c>
      <c r="Q1304" s="70">
        <v>8</v>
      </c>
      <c r="R1304" s="70">
        <v>8</v>
      </c>
      <c r="S1304" s="68" t="str">
        <f t="shared" si="67"/>
        <v/>
      </c>
      <c r="T1304" s="68"/>
      <c r="U1304" s="68"/>
      <c r="V1304" s="68"/>
      <c r="W1304" s="9"/>
      <c r="X1304" s="10"/>
      <c r="Y1304" s="71">
        <f t="shared" si="68"/>
        <v>8</v>
      </c>
      <c r="Z1304" s="73">
        <f t="shared" si="69"/>
        <v>8</v>
      </c>
      <c r="AA1304" s="73">
        <f t="shared" si="70"/>
        <v>4</v>
      </c>
      <c r="AB1304" s="11" t="str">
        <f t="shared" si="71"/>
        <v/>
      </c>
      <c r="AC1304" s="73">
        <f t="shared" si="72"/>
        <v>0</v>
      </c>
      <c r="AD1304" s="11" t="str">
        <f t="shared" si="73"/>
        <v/>
      </c>
      <c r="AE1304" s="73">
        <f t="shared" si="74"/>
        <v>4.0013040000000002</v>
      </c>
      <c r="AF1304" s="11" t="str">
        <f t="shared" si="75"/>
        <v/>
      </c>
      <c r="AG1304" s="73">
        <f t="shared" si="76"/>
        <v>1.304E-3</v>
      </c>
      <c r="AH1304" s="11" t="str">
        <f t="shared" si="77"/>
        <v/>
      </c>
    </row>
    <row r="1305" spans="1:34" ht="14.25" customHeight="1">
      <c r="A1305" s="11">
        <v>1290</v>
      </c>
      <c r="B1305" s="66"/>
      <c r="C1305" s="67"/>
      <c r="D1305" s="67"/>
      <c r="E1305" s="67"/>
      <c r="F1305" s="67"/>
      <c r="G1305" s="67" t="s">
        <v>35</v>
      </c>
      <c r="H1305" s="67">
        <v>44946</v>
      </c>
      <c r="I1305" s="6" t="s">
        <v>1923</v>
      </c>
      <c r="J1305" s="9">
        <v>7368102391</v>
      </c>
      <c r="K1305" s="68">
        <v>44926</v>
      </c>
      <c r="L1305" s="68">
        <v>46022</v>
      </c>
      <c r="M1305" s="68">
        <v>46203</v>
      </c>
      <c r="N1305" s="69">
        <f t="shared" si="65"/>
        <v>0</v>
      </c>
      <c r="O1305" s="69">
        <f t="shared" si="66"/>
        <v>0</v>
      </c>
      <c r="P1305" s="70">
        <v>4</v>
      </c>
      <c r="Q1305" s="70">
        <v>4</v>
      </c>
      <c r="R1305" s="70">
        <v>4</v>
      </c>
      <c r="S1305" s="68" t="str">
        <f t="shared" si="67"/>
        <v/>
      </c>
      <c r="T1305" s="68"/>
      <c r="U1305" s="68"/>
      <c r="V1305" s="68"/>
      <c r="W1305" s="9"/>
      <c r="X1305" s="10"/>
      <c r="Y1305" s="71">
        <f t="shared" si="68"/>
        <v>4</v>
      </c>
      <c r="Z1305" s="73">
        <f t="shared" si="69"/>
        <v>4</v>
      </c>
      <c r="AA1305" s="11" t="str">
        <f t="shared" si="70"/>
        <v/>
      </c>
      <c r="AB1305" s="73">
        <f t="shared" si="71"/>
        <v>0</v>
      </c>
      <c r="AC1305" s="11" t="str">
        <f t="shared" si="72"/>
        <v/>
      </c>
      <c r="AD1305" s="73">
        <f t="shared" si="73"/>
        <v>0</v>
      </c>
      <c r="AE1305" s="11" t="str">
        <f t="shared" si="74"/>
        <v/>
      </c>
      <c r="AF1305" s="73">
        <f t="shared" si="75"/>
        <v>1.305E-3</v>
      </c>
      <c r="AG1305" s="11" t="str">
        <f t="shared" si="76"/>
        <v/>
      </c>
      <c r="AH1305" s="73">
        <f t="shared" si="77"/>
        <v>1.305E-3</v>
      </c>
    </row>
    <row r="1306" spans="1:34" ht="14.25" customHeight="1">
      <c r="A1306" s="11">
        <v>1291</v>
      </c>
      <c r="B1306" s="66"/>
      <c r="C1306" s="67"/>
      <c r="D1306" s="67"/>
      <c r="E1306" s="67"/>
      <c r="F1306" s="67"/>
      <c r="G1306" s="67" t="s">
        <v>35</v>
      </c>
      <c r="H1306" s="67">
        <v>44189</v>
      </c>
      <c r="I1306" s="6" t="s">
        <v>1924</v>
      </c>
      <c r="J1306" s="9">
        <v>7368601306</v>
      </c>
      <c r="K1306" s="68">
        <v>44165</v>
      </c>
      <c r="L1306" s="68">
        <v>46022</v>
      </c>
      <c r="M1306" s="68">
        <v>46203</v>
      </c>
      <c r="N1306" s="69">
        <f t="shared" si="65"/>
        <v>79</v>
      </c>
      <c r="O1306" s="69">
        <f t="shared" si="66"/>
        <v>1</v>
      </c>
      <c r="P1306" s="70">
        <v>16</v>
      </c>
      <c r="Q1306" s="70">
        <v>94</v>
      </c>
      <c r="R1306" s="70">
        <v>95</v>
      </c>
      <c r="S1306" s="68" t="str">
        <f t="shared" si="67"/>
        <v/>
      </c>
      <c r="T1306" s="68"/>
      <c r="U1306" s="68"/>
      <c r="V1306" s="68"/>
      <c r="W1306" s="9"/>
      <c r="X1306" s="10"/>
      <c r="Y1306" s="71">
        <f t="shared" si="68"/>
        <v>94</v>
      </c>
      <c r="Z1306" s="73">
        <f t="shared" si="69"/>
        <v>95</v>
      </c>
      <c r="AA1306" s="11" t="str">
        <f t="shared" si="70"/>
        <v/>
      </c>
      <c r="AB1306" s="73">
        <f t="shared" si="71"/>
        <v>79</v>
      </c>
      <c r="AC1306" s="11" t="str">
        <f t="shared" si="72"/>
        <v/>
      </c>
      <c r="AD1306" s="73">
        <f t="shared" si="73"/>
        <v>1</v>
      </c>
      <c r="AE1306" s="11" t="str">
        <f t="shared" si="74"/>
        <v/>
      </c>
      <c r="AF1306" s="73">
        <f t="shared" si="75"/>
        <v>79.001306</v>
      </c>
      <c r="AG1306" s="11" t="str">
        <f t="shared" si="76"/>
        <v/>
      </c>
      <c r="AH1306" s="73">
        <f t="shared" si="77"/>
        <v>1.001306</v>
      </c>
    </row>
    <row r="1307" spans="1:34" ht="14.25" customHeight="1">
      <c r="A1307" s="11">
        <v>1292</v>
      </c>
      <c r="B1307" s="66"/>
      <c r="C1307" s="67"/>
      <c r="D1307" s="67"/>
      <c r="E1307" s="67"/>
      <c r="F1307" s="67"/>
      <c r="G1307" s="67" t="s">
        <v>35</v>
      </c>
      <c r="H1307" s="67">
        <v>44165</v>
      </c>
      <c r="I1307" s="6" t="s">
        <v>1925</v>
      </c>
      <c r="J1307" s="9">
        <v>7378701820</v>
      </c>
      <c r="K1307" s="68">
        <v>44135</v>
      </c>
      <c r="L1307" s="68">
        <v>46022</v>
      </c>
      <c r="M1307" s="68">
        <v>46203</v>
      </c>
      <c r="N1307" s="69">
        <f t="shared" si="65"/>
        <v>0</v>
      </c>
      <c r="O1307" s="69">
        <f t="shared" si="66"/>
        <v>0</v>
      </c>
      <c r="P1307" s="70">
        <v>0</v>
      </c>
      <c r="Q1307" s="70">
        <v>0</v>
      </c>
      <c r="R1307" s="70">
        <v>0</v>
      </c>
      <c r="S1307" s="68" t="str">
        <f t="shared" si="67"/>
        <v/>
      </c>
      <c r="T1307" s="68"/>
      <c r="U1307" s="68"/>
      <c r="V1307" s="68"/>
      <c r="W1307" s="9"/>
      <c r="X1307" s="10"/>
      <c r="Y1307" s="71">
        <f t="shared" si="68"/>
        <v>0</v>
      </c>
      <c r="Z1307" s="73">
        <f t="shared" si="69"/>
        <v>0</v>
      </c>
      <c r="AA1307" s="11" t="str">
        <f t="shared" si="70"/>
        <v/>
      </c>
      <c r="AB1307" s="73">
        <f t="shared" si="71"/>
        <v>0</v>
      </c>
      <c r="AC1307" s="11" t="str">
        <f t="shared" si="72"/>
        <v/>
      </c>
      <c r="AD1307" s="73">
        <f t="shared" si="73"/>
        <v>0</v>
      </c>
      <c r="AE1307" s="11" t="str">
        <f t="shared" si="74"/>
        <v/>
      </c>
      <c r="AF1307" s="73">
        <f t="shared" si="75"/>
        <v>1.307E-3</v>
      </c>
      <c r="AG1307" s="11" t="str">
        <f t="shared" si="76"/>
        <v/>
      </c>
      <c r="AH1307" s="73">
        <f t="shared" si="77"/>
        <v>1.307E-3</v>
      </c>
    </row>
    <row r="1308" spans="1:34" ht="14.25" customHeight="1">
      <c r="A1308" s="11">
        <v>1293</v>
      </c>
      <c r="B1308" s="66"/>
      <c r="C1308" s="67"/>
      <c r="D1308" s="67"/>
      <c r="E1308" s="67"/>
      <c r="F1308" s="67"/>
      <c r="G1308" s="67" t="s">
        <v>35</v>
      </c>
      <c r="H1308" s="67">
        <v>46007</v>
      </c>
      <c r="I1308" s="6" t="s">
        <v>1926</v>
      </c>
      <c r="J1308" s="94">
        <v>7378803316</v>
      </c>
      <c r="K1308" s="68">
        <v>45991</v>
      </c>
      <c r="L1308" s="68">
        <v>46022</v>
      </c>
      <c r="M1308" s="68">
        <v>46203</v>
      </c>
      <c r="N1308" s="69">
        <f t="shared" si="65"/>
        <v>5</v>
      </c>
      <c r="O1308" s="69">
        <f t="shared" si="66"/>
        <v>3</v>
      </c>
      <c r="P1308" s="123">
        <v>0</v>
      </c>
      <c r="Q1308" s="70">
        <v>2</v>
      </c>
      <c r="R1308" s="70">
        <v>5</v>
      </c>
      <c r="S1308" s="68" t="str">
        <f t="shared" si="67"/>
        <v/>
      </c>
      <c r="T1308" s="68"/>
      <c r="U1308" s="95"/>
      <c r="V1308" s="68"/>
      <c r="W1308" s="6"/>
      <c r="X1308" s="10"/>
      <c r="Y1308" s="71">
        <f t="shared" si="68"/>
        <v>2</v>
      </c>
      <c r="Z1308" s="73">
        <f t="shared" si="69"/>
        <v>5</v>
      </c>
      <c r="AA1308" s="11" t="str">
        <f t="shared" si="70"/>
        <v/>
      </c>
      <c r="AB1308" s="73">
        <f t="shared" si="71"/>
        <v>5</v>
      </c>
      <c r="AC1308" s="11" t="str">
        <f t="shared" si="72"/>
        <v/>
      </c>
      <c r="AD1308" s="73">
        <f t="shared" si="73"/>
        <v>3</v>
      </c>
      <c r="AE1308" s="11" t="str">
        <f t="shared" si="74"/>
        <v/>
      </c>
      <c r="AF1308" s="73">
        <f t="shared" si="75"/>
        <v>5.0013079999999999</v>
      </c>
      <c r="AG1308" s="11" t="str">
        <f t="shared" si="76"/>
        <v/>
      </c>
      <c r="AH1308" s="73">
        <f t="shared" si="77"/>
        <v>3.0013079999999999</v>
      </c>
    </row>
    <row r="1309" spans="1:34" ht="14.25" customHeight="1">
      <c r="A1309" s="11">
        <v>1294</v>
      </c>
      <c r="B1309" s="66" t="s">
        <v>35</v>
      </c>
      <c r="C1309" s="67">
        <v>44053</v>
      </c>
      <c r="D1309" s="67"/>
      <c r="E1309" s="67"/>
      <c r="F1309" s="67"/>
      <c r="G1309" s="67"/>
      <c r="H1309" s="67"/>
      <c r="I1309" s="6" t="s">
        <v>1927</v>
      </c>
      <c r="J1309" s="9">
        <v>7388701615</v>
      </c>
      <c r="K1309" s="68">
        <v>44043</v>
      </c>
      <c r="L1309" s="68">
        <v>46022</v>
      </c>
      <c r="M1309" s="68">
        <v>46203</v>
      </c>
      <c r="N1309" s="69">
        <f t="shared" si="65"/>
        <v>3</v>
      </c>
      <c r="O1309" s="69">
        <f t="shared" si="66"/>
        <v>-2</v>
      </c>
      <c r="P1309" s="70">
        <v>2</v>
      </c>
      <c r="Q1309" s="70">
        <v>7</v>
      </c>
      <c r="R1309" s="70">
        <v>5</v>
      </c>
      <c r="S1309" s="68" t="str">
        <f t="shared" si="67"/>
        <v/>
      </c>
      <c r="T1309" s="68"/>
      <c r="U1309" s="68"/>
      <c r="V1309" s="68"/>
      <c r="W1309" s="9"/>
      <c r="X1309" s="10"/>
      <c r="Y1309" s="71">
        <f t="shared" si="68"/>
        <v>7</v>
      </c>
      <c r="Z1309" s="73">
        <f t="shared" si="69"/>
        <v>5</v>
      </c>
      <c r="AA1309" s="73">
        <f t="shared" si="70"/>
        <v>3</v>
      </c>
      <c r="AB1309" s="11" t="str">
        <f t="shared" si="71"/>
        <v/>
      </c>
      <c r="AC1309" s="73">
        <f t="shared" si="72"/>
        <v>-2</v>
      </c>
      <c r="AD1309" s="11" t="str">
        <f t="shared" si="73"/>
        <v/>
      </c>
      <c r="AE1309" s="73">
        <f t="shared" si="74"/>
        <v>3.001309</v>
      </c>
      <c r="AF1309" s="11" t="str">
        <f t="shared" si="75"/>
        <v/>
      </c>
      <c r="AG1309" s="73">
        <f t="shared" si="76"/>
        <v>-1.998691</v>
      </c>
      <c r="AH1309" s="11" t="str">
        <f t="shared" si="77"/>
        <v/>
      </c>
    </row>
    <row r="1310" spans="1:34" ht="14.25" customHeight="1">
      <c r="A1310" s="11">
        <v>1295</v>
      </c>
      <c r="B1310" s="66" t="s">
        <v>35</v>
      </c>
      <c r="C1310" s="67"/>
      <c r="D1310" s="67"/>
      <c r="E1310" s="67"/>
      <c r="F1310" s="67">
        <v>45757</v>
      </c>
      <c r="G1310" s="67"/>
      <c r="H1310" s="67"/>
      <c r="I1310" s="6" t="s">
        <v>1928</v>
      </c>
      <c r="J1310" s="37">
        <v>7398602890</v>
      </c>
      <c r="K1310" s="68">
        <v>45747</v>
      </c>
      <c r="L1310" s="68">
        <v>46022</v>
      </c>
      <c r="M1310" s="68">
        <v>46203</v>
      </c>
      <c r="N1310" s="69">
        <f t="shared" si="65"/>
        <v>9</v>
      </c>
      <c r="O1310" s="69">
        <f t="shared" si="66"/>
        <v>3</v>
      </c>
      <c r="P1310" s="70">
        <v>9</v>
      </c>
      <c r="Q1310" s="70">
        <v>15</v>
      </c>
      <c r="R1310" s="70">
        <v>18</v>
      </c>
      <c r="S1310" s="68" t="str">
        <f t="shared" si="67"/>
        <v/>
      </c>
      <c r="T1310" s="68"/>
      <c r="U1310" s="95"/>
      <c r="V1310" s="68"/>
      <c r="W1310" s="6"/>
      <c r="X1310" s="93"/>
      <c r="Y1310" s="71">
        <f t="shared" si="68"/>
        <v>15</v>
      </c>
      <c r="Z1310" s="73">
        <f t="shared" si="69"/>
        <v>18</v>
      </c>
      <c r="AA1310" s="73">
        <f t="shared" si="70"/>
        <v>9</v>
      </c>
      <c r="AB1310" s="11" t="str">
        <f t="shared" si="71"/>
        <v/>
      </c>
      <c r="AC1310" s="73">
        <f t="shared" si="72"/>
        <v>3</v>
      </c>
      <c r="AD1310" s="11" t="str">
        <f t="shared" si="73"/>
        <v/>
      </c>
      <c r="AE1310" s="73">
        <f t="shared" si="74"/>
        <v>9.0013100000000001</v>
      </c>
      <c r="AF1310" s="11" t="str">
        <f t="shared" si="75"/>
        <v/>
      </c>
      <c r="AG1310" s="73">
        <f t="shared" si="76"/>
        <v>3.0013100000000001</v>
      </c>
      <c r="AH1310" s="11" t="str">
        <f t="shared" si="77"/>
        <v/>
      </c>
    </row>
    <row r="1311" spans="1:34" ht="14.25" customHeight="1">
      <c r="A1311" s="11">
        <v>1296</v>
      </c>
      <c r="B1311" s="66"/>
      <c r="C1311" s="67"/>
      <c r="D1311" s="67"/>
      <c r="E1311" s="67"/>
      <c r="F1311" s="67"/>
      <c r="G1311" s="67" t="s">
        <v>24</v>
      </c>
      <c r="H1311" s="67">
        <v>42138</v>
      </c>
      <c r="I1311" s="6" t="s">
        <v>1929</v>
      </c>
      <c r="J1311" s="9">
        <v>7408100112</v>
      </c>
      <c r="K1311" s="68">
        <v>42124</v>
      </c>
      <c r="L1311" s="68" t="s">
        <v>230</v>
      </c>
      <c r="M1311" s="68">
        <v>43100</v>
      </c>
      <c r="N1311" s="69">
        <f t="shared" si="65"/>
        <v>0</v>
      </c>
      <c r="O1311" s="69" t="str">
        <f t="shared" si="66"/>
        <v>N/A</v>
      </c>
      <c r="P1311" s="70">
        <v>0</v>
      </c>
      <c r="Q1311" s="70"/>
      <c r="R1311" s="70">
        <v>0</v>
      </c>
      <c r="S1311" s="68">
        <f t="shared" si="67"/>
        <v>43090</v>
      </c>
      <c r="T1311" s="68">
        <v>43090</v>
      </c>
      <c r="U1311" s="68"/>
      <c r="V1311" s="68"/>
      <c r="W1311" s="9"/>
      <c r="X1311" s="10"/>
      <c r="Y1311" s="65" t="str">
        <f t="shared" si="68"/>
        <v/>
      </c>
      <c r="Z1311" s="11" t="str">
        <f t="shared" si="69"/>
        <v/>
      </c>
      <c r="AA1311" s="11" t="str">
        <f t="shared" si="70"/>
        <v/>
      </c>
      <c r="AB1311" s="73">
        <f t="shared" si="71"/>
        <v>0</v>
      </c>
      <c r="AC1311" s="11" t="str">
        <f t="shared" si="72"/>
        <v/>
      </c>
      <c r="AD1311" s="11" t="str">
        <f t="shared" si="73"/>
        <v/>
      </c>
      <c r="AE1311" s="11" t="str">
        <f t="shared" si="74"/>
        <v/>
      </c>
      <c r="AF1311" s="73">
        <f t="shared" si="75"/>
        <v>1.3110000000000001E-3</v>
      </c>
      <c r="AG1311" s="11" t="str">
        <f t="shared" si="76"/>
        <v/>
      </c>
      <c r="AH1311" s="11" t="str">
        <f t="shared" si="77"/>
        <v/>
      </c>
    </row>
    <row r="1312" spans="1:34" ht="14.25" customHeight="1">
      <c r="A1312" s="11">
        <v>1297</v>
      </c>
      <c r="B1312" s="66" t="s">
        <v>35</v>
      </c>
      <c r="C1312" s="67"/>
      <c r="D1312" s="67"/>
      <c r="E1312" s="67"/>
      <c r="F1312" s="67">
        <v>46122</v>
      </c>
      <c r="G1312" s="67" t="s">
        <v>35</v>
      </c>
      <c r="H1312" s="67">
        <v>45565</v>
      </c>
      <c r="I1312" s="6" t="s">
        <v>1930</v>
      </c>
      <c r="J1312" s="9">
        <v>7408103365</v>
      </c>
      <c r="K1312" s="68">
        <v>45535</v>
      </c>
      <c r="L1312" s="68">
        <v>46022</v>
      </c>
      <c r="M1312" s="68">
        <v>46203</v>
      </c>
      <c r="N1312" s="69">
        <f t="shared" si="65"/>
        <v>2</v>
      </c>
      <c r="O1312" s="69">
        <f t="shared" si="66"/>
        <v>-5</v>
      </c>
      <c r="P1312" s="70">
        <v>3</v>
      </c>
      <c r="Q1312" s="70">
        <v>10</v>
      </c>
      <c r="R1312" s="70">
        <v>5</v>
      </c>
      <c r="S1312" s="68" t="str">
        <f t="shared" si="67"/>
        <v/>
      </c>
      <c r="T1312" s="68"/>
      <c r="U1312" s="68"/>
      <c r="V1312" s="68"/>
      <c r="W1312" s="9"/>
      <c r="X1312" s="10"/>
      <c r="Y1312" s="71">
        <f t="shared" si="68"/>
        <v>10</v>
      </c>
      <c r="Z1312" s="73">
        <f t="shared" si="69"/>
        <v>5</v>
      </c>
      <c r="AA1312" s="73">
        <f t="shared" si="70"/>
        <v>2</v>
      </c>
      <c r="AB1312" s="73">
        <f t="shared" si="71"/>
        <v>2</v>
      </c>
      <c r="AC1312" s="73">
        <f t="shared" si="72"/>
        <v>-5</v>
      </c>
      <c r="AD1312" s="73">
        <f t="shared" si="73"/>
        <v>-5</v>
      </c>
      <c r="AE1312" s="73">
        <f t="shared" si="74"/>
        <v>2.001312</v>
      </c>
      <c r="AF1312" s="73">
        <f t="shared" si="75"/>
        <v>2.001312</v>
      </c>
      <c r="AG1312" s="73">
        <f t="shared" si="76"/>
        <v>-4.9986879999999996</v>
      </c>
      <c r="AH1312" s="73">
        <f t="shared" si="77"/>
        <v>-4.9986879999999996</v>
      </c>
    </row>
    <row r="1313" spans="1:34" ht="14.25" customHeight="1">
      <c r="A1313" s="11">
        <v>1298</v>
      </c>
      <c r="B1313" s="66" t="s">
        <v>24</v>
      </c>
      <c r="C1313" s="67">
        <v>42416</v>
      </c>
      <c r="D1313" s="67"/>
      <c r="E1313" s="67"/>
      <c r="F1313" s="67"/>
      <c r="G1313" s="67"/>
      <c r="H1313" s="67"/>
      <c r="I1313" s="6" t="s">
        <v>1931</v>
      </c>
      <c r="J1313" s="9">
        <v>7408700128</v>
      </c>
      <c r="K1313" s="68">
        <v>42400</v>
      </c>
      <c r="L1313" s="68" t="s">
        <v>230</v>
      </c>
      <c r="M1313" s="68">
        <v>42521</v>
      </c>
      <c r="N1313" s="69">
        <f t="shared" si="65"/>
        <v>0</v>
      </c>
      <c r="O1313" s="69" t="str">
        <f t="shared" si="66"/>
        <v>N/A</v>
      </c>
      <c r="P1313" s="70">
        <v>0</v>
      </c>
      <c r="Q1313" s="70"/>
      <c r="R1313" s="70">
        <v>0</v>
      </c>
      <c r="S1313" s="68">
        <f t="shared" si="67"/>
        <v>42519</v>
      </c>
      <c r="T1313" s="68">
        <v>42519</v>
      </c>
      <c r="U1313" s="68"/>
      <c r="V1313" s="68"/>
      <c r="W1313" s="9"/>
      <c r="X1313" s="10"/>
      <c r="Y1313" s="65" t="str">
        <f t="shared" si="68"/>
        <v/>
      </c>
      <c r="Z1313" s="11" t="str">
        <f t="shared" si="69"/>
        <v/>
      </c>
      <c r="AA1313" s="73">
        <f t="shared" si="70"/>
        <v>0</v>
      </c>
      <c r="AB1313" s="11" t="str">
        <f t="shared" si="71"/>
        <v/>
      </c>
      <c r="AC1313" s="11" t="str">
        <f t="shared" si="72"/>
        <v/>
      </c>
      <c r="AD1313" s="11" t="str">
        <f t="shared" si="73"/>
        <v/>
      </c>
      <c r="AE1313" s="73">
        <f t="shared" si="74"/>
        <v>1.3129999999999999E-3</v>
      </c>
      <c r="AF1313" s="11" t="str">
        <f t="shared" si="75"/>
        <v/>
      </c>
      <c r="AG1313" s="11" t="str">
        <f t="shared" si="76"/>
        <v/>
      </c>
      <c r="AH1313" s="11" t="str">
        <f t="shared" si="77"/>
        <v/>
      </c>
    </row>
    <row r="1314" spans="1:34" ht="14.25" customHeight="1">
      <c r="A1314" s="11">
        <v>1299</v>
      </c>
      <c r="B1314" s="66"/>
      <c r="C1314" s="67"/>
      <c r="D1314" s="67"/>
      <c r="E1314" s="67"/>
      <c r="F1314" s="67"/>
      <c r="G1314" s="67" t="s">
        <v>35</v>
      </c>
      <c r="H1314" s="67">
        <v>45015</v>
      </c>
      <c r="I1314" s="6" t="s">
        <v>1932</v>
      </c>
      <c r="J1314" s="94">
        <v>7408701715</v>
      </c>
      <c r="K1314" s="68">
        <v>44985</v>
      </c>
      <c r="L1314" s="68">
        <v>46022</v>
      </c>
      <c r="M1314" s="68">
        <v>46203</v>
      </c>
      <c r="N1314" s="69">
        <f t="shared" si="65"/>
        <v>0</v>
      </c>
      <c r="O1314" s="69">
        <f t="shared" si="66"/>
        <v>1</v>
      </c>
      <c r="P1314" s="78">
        <v>4</v>
      </c>
      <c r="Q1314" s="78">
        <v>3</v>
      </c>
      <c r="R1314" s="78">
        <v>4</v>
      </c>
      <c r="S1314" s="68" t="str">
        <f t="shared" si="67"/>
        <v/>
      </c>
      <c r="T1314" s="68"/>
      <c r="U1314" s="95"/>
      <c r="V1314" s="68"/>
      <c r="W1314" s="6"/>
      <c r="X1314" s="10" t="s">
        <v>1933</v>
      </c>
      <c r="Y1314" s="71">
        <f t="shared" si="68"/>
        <v>3</v>
      </c>
      <c r="Z1314" s="73">
        <f t="shared" si="69"/>
        <v>4</v>
      </c>
      <c r="AA1314" s="11" t="str">
        <f t="shared" si="70"/>
        <v/>
      </c>
      <c r="AB1314" s="73">
        <f t="shared" si="71"/>
        <v>0</v>
      </c>
      <c r="AC1314" s="11" t="str">
        <f t="shared" si="72"/>
        <v/>
      </c>
      <c r="AD1314" s="73">
        <f t="shared" si="73"/>
        <v>1</v>
      </c>
      <c r="AE1314" s="11" t="str">
        <f t="shared" si="74"/>
        <v/>
      </c>
      <c r="AF1314" s="73">
        <f t="shared" si="75"/>
        <v>1.3140000000000001E-3</v>
      </c>
      <c r="AG1314" s="11" t="str">
        <f t="shared" si="76"/>
        <v/>
      </c>
      <c r="AH1314" s="73">
        <f t="shared" si="77"/>
        <v>1.001314</v>
      </c>
    </row>
    <row r="1315" spans="1:34" ht="14.25" customHeight="1">
      <c r="A1315" s="11">
        <v>1300</v>
      </c>
      <c r="B1315" s="66"/>
      <c r="C1315" s="67"/>
      <c r="D1315" s="67"/>
      <c r="E1315" s="67"/>
      <c r="F1315" s="67"/>
      <c r="G1315" s="67" t="s">
        <v>35</v>
      </c>
      <c r="H1315" s="67">
        <v>44301</v>
      </c>
      <c r="I1315" s="6" t="s">
        <v>1934</v>
      </c>
      <c r="J1315" s="9">
        <v>7418800017</v>
      </c>
      <c r="K1315" s="68">
        <v>44286</v>
      </c>
      <c r="L1315" s="68">
        <v>46022</v>
      </c>
      <c r="M1315" s="68">
        <v>46203</v>
      </c>
      <c r="N1315" s="69">
        <f t="shared" si="65"/>
        <v>4</v>
      </c>
      <c r="O1315" s="69">
        <f t="shared" si="66"/>
        <v>1</v>
      </c>
      <c r="P1315" s="70">
        <v>4</v>
      </c>
      <c r="Q1315" s="70">
        <v>7</v>
      </c>
      <c r="R1315" s="70">
        <v>8</v>
      </c>
      <c r="S1315" s="68" t="str">
        <f t="shared" si="67"/>
        <v/>
      </c>
      <c r="T1315" s="68"/>
      <c r="U1315" s="68"/>
      <c r="V1315" s="68"/>
      <c r="W1315" s="9"/>
      <c r="X1315" s="10"/>
      <c r="Y1315" s="71">
        <f t="shared" si="68"/>
        <v>7</v>
      </c>
      <c r="Z1315" s="73">
        <f t="shared" si="69"/>
        <v>8</v>
      </c>
      <c r="AA1315" s="11" t="str">
        <f t="shared" si="70"/>
        <v/>
      </c>
      <c r="AB1315" s="73">
        <f t="shared" si="71"/>
        <v>4</v>
      </c>
      <c r="AC1315" s="11" t="str">
        <f t="shared" si="72"/>
        <v/>
      </c>
      <c r="AD1315" s="73">
        <f t="shared" si="73"/>
        <v>1</v>
      </c>
      <c r="AE1315" s="11" t="str">
        <f t="shared" si="74"/>
        <v/>
      </c>
      <c r="AF1315" s="73">
        <f t="shared" si="75"/>
        <v>4.001315</v>
      </c>
      <c r="AG1315" s="11" t="str">
        <f t="shared" si="76"/>
        <v/>
      </c>
      <c r="AH1315" s="73">
        <f t="shared" si="77"/>
        <v>1.001315</v>
      </c>
    </row>
    <row r="1316" spans="1:34" ht="14.25" customHeight="1">
      <c r="A1316" s="11">
        <v>1301</v>
      </c>
      <c r="B1316" s="66"/>
      <c r="C1316" s="67"/>
      <c r="D1316" s="67"/>
      <c r="E1316" s="67"/>
      <c r="F1316" s="67"/>
      <c r="G1316" s="67" t="s">
        <v>24</v>
      </c>
      <c r="H1316" s="67">
        <v>42237</v>
      </c>
      <c r="I1316" s="6" t="s">
        <v>1935</v>
      </c>
      <c r="J1316" s="9">
        <v>7428100082</v>
      </c>
      <c r="K1316" s="68">
        <v>42216</v>
      </c>
      <c r="L1316" s="68" t="s">
        <v>230</v>
      </c>
      <c r="M1316" s="68">
        <v>44104</v>
      </c>
      <c r="N1316" s="69">
        <f t="shared" si="65"/>
        <v>-7</v>
      </c>
      <c r="O1316" s="69" t="str">
        <f t="shared" si="66"/>
        <v>N/A</v>
      </c>
      <c r="P1316" s="70">
        <v>7</v>
      </c>
      <c r="Q1316" s="70"/>
      <c r="R1316" s="70">
        <v>0</v>
      </c>
      <c r="S1316" s="68">
        <f t="shared" si="67"/>
        <v>44088</v>
      </c>
      <c r="T1316" s="68">
        <v>44088</v>
      </c>
      <c r="U1316" s="68"/>
      <c r="V1316" s="68"/>
      <c r="W1316" s="9"/>
      <c r="X1316" s="10"/>
      <c r="Y1316" s="65" t="str">
        <f t="shared" si="68"/>
        <v/>
      </c>
      <c r="Z1316" s="11" t="str">
        <f t="shared" si="69"/>
        <v/>
      </c>
      <c r="AA1316" s="11" t="str">
        <f t="shared" si="70"/>
        <v/>
      </c>
      <c r="AB1316" s="73">
        <f t="shared" si="71"/>
        <v>-7</v>
      </c>
      <c r="AC1316" s="11" t="str">
        <f t="shared" si="72"/>
        <v/>
      </c>
      <c r="AD1316" s="11" t="str">
        <f t="shared" si="73"/>
        <v/>
      </c>
      <c r="AE1316" s="11" t="str">
        <f t="shared" si="74"/>
        <v/>
      </c>
      <c r="AF1316" s="73">
        <f t="shared" si="75"/>
        <v>-6.9986839999999999</v>
      </c>
      <c r="AG1316" s="11" t="str">
        <f t="shared" si="76"/>
        <v/>
      </c>
      <c r="AH1316" s="11" t="str">
        <f t="shared" si="77"/>
        <v/>
      </c>
    </row>
    <row r="1317" spans="1:34" ht="14.25" customHeight="1">
      <c r="A1317" s="11">
        <v>1302</v>
      </c>
      <c r="B1317" s="66"/>
      <c r="C1317" s="67"/>
      <c r="D1317" s="67"/>
      <c r="E1317" s="67"/>
      <c r="F1317" s="67"/>
      <c r="G1317" s="67" t="s">
        <v>35</v>
      </c>
      <c r="H1317" s="67">
        <v>45404</v>
      </c>
      <c r="I1317" s="6" t="s">
        <v>1936</v>
      </c>
      <c r="J1317" s="9">
        <v>7448602946</v>
      </c>
      <c r="K1317" s="68">
        <v>45382</v>
      </c>
      <c r="L1317" s="68">
        <v>46022</v>
      </c>
      <c r="M1317" s="68">
        <v>46203</v>
      </c>
      <c r="N1317" s="69">
        <f t="shared" si="65"/>
        <v>-2</v>
      </c>
      <c r="O1317" s="69">
        <f t="shared" si="66"/>
        <v>-2</v>
      </c>
      <c r="P1317" s="70">
        <v>9</v>
      </c>
      <c r="Q1317" s="70">
        <v>9</v>
      </c>
      <c r="R1317" s="70">
        <v>7</v>
      </c>
      <c r="S1317" s="68" t="str">
        <f t="shared" si="67"/>
        <v/>
      </c>
      <c r="T1317" s="68"/>
      <c r="U1317" s="68"/>
      <c r="V1317" s="68"/>
      <c r="W1317" s="9"/>
      <c r="X1317" s="10"/>
      <c r="Y1317" s="71">
        <f t="shared" si="68"/>
        <v>9</v>
      </c>
      <c r="Z1317" s="73">
        <f t="shared" si="69"/>
        <v>7</v>
      </c>
      <c r="AA1317" s="11" t="str">
        <f t="shared" si="70"/>
        <v/>
      </c>
      <c r="AB1317" s="73">
        <f t="shared" si="71"/>
        <v>-2</v>
      </c>
      <c r="AC1317" s="11" t="str">
        <f t="shared" si="72"/>
        <v/>
      </c>
      <c r="AD1317" s="73">
        <f t="shared" si="73"/>
        <v>-2</v>
      </c>
      <c r="AE1317" s="11" t="str">
        <f t="shared" si="74"/>
        <v/>
      </c>
      <c r="AF1317" s="73">
        <f t="shared" si="75"/>
        <v>-1.998683</v>
      </c>
      <c r="AG1317" s="11" t="str">
        <f t="shared" si="76"/>
        <v/>
      </c>
      <c r="AH1317" s="73">
        <f t="shared" si="77"/>
        <v>-1.998683</v>
      </c>
    </row>
    <row r="1318" spans="1:34" ht="14.25" customHeight="1">
      <c r="A1318" s="11">
        <v>1303</v>
      </c>
      <c r="B1318" s="66"/>
      <c r="C1318" s="67"/>
      <c r="D1318" s="67"/>
      <c r="E1318" s="67"/>
      <c r="F1318" s="67"/>
      <c r="G1318" s="67" t="s">
        <v>35</v>
      </c>
      <c r="H1318" s="67">
        <v>44998</v>
      </c>
      <c r="I1318" s="6" t="s">
        <v>1937</v>
      </c>
      <c r="J1318" s="9">
        <v>7448802542</v>
      </c>
      <c r="K1318" s="68">
        <v>44985</v>
      </c>
      <c r="L1318" s="68">
        <v>46022</v>
      </c>
      <c r="M1318" s="68">
        <v>46203</v>
      </c>
      <c r="N1318" s="69">
        <f t="shared" si="65"/>
        <v>39</v>
      </c>
      <c r="O1318" s="69">
        <f t="shared" si="66"/>
        <v>-4</v>
      </c>
      <c r="P1318" s="70">
        <v>0</v>
      </c>
      <c r="Q1318" s="70">
        <v>43</v>
      </c>
      <c r="R1318" s="70">
        <v>39</v>
      </c>
      <c r="S1318" s="68" t="str">
        <f t="shared" si="67"/>
        <v/>
      </c>
      <c r="T1318" s="68"/>
      <c r="U1318" s="68"/>
      <c r="V1318" s="68"/>
      <c r="W1318" s="9"/>
      <c r="X1318" s="10"/>
      <c r="Y1318" s="71">
        <f t="shared" si="68"/>
        <v>43</v>
      </c>
      <c r="Z1318" s="73">
        <f t="shared" si="69"/>
        <v>39</v>
      </c>
      <c r="AA1318" s="11" t="str">
        <f t="shared" si="70"/>
        <v/>
      </c>
      <c r="AB1318" s="73">
        <f t="shared" si="71"/>
        <v>39</v>
      </c>
      <c r="AC1318" s="11" t="str">
        <f t="shared" si="72"/>
        <v/>
      </c>
      <c r="AD1318" s="73">
        <f t="shared" si="73"/>
        <v>-4</v>
      </c>
      <c r="AE1318" s="11" t="str">
        <f t="shared" si="74"/>
        <v/>
      </c>
      <c r="AF1318" s="73">
        <f t="shared" si="75"/>
        <v>39.001317999999998</v>
      </c>
      <c r="AG1318" s="11" t="str">
        <f t="shared" si="76"/>
        <v/>
      </c>
      <c r="AH1318" s="73">
        <f t="shared" si="77"/>
        <v>-3.9986820000000001</v>
      </c>
    </row>
    <row r="1319" spans="1:34" ht="14.25" customHeight="1">
      <c r="A1319" s="11">
        <v>1304</v>
      </c>
      <c r="B1319" s="66"/>
      <c r="C1319" s="67"/>
      <c r="D1319" s="67"/>
      <c r="E1319" s="67"/>
      <c r="F1319" s="67"/>
      <c r="G1319" s="67" t="s">
        <v>35</v>
      </c>
      <c r="H1319" s="67">
        <v>45530</v>
      </c>
      <c r="I1319" s="6" t="s">
        <v>1938</v>
      </c>
      <c r="J1319" s="9">
        <v>7458103128</v>
      </c>
      <c r="K1319" s="68">
        <v>45504</v>
      </c>
      <c r="L1319" s="68">
        <v>46022</v>
      </c>
      <c r="M1319" s="68">
        <v>46203</v>
      </c>
      <c r="N1319" s="69">
        <f t="shared" si="65"/>
        <v>23</v>
      </c>
      <c r="O1319" s="69">
        <f t="shared" si="66"/>
        <v>10</v>
      </c>
      <c r="P1319" s="70">
        <v>0</v>
      </c>
      <c r="Q1319" s="70">
        <v>13</v>
      </c>
      <c r="R1319" s="70">
        <v>23</v>
      </c>
      <c r="S1319" s="68" t="str">
        <f t="shared" si="67"/>
        <v/>
      </c>
      <c r="T1319" s="68"/>
      <c r="U1319" s="68"/>
      <c r="V1319" s="68"/>
      <c r="W1319" s="9"/>
      <c r="X1319" s="10"/>
      <c r="Y1319" s="71">
        <f t="shared" si="68"/>
        <v>13</v>
      </c>
      <c r="Z1319" s="73">
        <f t="shared" si="69"/>
        <v>23</v>
      </c>
      <c r="AA1319" s="11" t="str">
        <f t="shared" si="70"/>
        <v/>
      </c>
      <c r="AB1319" s="73">
        <f t="shared" si="71"/>
        <v>23</v>
      </c>
      <c r="AC1319" s="11" t="str">
        <f t="shared" si="72"/>
        <v/>
      </c>
      <c r="AD1319" s="73">
        <f t="shared" si="73"/>
        <v>10</v>
      </c>
      <c r="AE1319" s="11" t="str">
        <f t="shared" si="74"/>
        <v/>
      </c>
      <c r="AF1319" s="73">
        <f t="shared" si="75"/>
        <v>23.001318999999999</v>
      </c>
      <c r="AG1319" s="11" t="str">
        <f t="shared" si="76"/>
        <v/>
      </c>
      <c r="AH1319" s="73">
        <f t="shared" si="77"/>
        <v>10.001319000000001</v>
      </c>
    </row>
    <row r="1320" spans="1:34" ht="14.25" customHeight="1">
      <c r="A1320" s="11">
        <v>1305</v>
      </c>
      <c r="B1320" s="66" t="s">
        <v>35</v>
      </c>
      <c r="C1320" s="67"/>
      <c r="D1320" s="67">
        <v>46113</v>
      </c>
      <c r="E1320" s="67"/>
      <c r="F1320" s="67"/>
      <c r="G1320" s="67"/>
      <c r="H1320" s="67"/>
      <c r="I1320" s="6" t="s">
        <v>1939</v>
      </c>
      <c r="J1320" s="37">
        <v>7458700953</v>
      </c>
      <c r="K1320" s="68">
        <v>46112</v>
      </c>
      <c r="L1320" s="68" t="s">
        <v>230</v>
      </c>
      <c r="M1320" s="68">
        <v>46203</v>
      </c>
      <c r="N1320" s="69">
        <f t="shared" si="65"/>
        <v>4</v>
      </c>
      <c r="O1320" s="69">
        <f t="shared" si="66"/>
        <v>4</v>
      </c>
      <c r="P1320" s="70">
        <v>15</v>
      </c>
      <c r="Q1320" s="70"/>
      <c r="R1320" s="70">
        <v>19</v>
      </c>
      <c r="S1320" s="68" t="str">
        <f t="shared" si="67"/>
        <v/>
      </c>
      <c r="T1320" s="68"/>
      <c r="U1320" s="95"/>
      <c r="V1320" s="68"/>
      <c r="W1320" s="6"/>
      <c r="X1320" s="10"/>
      <c r="Y1320" s="71">
        <f t="shared" si="68"/>
        <v>15</v>
      </c>
      <c r="Z1320" s="73">
        <f t="shared" si="69"/>
        <v>19</v>
      </c>
      <c r="AA1320" s="73">
        <f t="shared" si="70"/>
        <v>4</v>
      </c>
      <c r="AB1320" s="11" t="str">
        <f t="shared" si="71"/>
        <v/>
      </c>
      <c r="AC1320" s="73">
        <f t="shared" si="72"/>
        <v>4</v>
      </c>
      <c r="AD1320" s="11" t="str">
        <f t="shared" si="73"/>
        <v/>
      </c>
      <c r="AE1320" s="73">
        <f t="shared" si="74"/>
        <v>4.0013199999999998</v>
      </c>
      <c r="AF1320" s="11" t="str">
        <f t="shared" si="75"/>
        <v/>
      </c>
      <c r="AG1320" s="73">
        <f t="shared" si="76"/>
        <v>4.0013199999999998</v>
      </c>
      <c r="AH1320" s="11" t="str">
        <f t="shared" si="77"/>
        <v/>
      </c>
    </row>
    <row r="1321" spans="1:34" ht="14.25" customHeight="1">
      <c r="A1321" s="11">
        <v>1306</v>
      </c>
      <c r="B1321" s="66"/>
      <c r="C1321" s="67"/>
      <c r="D1321" s="67"/>
      <c r="E1321" s="67"/>
      <c r="F1321" s="67"/>
      <c r="G1321" s="67" t="s">
        <v>35</v>
      </c>
      <c r="H1321" s="67">
        <v>44078</v>
      </c>
      <c r="I1321" s="6" t="s">
        <v>1940</v>
      </c>
      <c r="J1321" s="9">
        <v>7458801527</v>
      </c>
      <c r="K1321" s="68">
        <v>44074</v>
      </c>
      <c r="L1321" s="68">
        <v>46022</v>
      </c>
      <c r="M1321" s="68">
        <v>46203</v>
      </c>
      <c r="N1321" s="69">
        <f t="shared" si="65"/>
        <v>3</v>
      </c>
      <c r="O1321" s="69">
        <f t="shared" si="66"/>
        <v>-1</v>
      </c>
      <c r="P1321" s="70">
        <v>0</v>
      </c>
      <c r="Q1321" s="70">
        <v>4</v>
      </c>
      <c r="R1321" s="70">
        <v>3</v>
      </c>
      <c r="S1321" s="68" t="str">
        <f t="shared" si="67"/>
        <v/>
      </c>
      <c r="T1321" s="68"/>
      <c r="U1321" s="68"/>
      <c r="V1321" s="68"/>
      <c r="W1321" s="9"/>
      <c r="X1321" s="10"/>
      <c r="Y1321" s="71">
        <f t="shared" si="68"/>
        <v>4</v>
      </c>
      <c r="Z1321" s="73">
        <f t="shared" si="69"/>
        <v>3</v>
      </c>
      <c r="AA1321" s="11" t="str">
        <f t="shared" si="70"/>
        <v/>
      </c>
      <c r="AB1321" s="73">
        <f t="shared" si="71"/>
        <v>3</v>
      </c>
      <c r="AC1321" s="11" t="str">
        <f t="shared" si="72"/>
        <v/>
      </c>
      <c r="AD1321" s="73">
        <f t="shared" si="73"/>
        <v>-1</v>
      </c>
      <c r="AE1321" s="11" t="str">
        <f t="shared" si="74"/>
        <v/>
      </c>
      <c r="AF1321" s="73">
        <f t="shared" si="75"/>
        <v>3.0013209999999999</v>
      </c>
      <c r="AG1321" s="11" t="str">
        <f t="shared" si="76"/>
        <v/>
      </c>
      <c r="AH1321" s="73">
        <f t="shared" si="77"/>
        <v>-0.99867899999999998</v>
      </c>
    </row>
    <row r="1322" spans="1:34" ht="14.25" customHeight="1">
      <c r="A1322" s="11">
        <v>1307</v>
      </c>
      <c r="B1322" s="66"/>
      <c r="C1322" s="67"/>
      <c r="D1322" s="67"/>
      <c r="E1322" s="67"/>
      <c r="F1322" s="67"/>
      <c r="G1322" s="67" t="s">
        <v>35</v>
      </c>
      <c r="H1322" s="67">
        <v>45523</v>
      </c>
      <c r="I1322" s="6" t="s">
        <v>1941</v>
      </c>
      <c r="J1322" s="9">
        <v>7468802761</v>
      </c>
      <c r="K1322" s="68">
        <v>45504</v>
      </c>
      <c r="L1322" s="68">
        <v>46022</v>
      </c>
      <c r="M1322" s="68">
        <v>46203</v>
      </c>
      <c r="N1322" s="69">
        <f t="shared" si="65"/>
        <v>0</v>
      </c>
      <c r="O1322" s="69">
        <f t="shared" si="66"/>
        <v>-3</v>
      </c>
      <c r="P1322" s="70">
        <v>9</v>
      </c>
      <c r="Q1322" s="70">
        <v>12</v>
      </c>
      <c r="R1322" s="70">
        <v>9</v>
      </c>
      <c r="S1322" s="68" t="str">
        <f t="shared" si="67"/>
        <v/>
      </c>
      <c r="T1322" s="68"/>
      <c r="U1322" s="68"/>
      <c r="V1322" s="68"/>
      <c r="W1322" s="9"/>
      <c r="X1322" s="10"/>
      <c r="Y1322" s="71">
        <f t="shared" si="68"/>
        <v>12</v>
      </c>
      <c r="Z1322" s="73">
        <f t="shared" si="69"/>
        <v>9</v>
      </c>
      <c r="AA1322" s="11" t="str">
        <f t="shared" si="70"/>
        <v/>
      </c>
      <c r="AB1322" s="73">
        <f t="shared" si="71"/>
        <v>0</v>
      </c>
      <c r="AC1322" s="11" t="str">
        <f t="shared" si="72"/>
        <v/>
      </c>
      <c r="AD1322" s="73">
        <f t="shared" si="73"/>
        <v>-3</v>
      </c>
      <c r="AE1322" s="11" t="str">
        <f t="shared" si="74"/>
        <v/>
      </c>
      <c r="AF1322" s="73">
        <f t="shared" si="75"/>
        <v>1.322E-3</v>
      </c>
      <c r="AG1322" s="11" t="str">
        <f t="shared" si="76"/>
        <v/>
      </c>
      <c r="AH1322" s="73">
        <f t="shared" si="77"/>
        <v>-2.998678</v>
      </c>
    </row>
    <row r="1323" spans="1:34" ht="14.25" customHeight="1">
      <c r="A1323" s="11">
        <v>1308</v>
      </c>
      <c r="B1323" s="66"/>
      <c r="C1323" s="67"/>
      <c r="D1323" s="67"/>
      <c r="E1323" s="67"/>
      <c r="F1323" s="67"/>
      <c r="G1323" s="67" t="s">
        <v>35</v>
      </c>
      <c r="H1323" s="67">
        <v>45313</v>
      </c>
      <c r="I1323" s="6" t="s">
        <v>1942</v>
      </c>
      <c r="J1323" s="9">
        <v>7478103032</v>
      </c>
      <c r="K1323" s="68">
        <v>45291</v>
      </c>
      <c r="L1323" s="68">
        <v>46022</v>
      </c>
      <c r="M1323" s="68">
        <v>46203</v>
      </c>
      <c r="N1323" s="69">
        <f t="shared" si="65"/>
        <v>4</v>
      </c>
      <c r="O1323" s="69">
        <f t="shared" si="66"/>
        <v>0</v>
      </c>
      <c r="P1323" s="70">
        <v>4</v>
      </c>
      <c r="Q1323" s="70">
        <v>8</v>
      </c>
      <c r="R1323" s="70">
        <v>8</v>
      </c>
      <c r="S1323" s="68" t="str">
        <f t="shared" si="67"/>
        <v/>
      </c>
      <c r="T1323" s="68"/>
      <c r="U1323" s="68"/>
      <c r="V1323" s="68"/>
      <c r="W1323" s="9"/>
      <c r="X1323" s="10"/>
      <c r="Y1323" s="71">
        <f t="shared" si="68"/>
        <v>8</v>
      </c>
      <c r="Z1323" s="73">
        <f t="shared" si="69"/>
        <v>8</v>
      </c>
      <c r="AA1323" s="11" t="str">
        <f t="shared" si="70"/>
        <v/>
      </c>
      <c r="AB1323" s="73">
        <f t="shared" si="71"/>
        <v>4</v>
      </c>
      <c r="AC1323" s="11" t="str">
        <f t="shared" si="72"/>
        <v/>
      </c>
      <c r="AD1323" s="73">
        <f t="shared" si="73"/>
        <v>0</v>
      </c>
      <c r="AE1323" s="11" t="str">
        <f t="shared" si="74"/>
        <v/>
      </c>
      <c r="AF1323" s="73">
        <f t="shared" si="75"/>
        <v>4.0013230000000002</v>
      </c>
      <c r="AG1323" s="11" t="str">
        <f t="shared" si="76"/>
        <v/>
      </c>
      <c r="AH1323" s="73">
        <f t="shared" si="77"/>
        <v>1.323E-3</v>
      </c>
    </row>
    <row r="1324" spans="1:34" ht="14.25" customHeight="1">
      <c r="A1324" s="11">
        <v>1309</v>
      </c>
      <c r="B1324" s="66"/>
      <c r="C1324" s="67"/>
      <c r="D1324" s="67"/>
      <c r="E1324" s="67"/>
      <c r="F1324" s="67"/>
      <c r="G1324" s="67" t="s">
        <v>35</v>
      </c>
      <c r="H1324" s="67">
        <v>45862</v>
      </c>
      <c r="I1324" s="6" t="s">
        <v>1943</v>
      </c>
      <c r="J1324" s="94">
        <v>7498102761</v>
      </c>
      <c r="K1324" s="68">
        <v>45838</v>
      </c>
      <c r="L1324" s="68">
        <v>46022</v>
      </c>
      <c r="M1324" s="68">
        <v>46203</v>
      </c>
      <c r="N1324" s="69">
        <f t="shared" si="65"/>
        <v>7</v>
      </c>
      <c r="O1324" s="69">
        <f t="shared" si="66"/>
        <v>2</v>
      </c>
      <c r="P1324" s="123">
        <v>0</v>
      </c>
      <c r="Q1324" s="70">
        <v>5</v>
      </c>
      <c r="R1324" s="70">
        <v>7</v>
      </c>
      <c r="S1324" s="68" t="str">
        <f t="shared" si="67"/>
        <v/>
      </c>
      <c r="T1324" s="68"/>
      <c r="U1324" s="95"/>
      <c r="V1324" s="68"/>
      <c r="W1324" s="6"/>
      <c r="X1324" s="10"/>
      <c r="Y1324" s="71">
        <f t="shared" si="68"/>
        <v>5</v>
      </c>
      <c r="Z1324" s="73">
        <f t="shared" si="69"/>
        <v>7</v>
      </c>
      <c r="AA1324" s="11" t="str">
        <f t="shared" si="70"/>
        <v/>
      </c>
      <c r="AB1324" s="73">
        <f t="shared" si="71"/>
        <v>7</v>
      </c>
      <c r="AC1324" s="11" t="str">
        <f t="shared" si="72"/>
        <v/>
      </c>
      <c r="AD1324" s="73">
        <f t="shared" si="73"/>
        <v>2</v>
      </c>
      <c r="AE1324" s="11" t="str">
        <f t="shared" si="74"/>
        <v/>
      </c>
      <c r="AF1324" s="73">
        <f t="shared" si="75"/>
        <v>7.0013240000000003</v>
      </c>
      <c r="AG1324" s="11" t="str">
        <f t="shared" si="76"/>
        <v/>
      </c>
      <c r="AH1324" s="73">
        <f t="shared" si="77"/>
        <v>2.0013239999999999</v>
      </c>
    </row>
    <row r="1325" spans="1:34" ht="14.25" customHeight="1">
      <c r="A1325" s="11">
        <v>1310</v>
      </c>
      <c r="B1325" s="66"/>
      <c r="C1325" s="67"/>
      <c r="D1325" s="67"/>
      <c r="E1325" s="67"/>
      <c r="F1325" s="67"/>
      <c r="G1325" s="67" t="s">
        <v>35</v>
      </c>
      <c r="H1325" s="67">
        <v>45497</v>
      </c>
      <c r="I1325" s="6" t="s">
        <v>1944</v>
      </c>
      <c r="J1325" s="9">
        <v>7498602830</v>
      </c>
      <c r="K1325" s="68">
        <v>45473</v>
      </c>
      <c r="L1325" s="68">
        <v>46022</v>
      </c>
      <c r="M1325" s="68">
        <v>46203</v>
      </c>
      <c r="N1325" s="69">
        <f t="shared" si="65"/>
        <v>10</v>
      </c>
      <c r="O1325" s="69">
        <f t="shared" si="66"/>
        <v>0</v>
      </c>
      <c r="P1325" s="70">
        <v>10</v>
      </c>
      <c r="Q1325" s="70">
        <v>20</v>
      </c>
      <c r="R1325" s="70">
        <v>20</v>
      </c>
      <c r="S1325" s="68" t="str">
        <f t="shared" si="67"/>
        <v/>
      </c>
      <c r="T1325" s="68"/>
      <c r="U1325" s="68"/>
      <c r="V1325" s="68"/>
      <c r="W1325" s="9"/>
      <c r="X1325" s="10"/>
      <c r="Y1325" s="71">
        <f t="shared" si="68"/>
        <v>20</v>
      </c>
      <c r="Z1325" s="73">
        <f t="shared" si="69"/>
        <v>20</v>
      </c>
      <c r="AA1325" s="11" t="str">
        <f t="shared" si="70"/>
        <v/>
      </c>
      <c r="AB1325" s="73">
        <f t="shared" si="71"/>
        <v>10</v>
      </c>
      <c r="AC1325" s="11" t="str">
        <f t="shared" si="72"/>
        <v/>
      </c>
      <c r="AD1325" s="73">
        <f t="shared" si="73"/>
        <v>0</v>
      </c>
      <c r="AE1325" s="11" t="str">
        <f t="shared" si="74"/>
        <v/>
      </c>
      <c r="AF1325" s="73">
        <f t="shared" si="75"/>
        <v>10.001325</v>
      </c>
      <c r="AG1325" s="11" t="str">
        <f t="shared" si="76"/>
        <v/>
      </c>
      <c r="AH1325" s="73">
        <f t="shared" si="77"/>
        <v>1.325E-3</v>
      </c>
    </row>
    <row r="1326" spans="1:34" ht="14.25" customHeight="1">
      <c r="A1326" s="11">
        <v>1311</v>
      </c>
      <c r="B1326" s="66" t="s">
        <v>35</v>
      </c>
      <c r="C1326" s="67">
        <v>45352</v>
      </c>
      <c r="D1326" s="67"/>
      <c r="E1326" s="67"/>
      <c r="F1326" s="67"/>
      <c r="G1326" s="67"/>
      <c r="H1326" s="67"/>
      <c r="I1326" s="6" t="s">
        <v>1945</v>
      </c>
      <c r="J1326" s="9">
        <v>7498602956</v>
      </c>
      <c r="K1326" s="68">
        <v>45351</v>
      </c>
      <c r="L1326" s="68">
        <v>46022</v>
      </c>
      <c r="M1326" s="68">
        <v>46203</v>
      </c>
      <c r="N1326" s="69">
        <f t="shared" si="65"/>
        <v>-1</v>
      </c>
      <c r="O1326" s="69">
        <f t="shared" si="66"/>
        <v>-2</v>
      </c>
      <c r="P1326" s="70">
        <v>1</v>
      </c>
      <c r="Q1326" s="70">
        <v>2</v>
      </c>
      <c r="R1326" s="70">
        <v>0</v>
      </c>
      <c r="S1326" s="68" t="str">
        <f t="shared" si="67"/>
        <v/>
      </c>
      <c r="T1326" s="68"/>
      <c r="U1326" s="68"/>
      <c r="V1326" s="68"/>
      <c r="W1326" s="9"/>
      <c r="X1326" s="10"/>
      <c r="Y1326" s="71">
        <f t="shared" si="68"/>
        <v>2</v>
      </c>
      <c r="Z1326" s="73">
        <f t="shared" si="69"/>
        <v>0</v>
      </c>
      <c r="AA1326" s="73">
        <f t="shared" si="70"/>
        <v>-1</v>
      </c>
      <c r="AB1326" s="11" t="str">
        <f t="shared" si="71"/>
        <v/>
      </c>
      <c r="AC1326" s="73">
        <f t="shared" si="72"/>
        <v>-2</v>
      </c>
      <c r="AD1326" s="11" t="str">
        <f t="shared" si="73"/>
        <v/>
      </c>
      <c r="AE1326" s="73">
        <f t="shared" si="74"/>
        <v>-0.99867399999999995</v>
      </c>
      <c r="AF1326" s="11" t="str">
        <f t="shared" si="75"/>
        <v/>
      </c>
      <c r="AG1326" s="73">
        <f t="shared" si="76"/>
        <v>-1.9986740000000001</v>
      </c>
      <c r="AH1326" s="11" t="str">
        <f t="shared" si="77"/>
        <v/>
      </c>
    </row>
    <row r="1327" spans="1:34" ht="14.25" customHeight="1">
      <c r="A1327" s="11">
        <v>1312</v>
      </c>
      <c r="B1327" s="66"/>
      <c r="C1327" s="67"/>
      <c r="D1327" s="67"/>
      <c r="E1327" s="67"/>
      <c r="F1327" s="67"/>
      <c r="G1327" s="67" t="s">
        <v>35</v>
      </c>
      <c r="H1327" s="67">
        <v>45366</v>
      </c>
      <c r="I1327" s="6" t="s">
        <v>1946</v>
      </c>
      <c r="J1327" s="9">
        <v>7508802023</v>
      </c>
      <c r="K1327" s="68">
        <v>45351</v>
      </c>
      <c r="L1327" s="68">
        <v>46022</v>
      </c>
      <c r="M1327" s="68">
        <v>46203</v>
      </c>
      <c r="N1327" s="69">
        <f t="shared" si="65"/>
        <v>2</v>
      </c>
      <c r="O1327" s="69">
        <f t="shared" si="66"/>
        <v>1</v>
      </c>
      <c r="P1327" s="70">
        <v>4</v>
      </c>
      <c r="Q1327" s="70">
        <v>5</v>
      </c>
      <c r="R1327" s="70">
        <v>6</v>
      </c>
      <c r="S1327" s="68" t="str">
        <f t="shared" si="67"/>
        <v/>
      </c>
      <c r="T1327" s="68"/>
      <c r="U1327" s="68"/>
      <c r="V1327" s="68"/>
      <c r="W1327" s="9"/>
      <c r="X1327" s="10"/>
      <c r="Y1327" s="71">
        <f t="shared" si="68"/>
        <v>5</v>
      </c>
      <c r="Z1327" s="73">
        <f t="shared" si="69"/>
        <v>6</v>
      </c>
      <c r="AA1327" s="11" t="str">
        <f t="shared" si="70"/>
        <v/>
      </c>
      <c r="AB1327" s="73">
        <f t="shared" si="71"/>
        <v>2</v>
      </c>
      <c r="AC1327" s="11" t="str">
        <f t="shared" si="72"/>
        <v/>
      </c>
      <c r="AD1327" s="73">
        <f t="shared" si="73"/>
        <v>1</v>
      </c>
      <c r="AE1327" s="11" t="str">
        <f t="shared" si="74"/>
        <v/>
      </c>
      <c r="AF1327" s="73">
        <f t="shared" si="75"/>
        <v>2.0013269999999999</v>
      </c>
      <c r="AG1327" s="11" t="str">
        <f t="shared" si="76"/>
        <v/>
      </c>
      <c r="AH1327" s="73">
        <f t="shared" si="77"/>
        <v>1.0013270000000001</v>
      </c>
    </row>
    <row r="1328" spans="1:34" ht="14.25" customHeight="1">
      <c r="A1328" s="11">
        <v>1313</v>
      </c>
      <c r="B1328" s="66"/>
      <c r="C1328" s="67"/>
      <c r="D1328" s="67"/>
      <c r="E1328" s="67"/>
      <c r="F1328" s="67"/>
      <c r="G1328" s="67" t="s">
        <v>35</v>
      </c>
      <c r="H1328" s="67">
        <v>42941</v>
      </c>
      <c r="I1328" s="6" t="s">
        <v>1947</v>
      </c>
      <c r="J1328" s="9">
        <v>7518100830</v>
      </c>
      <c r="K1328" s="68">
        <v>42916</v>
      </c>
      <c r="L1328" s="68">
        <v>46022</v>
      </c>
      <c r="M1328" s="68">
        <v>46203</v>
      </c>
      <c r="N1328" s="69">
        <f t="shared" si="65"/>
        <v>3</v>
      </c>
      <c r="O1328" s="69">
        <f t="shared" si="66"/>
        <v>-5</v>
      </c>
      <c r="P1328" s="70">
        <v>6</v>
      </c>
      <c r="Q1328" s="70">
        <v>14</v>
      </c>
      <c r="R1328" s="70">
        <v>9</v>
      </c>
      <c r="S1328" s="68" t="str">
        <f t="shared" si="67"/>
        <v/>
      </c>
      <c r="T1328" s="68"/>
      <c r="U1328" s="68"/>
      <c r="V1328" s="68"/>
      <c r="W1328" s="9"/>
      <c r="X1328" s="10"/>
      <c r="Y1328" s="71">
        <f t="shared" si="68"/>
        <v>14</v>
      </c>
      <c r="Z1328" s="73">
        <f t="shared" si="69"/>
        <v>9</v>
      </c>
      <c r="AA1328" s="11" t="str">
        <f t="shared" si="70"/>
        <v/>
      </c>
      <c r="AB1328" s="73">
        <f t="shared" si="71"/>
        <v>3</v>
      </c>
      <c r="AC1328" s="11" t="str">
        <f t="shared" si="72"/>
        <v/>
      </c>
      <c r="AD1328" s="73">
        <f t="shared" si="73"/>
        <v>-5</v>
      </c>
      <c r="AE1328" s="11" t="str">
        <f t="shared" si="74"/>
        <v/>
      </c>
      <c r="AF1328" s="73">
        <f t="shared" si="75"/>
        <v>3.001328</v>
      </c>
      <c r="AG1328" s="11" t="str">
        <f t="shared" si="76"/>
        <v/>
      </c>
      <c r="AH1328" s="73">
        <f t="shared" si="77"/>
        <v>-4.998672</v>
      </c>
    </row>
    <row r="1329" spans="1:34" ht="14.25" customHeight="1">
      <c r="A1329" s="11">
        <v>1314</v>
      </c>
      <c r="B1329" s="66"/>
      <c r="C1329" s="67"/>
      <c r="D1329" s="67"/>
      <c r="E1329" s="67"/>
      <c r="F1329" s="67"/>
      <c r="G1329" s="67" t="s">
        <v>24</v>
      </c>
      <c r="H1329" s="67">
        <v>42674</v>
      </c>
      <c r="I1329" s="6" t="s">
        <v>1948</v>
      </c>
      <c r="J1329" s="9">
        <v>7518600311</v>
      </c>
      <c r="K1329" s="68">
        <v>42643</v>
      </c>
      <c r="L1329" s="68" t="s">
        <v>230</v>
      </c>
      <c r="M1329" s="68">
        <v>45291</v>
      </c>
      <c r="N1329" s="69">
        <f t="shared" si="65"/>
        <v>-5</v>
      </c>
      <c r="O1329" s="69" t="str">
        <f t="shared" si="66"/>
        <v>N/A</v>
      </c>
      <c r="P1329" s="70">
        <v>5</v>
      </c>
      <c r="Q1329" s="70"/>
      <c r="R1329" s="70">
        <v>0</v>
      </c>
      <c r="S1329" s="68">
        <f t="shared" si="67"/>
        <v>45291</v>
      </c>
      <c r="T1329" s="68">
        <v>45291</v>
      </c>
      <c r="U1329" s="68"/>
      <c r="V1329" s="68"/>
      <c r="W1329" s="9"/>
      <c r="X1329" s="10"/>
      <c r="Y1329" s="65" t="str">
        <f t="shared" si="68"/>
        <v/>
      </c>
      <c r="Z1329" s="11" t="str">
        <f t="shared" si="69"/>
        <v/>
      </c>
      <c r="AA1329" s="11" t="str">
        <f t="shared" si="70"/>
        <v/>
      </c>
      <c r="AB1329" s="73">
        <f t="shared" si="71"/>
        <v>-5</v>
      </c>
      <c r="AC1329" s="11" t="str">
        <f t="shared" si="72"/>
        <v/>
      </c>
      <c r="AD1329" s="11" t="str">
        <f t="shared" si="73"/>
        <v/>
      </c>
      <c r="AE1329" s="11" t="str">
        <f t="shared" si="74"/>
        <v/>
      </c>
      <c r="AF1329" s="73">
        <f t="shared" si="75"/>
        <v>-4.9986709999999999</v>
      </c>
      <c r="AG1329" s="11" t="str">
        <f t="shared" si="76"/>
        <v/>
      </c>
      <c r="AH1329" s="11" t="str">
        <f t="shared" si="77"/>
        <v/>
      </c>
    </row>
    <row r="1330" spans="1:34" ht="14.25" customHeight="1">
      <c r="A1330" s="11">
        <v>1315</v>
      </c>
      <c r="B1330" s="66"/>
      <c r="C1330" s="67"/>
      <c r="D1330" s="67"/>
      <c r="E1330" s="67"/>
      <c r="F1330" s="67"/>
      <c r="G1330" s="67" t="s">
        <v>35</v>
      </c>
      <c r="H1330" s="67">
        <v>45870</v>
      </c>
      <c r="I1330" s="6" t="s">
        <v>1949</v>
      </c>
      <c r="J1330" s="94">
        <v>7518801459</v>
      </c>
      <c r="K1330" s="68">
        <v>45869</v>
      </c>
      <c r="L1330" s="68">
        <v>46022</v>
      </c>
      <c r="M1330" s="68">
        <v>46203</v>
      </c>
      <c r="N1330" s="69">
        <f t="shared" si="65"/>
        <v>5</v>
      </c>
      <c r="O1330" s="69">
        <f t="shared" si="66"/>
        <v>4</v>
      </c>
      <c r="P1330" s="70">
        <v>4</v>
      </c>
      <c r="Q1330" s="70">
        <v>5</v>
      </c>
      <c r="R1330" s="70">
        <v>9</v>
      </c>
      <c r="S1330" s="68" t="str">
        <f t="shared" si="67"/>
        <v/>
      </c>
      <c r="T1330" s="68"/>
      <c r="U1330" s="95"/>
      <c r="V1330" s="68"/>
      <c r="W1330" s="6"/>
      <c r="X1330" s="10"/>
      <c r="Y1330" s="71">
        <f t="shared" si="68"/>
        <v>5</v>
      </c>
      <c r="Z1330" s="73">
        <f t="shared" si="69"/>
        <v>9</v>
      </c>
      <c r="AA1330" s="11" t="str">
        <f t="shared" si="70"/>
        <v/>
      </c>
      <c r="AB1330" s="73">
        <f t="shared" si="71"/>
        <v>5</v>
      </c>
      <c r="AC1330" s="11" t="str">
        <f t="shared" si="72"/>
        <v/>
      </c>
      <c r="AD1330" s="73">
        <f t="shared" si="73"/>
        <v>4</v>
      </c>
      <c r="AE1330" s="11" t="str">
        <f t="shared" si="74"/>
        <v/>
      </c>
      <c r="AF1330" s="73">
        <f t="shared" si="75"/>
        <v>5.0013300000000003</v>
      </c>
      <c r="AG1330" s="11" t="str">
        <f t="shared" si="76"/>
        <v/>
      </c>
      <c r="AH1330" s="73">
        <f t="shared" si="77"/>
        <v>4.0013300000000003</v>
      </c>
    </row>
    <row r="1331" spans="1:34" ht="14.25" customHeight="1">
      <c r="A1331" s="11">
        <v>1316</v>
      </c>
      <c r="B1331" s="66" t="s">
        <v>35</v>
      </c>
      <c r="C1331" s="67">
        <v>44123</v>
      </c>
      <c r="D1331" s="67">
        <v>44277</v>
      </c>
      <c r="E1331" s="67"/>
      <c r="F1331" s="67"/>
      <c r="G1331" s="67"/>
      <c r="H1331" s="67"/>
      <c r="I1331" s="6" t="s">
        <v>1950</v>
      </c>
      <c r="J1331" s="9">
        <v>7528101695</v>
      </c>
      <c r="K1331" s="68">
        <v>44104</v>
      </c>
      <c r="L1331" s="68">
        <v>46022</v>
      </c>
      <c r="M1331" s="68">
        <v>46203</v>
      </c>
      <c r="N1331" s="69">
        <f t="shared" si="65"/>
        <v>38</v>
      </c>
      <c r="O1331" s="69">
        <f t="shared" si="66"/>
        <v>-1</v>
      </c>
      <c r="P1331" s="70">
        <v>3</v>
      </c>
      <c r="Q1331" s="70">
        <v>42</v>
      </c>
      <c r="R1331" s="70">
        <v>41</v>
      </c>
      <c r="S1331" s="68" t="str">
        <f t="shared" si="67"/>
        <v/>
      </c>
      <c r="T1331" s="68"/>
      <c r="U1331" s="68"/>
      <c r="V1331" s="68"/>
      <c r="W1331" s="9"/>
      <c r="X1331" s="10"/>
      <c r="Y1331" s="71">
        <f t="shared" si="68"/>
        <v>42</v>
      </c>
      <c r="Z1331" s="73">
        <f t="shared" si="69"/>
        <v>41</v>
      </c>
      <c r="AA1331" s="73">
        <f t="shared" si="70"/>
        <v>38</v>
      </c>
      <c r="AB1331" s="11" t="str">
        <f t="shared" si="71"/>
        <v/>
      </c>
      <c r="AC1331" s="73">
        <f t="shared" si="72"/>
        <v>-1</v>
      </c>
      <c r="AD1331" s="11" t="str">
        <f t="shared" si="73"/>
        <v/>
      </c>
      <c r="AE1331" s="73">
        <f t="shared" si="74"/>
        <v>38.001331</v>
      </c>
      <c r="AF1331" s="11" t="str">
        <f t="shared" si="75"/>
        <v/>
      </c>
      <c r="AG1331" s="73">
        <f t="shared" si="76"/>
        <v>-0.99866900000000003</v>
      </c>
      <c r="AH1331" s="11" t="str">
        <f t="shared" si="77"/>
        <v/>
      </c>
    </row>
    <row r="1332" spans="1:34" ht="14.25" customHeight="1">
      <c r="A1332" s="11">
        <v>1317</v>
      </c>
      <c r="B1332" s="66" t="s">
        <v>35</v>
      </c>
      <c r="C1332" s="67">
        <v>44004</v>
      </c>
      <c r="D1332" s="67"/>
      <c r="E1332" s="67"/>
      <c r="F1332" s="67"/>
      <c r="G1332" s="67"/>
      <c r="H1332" s="67"/>
      <c r="I1332" s="6" t="s">
        <v>1951</v>
      </c>
      <c r="J1332" s="9">
        <v>7528600916</v>
      </c>
      <c r="K1332" s="68">
        <v>43982</v>
      </c>
      <c r="L1332" s="68">
        <v>46022</v>
      </c>
      <c r="M1332" s="68">
        <v>46203</v>
      </c>
      <c r="N1332" s="69">
        <f t="shared" si="65"/>
        <v>-2</v>
      </c>
      <c r="O1332" s="69">
        <f t="shared" si="66"/>
        <v>0</v>
      </c>
      <c r="P1332" s="70">
        <v>3</v>
      </c>
      <c r="Q1332" s="70">
        <v>1</v>
      </c>
      <c r="R1332" s="70">
        <v>1</v>
      </c>
      <c r="S1332" s="68" t="str">
        <f t="shared" si="67"/>
        <v/>
      </c>
      <c r="T1332" s="68"/>
      <c r="U1332" s="68"/>
      <c r="V1332" s="68"/>
      <c r="W1332" s="9"/>
      <c r="X1332" s="10"/>
      <c r="Y1332" s="71">
        <f t="shared" si="68"/>
        <v>1</v>
      </c>
      <c r="Z1332" s="73">
        <f t="shared" si="69"/>
        <v>1</v>
      </c>
      <c r="AA1332" s="73">
        <f t="shared" si="70"/>
        <v>-2</v>
      </c>
      <c r="AB1332" s="11" t="str">
        <f t="shared" si="71"/>
        <v/>
      </c>
      <c r="AC1332" s="73">
        <f t="shared" si="72"/>
        <v>0</v>
      </c>
      <c r="AD1332" s="11" t="str">
        <f t="shared" si="73"/>
        <v/>
      </c>
      <c r="AE1332" s="73">
        <f t="shared" si="74"/>
        <v>-1.9986679999999999</v>
      </c>
      <c r="AF1332" s="11" t="str">
        <f t="shared" si="75"/>
        <v/>
      </c>
      <c r="AG1332" s="73">
        <f t="shared" si="76"/>
        <v>1.3320000000000001E-3</v>
      </c>
      <c r="AH1332" s="11" t="str">
        <f t="shared" si="77"/>
        <v/>
      </c>
    </row>
    <row r="1333" spans="1:34" ht="14.25" customHeight="1">
      <c r="A1333" s="11">
        <v>1318</v>
      </c>
      <c r="B1333" s="66"/>
      <c r="C1333" s="67"/>
      <c r="D1333" s="67"/>
      <c r="E1333" s="67"/>
      <c r="F1333" s="67"/>
      <c r="G1333" s="67" t="s">
        <v>35</v>
      </c>
      <c r="H1333" s="67">
        <v>44455</v>
      </c>
      <c r="I1333" s="6" t="s">
        <v>1952</v>
      </c>
      <c r="J1333" s="9">
        <v>7528601986</v>
      </c>
      <c r="K1333" s="68">
        <v>44439</v>
      </c>
      <c r="L1333" s="68">
        <v>46022</v>
      </c>
      <c r="M1333" s="68">
        <v>46203</v>
      </c>
      <c r="N1333" s="69">
        <f t="shared" si="65"/>
        <v>-11</v>
      </c>
      <c r="O1333" s="69">
        <f t="shared" si="66"/>
        <v>1</v>
      </c>
      <c r="P1333" s="70">
        <v>13</v>
      </c>
      <c r="Q1333" s="70">
        <v>1</v>
      </c>
      <c r="R1333" s="70">
        <v>2</v>
      </c>
      <c r="S1333" s="68" t="str">
        <f t="shared" si="67"/>
        <v/>
      </c>
      <c r="T1333" s="68"/>
      <c r="U1333" s="68"/>
      <c r="V1333" s="68"/>
      <c r="W1333" s="9"/>
      <c r="X1333" s="10"/>
      <c r="Y1333" s="71">
        <f t="shared" si="68"/>
        <v>1</v>
      </c>
      <c r="Z1333" s="73">
        <f t="shared" si="69"/>
        <v>2</v>
      </c>
      <c r="AA1333" s="11" t="str">
        <f t="shared" si="70"/>
        <v/>
      </c>
      <c r="AB1333" s="73">
        <f t="shared" si="71"/>
        <v>-11</v>
      </c>
      <c r="AC1333" s="11" t="str">
        <f t="shared" si="72"/>
        <v/>
      </c>
      <c r="AD1333" s="73">
        <f t="shared" si="73"/>
        <v>1</v>
      </c>
      <c r="AE1333" s="11" t="str">
        <f t="shared" si="74"/>
        <v/>
      </c>
      <c r="AF1333" s="73">
        <f t="shared" si="75"/>
        <v>-10.998666999999999</v>
      </c>
      <c r="AG1333" s="11" t="str">
        <f t="shared" si="76"/>
        <v/>
      </c>
      <c r="AH1333" s="73">
        <f t="shared" si="77"/>
        <v>1.001333</v>
      </c>
    </row>
    <row r="1334" spans="1:34" ht="14.25" customHeight="1">
      <c r="A1334" s="11">
        <v>1319</v>
      </c>
      <c r="B1334" s="66"/>
      <c r="C1334" s="67"/>
      <c r="D1334" s="67"/>
      <c r="E1334" s="67"/>
      <c r="F1334" s="67"/>
      <c r="G1334" s="67" t="s">
        <v>35</v>
      </c>
      <c r="H1334" s="67">
        <v>43560</v>
      </c>
      <c r="I1334" s="6" t="s">
        <v>1953</v>
      </c>
      <c r="J1334" s="9">
        <v>7528700835</v>
      </c>
      <c r="K1334" s="68">
        <v>43555</v>
      </c>
      <c r="L1334" s="68">
        <v>46022</v>
      </c>
      <c r="M1334" s="68">
        <v>46203</v>
      </c>
      <c r="N1334" s="69">
        <f t="shared" si="65"/>
        <v>-7</v>
      </c>
      <c r="O1334" s="69">
        <f t="shared" si="66"/>
        <v>-1</v>
      </c>
      <c r="P1334" s="70">
        <v>8</v>
      </c>
      <c r="Q1334" s="70">
        <v>2</v>
      </c>
      <c r="R1334" s="70">
        <v>1</v>
      </c>
      <c r="S1334" s="68" t="str">
        <f t="shared" si="67"/>
        <v/>
      </c>
      <c r="T1334" s="68"/>
      <c r="U1334" s="68"/>
      <c r="V1334" s="68"/>
      <c r="W1334" s="9"/>
      <c r="X1334" s="10"/>
      <c r="Y1334" s="71">
        <f t="shared" si="68"/>
        <v>2</v>
      </c>
      <c r="Z1334" s="73">
        <f t="shared" si="69"/>
        <v>1</v>
      </c>
      <c r="AA1334" s="11" t="str">
        <f t="shared" si="70"/>
        <v/>
      </c>
      <c r="AB1334" s="73">
        <f t="shared" si="71"/>
        <v>-7</v>
      </c>
      <c r="AC1334" s="11" t="str">
        <f t="shared" si="72"/>
        <v/>
      </c>
      <c r="AD1334" s="73">
        <f t="shared" si="73"/>
        <v>-1</v>
      </c>
      <c r="AE1334" s="11" t="str">
        <f t="shared" si="74"/>
        <v/>
      </c>
      <c r="AF1334" s="73">
        <f t="shared" si="75"/>
        <v>-6.9986660000000001</v>
      </c>
      <c r="AG1334" s="11" t="str">
        <f t="shared" si="76"/>
        <v/>
      </c>
      <c r="AH1334" s="73">
        <f t="shared" si="77"/>
        <v>-0.99866600000000005</v>
      </c>
    </row>
    <row r="1335" spans="1:34" ht="14.25" customHeight="1">
      <c r="A1335" s="11">
        <v>1320</v>
      </c>
      <c r="B1335" s="66"/>
      <c r="C1335" s="67"/>
      <c r="D1335" s="67"/>
      <c r="E1335" s="67"/>
      <c r="F1335" s="67"/>
      <c r="G1335" s="67" t="s">
        <v>35</v>
      </c>
      <c r="H1335" s="67">
        <v>42640</v>
      </c>
      <c r="I1335" s="6" t="s">
        <v>1954</v>
      </c>
      <c r="J1335" s="9">
        <v>7538800325</v>
      </c>
      <c r="K1335" s="68">
        <v>42613</v>
      </c>
      <c r="L1335" s="68">
        <v>46022</v>
      </c>
      <c r="M1335" s="68">
        <v>46203</v>
      </c>
      <c r="N1335" s="69">
        <f t="shared" si="65"/>
        <v>1</v>
      </c>
      <c r="O1335" s="69">
        <f t="shared" si="66"/>
        <v>0</v>
      </c>
      <c r="P1335" s="70">
        <v>2</v>
      </c>
      <c r="Q1335" s="70">
        <v>3</v>
      </c>
      <c r="R1335" s="70">
        <v>3</v>
      </c>
      <c r="S1335" s="68" t="str">
        <f t="shared" si="67"/>
        <v/>
      </c>
      <c r="T1335" s="68"/>
      <c r="U1335" s="68"/>
      <c r="V1335" s="68"/>
      <c r="W1335" s="9"/>
      <c r="X1335" s="10"/>
      <c r="Y1335" s="71">
        <f t="shared" si="68"/>
        <v>3</v>
      </c>
      <c r="Z1335" s="73">
        <f t="shared" si="69"/>
        <v>3</v>
      </c>
      <c r="AA1335" s="11" t="str">
        <f t="shared" si="70"/>
        <v/>
      </c>
      <c r="AB1335" s="73">
        <f t="shared" si="71"/>
        <v>1</v>
      </c>
      <c r="AC1335" s="11" t="str">
        <f t="shared" si="72"/>
        <v/>
      </c>
      <c r="AD1335" s="73">
        <f t="shared" si="73"/>
        <v>0</v>
      </c>
      <c r="AE1335" s="11" t="str">
        <f t="shared" si="74"/>
        <v/>
      </c>
      <c r="AF1335" s="73">
        <f t="shared" si="75"/>
        <v>1.0013350000000001</v>
      </c>
      <c r="AG1335" s="11" t="str">
        <f t="shared" si="76"/>
        <v/>
      </c>
      <c r="AH1335" s="73">
        <f t="shared" si="77"/>
        <v>1.335E-3</v>
      </c>
    </row>
    <row r="1336" spans="1:34" ht="14.25" customHeight="1">
      <c r="A1336" s="11">
        <v>1321</v>
      </c>
      <c r="B1336" s="66"/>
      <c r="C1336" s="67"/>
      <c r="D1336" s="67"/>
      <c r="E1336" s="67"/>
      <c r="F1336" s="67"/>
      <c r="G1336" s="67" t="s">
        <v>35</v>
      </c>
      <c r="H1336" s="67">
        <v>46022</v>
      </c>
      <c r="I1336" s="6" t="s">
        <v>1955</v>
      </c>
      <c r="J1336" s="94">
        <v>7538802435</v>
      </c>
      <c r="K1336" s="68">
        <v>45991</v>
      </c>
      <c r="L1336" s="68">
        <v>46022</v>
      </c>
      <c r="M1336" s="68">
        <v>46203</v>
      </c>
      <c r="N1336" s="69">
        <f t="shared" si="65"/>
        <v>-1</v>
      </c>
      <c r="O1336" s="69">
        <f t="shared" si="66"/>
        <v>0</v>
      </c>
      <c r="P1336" s="70">
        <v>20</v>
      </c>
      <c r="Q1336" s="70">
        <v>19</v>
      </c>
      <c r="R1336" s="70">
        <v>19</v>
      </c>
      <c r="S1336" s="68" t="str">
        <f t="shared" si="67"/>
        <v/>
      </c>
      <c r="T1336" s="68"/>
      <c r="U1336" s="95"/>
      <c r="V1336" s="68"/>
      <c r="W1336" s="6"/>
      <c r="X1336" s="10"/>
      <c r="Y1336" s="71">
        <f t="shared" si="68"/>
        <v>19</v>
      </c>
      <c r="Z1336" s="73">
        <f t="shared" si="69"/>
        <v>19</v>
      </c>
      <c r="AA1336" s="11" t="str">
        <f t="shared" si="70"/>
        <v/>
      </c>
      <c r="AB1336" s="73">
        <f t="shared" si="71"/>
        <v>-1</v>
      </c>
      <c r="AC1336" s="11" t="str">
        <f t="shared" si="72"/>
        <v/>
      </c>
      <c r="AD1336" s="73">
        <f t="shared" si="73"/>
        <v>0</v>
      </c>
      <c r="AE1336" s="11" t="str">
        <f t="shared" si="74"/>
        <v/>
      </c>
      <c r="AF1336" s="73">
        <f t="shared" si="75"/>
        <v>-0.998664</v>
      </c>
      <c r="AG1336" s="11" t="str">
        <f t="shared" si="76"/>
        <v/>
      </c>
      <c r="AH1336" s="73">
        <f t="shared" si="77"/>
        <v>1.3359999999999999E-3</v>
      </c>
    </row>
    <row r="1337" spans="1:34" ht="14.25" customHeight="1">
      <c r="A1337" s="11">
        <v>1322</v>
      </c>
      <c r="B1337" s="66" t="s">
        <v>24</v>
      </c>
      <c r="C1337" s="67"/>
      <c r="D1337" s="67">
        <v>42852</v>
      </c>
      <c r="E1337" s="67"/>
      <c r="F1337" s="67"/>
      <c r="G1337" s="67"/>
      <c r="H1337" s="67"/>
      <c r="I1337" s="6" t="s">
        <v>1956</v>
      </c>
      <c r="J1337" s="9">
        <v>7548600547</v>
      </c>
      <c r="K1337" s="68">
        <v>42825</v>
      </c>
      <c r="L1337" s="68" t="s">
        <v>230</v>
      </c>
      <c r="M1337" s="68">
        <v>43769</v>
      </c>
      <c r="N1337" s="69">
        <f t="shared" si="65"/>
        <v>-9</v>
      </c>
      <c r="O1337" s="69" t="str">
        <f t="shared" si="66"/>
        <v>N/A</v>
      </c>
      <c r="P1337" s="70">
        <v>9</v>
      </c>
      <c r="Q1337" s="70"/>
      <c r="R1337" s="70">
        <v>0</v>
      </c>
      <c r="S1337" s="68">
        <f t="shared" si="67"/>
        <v>43760</v>
      </c>
      <c r="T1337" s="68">
        <v>43760</v>
      </c>
      <c r="U1337" s="68">
        <v>43830</v>
      </c>
      <c r="V1337" s="92">
        <v>45560</v>
      </c>
      <c r="W1337" s="9"/>
      <c r="X1337" s="10"/>
      <c r="Y1337" s="65" t="str">
        <f t="shared" si="68"/>
        <v/>
      </c>
      <c r="Z1337" s="11" t="str">
        <f t="shared" si="69"/>
        <v/>
      </c>
      <c r="AA1337" s="73">
        <f t="shared" si="70"/>
        <v>-9</v>
      </c>
      <c r="AB1337" s="11" t="str">
        <f t="shared" si="71"/>
        <v/>
      </c>
      <c r="AC1337" s="11" t="str">
        <f t="shared" si="72"/>
        <v/>
      </c>
      <c r="AD1337" s="11" t="str">
        <f t="shared" si="73"/>
        <v/>
      </c>
      <c r="AE1337" s="73">
        <f t="shared" si="74"/>
        <v>-8.9986630000000005</v>
      </c>
      <c r="AF1337" s="11" t="str">
        <f t="shared" si="75"/>
        <v/>
      </c>
      <c r="AG1337" s="11" t="str">
        <f t="shared" si="76"/>
        <v/>
      </c>
      <c r="AH1337" s="11" t="str">
        <f t="shared" si="77"/>
        <v/>
      </c>
    </row>
    <row r="1338" spans="1:34" ht="14.25" customHeight="1">
      <c r="A1338" s="11">
        <v>1323</v>
      </c>
      <c r="B1338" s="66" t="s">
        <v>35</v>
      </c>
      <c r="C1338" s="67">
        <v>45931</v>
      </c>
      <c r="D1338" s="67">
        <v>46066</v>
      </c>
      <c r="E1338" s="67">
        <v>45944</v>
      </c>
      <c r="F1338" s="67"/>
      <c r="G1338" s="67"/>
      <c r="H1338" s="67"/>
      <c r="I1338" s="6" t="s">
        <v>1957</v>
      </c>
      <c r="J1338" s="9">
        <v>7548802030</v>
      </c>
      <c r="K1338" s="68">
        <v>45930</v>
      </c>
      <c r="L1338" s="68">
        <v>46022</v>
      </c>
      <c r="M1338" s="68">
        <v>46203</v>
      </c>
      <c r="N1338" s="69">
        <f t="shared" si="65"/>
        <v>5</v>
      </c>
      <c r="O1338" s="69">
        <f t="shared" si="66"/>
        <v>5</v>
      </c>
      <c r="P1338" s="70">
        <v>9</v>
      </c>
      <c r="Q1338" s="70">
        <v>9</v>
      </c>
      <c r="R1338" s="70">
        <v>14</v>
      </c>
      <c r="S1338" s="68" t="str">
        <f t="shared" si="67"/>
        <v/>
      </c>
      <c r="T1338" s="68"/>
      <c r="U1338" s="68"/>
      <c r="V1338" s="68"/>
      <c r="W1338" s="9"/>
      <c r="X1338" s="10"/>
      <c r="Y1338" s="71">
        <f t="shared" si="68"/>
        <v>9</v>
      </c>
      <c r="Z1338" s="73">
        <f t="shared" si="69"/>
        <v>14</v>
      </c>
      <c r="AA1338" s="73">
        <f t="shared" si="70"/>
        <v>5</v>
      </c>
      <c r="AB1338" s="11" t="str">
        <f t="shared" si="71"/>
        <v/>
      </c>
      <c r="AC1338" s="73">
        <f t="shared" si="72"/>
        <v>5</v>
      </c>
      <c r="AD1338" s="11" t="str">
        <f t="shared" si="73"/>
        <v/>
      </c>
      <c r="AE1338" s="73">
        <f t="shared" si="74"/>
        <v>5.0013379999999996</v>
      </c>
      <c r="AF1338" s="11" t="str">
        <f t="shared" si="75"/>
        <v/>
      </c>
      <c r="AG1338" s="73">
        <f t="shared" si="76"/>
        <v>5.0013379999999996</v>
      </c>
      <c r="AH1338" s="11" t="str">
        <f t="shared" si="77"/>
        <v/>
      </c>
    </row>
    <row r="1339" spans="1:34" ht="14.25" customHeight="1">
      <c r="A1339" s="11">
        <v>1324</v>
      </c>
      <c r="B1339" s="66"/>
      <c r="C1339" s="67"/>
      <c r="D1339" s="67"/>
      <c r="E1339" s="67"/>
      <c r="F1339" s="67"/>
      <c r="G1339" s="67" t="s">
        <v>35</v>
      </c>
      <c r="H1339" s="67">
        <v>45903</v>
      </c>
      <c r="I1339" s="6" t="s">
        <v>1958</v>
      </c>
      <c r="J1339" s="94">
        <v>7558603760</v>
      </c>
      <c r="K1339" s="68">
        <v>45900</v>
      </c>
      <c r="L1339" s="68">
        <v>46022</v>
      </c>
      <c r="M1339" s="68">
        <v>46203</v>
      </c>
      <c r="N1339" s="69">
        <f t="shared" si="65"/>
        <v>17</v>
      </c>
      <c r="O1339" s="69">
        <f t="shared" si="66"/>
        <v>12</v>
      </c>
      <c r="P1339" s="123">
        <v>0</v>
      </c>
      <c r="Q1339" s="70">
        <v>5</v>
      </c>
      <c r="R1339" s="70">
        <v>17</v>
      </c>
      <c r="S1339" s="68" t="str">
        <f t="shared" si="67"/>
        <v/>
      </c>
      <c r="T1339" s="68"/>
      <c r="U1339" s="95"/>
      <c r="V1339" s="68"/>
      <c r="W1339" s="6"/>
      <c r="X1339" s="10"/>
      <c r="Y1339" s="71">
        <f t="shared" si="68"/>
        <v>5</v>
      </c>
      <c r="Z1339" s="73">
        <f t="shared" si="69"/>
        <v>17</v>
      </c>
      <c r="AA1339" s="11" t="str">
        <f t="shared" si="70"/>
        <v/>
      </c>
      <c r="AB1339" s="73">
        <f t="shared" si="71"/>
        <v>17</v>
      </c>
      <c r="AC1339" s="11" t="str">
        <f t="shared" si="72"/>
        <v/>
      </c>
      <c r="AD1339" s="73">
        <f t="shared" si="73"/>
        <v>12</v>
      </c>
      <c r="AE1339" s="11" t="str">
        <f t="shared" si="74"/>
        <v/>
      </c>
      <c r="AF1339" s="73">
        <f t="shared" si="75"/>
        <v>17.001339000000002</v>
      </c>
      <c r="AG1339" s="11" t="str">
        <f t="shared" si="76"/>
        <v/>
      </c>
      <c r="AH1339" s="73">
        <f t="shared" si="77"/>
        <v>12.001339</v>
      </c>
    </row>
    <row r="1340" spans="1:34" ht="14.25" customHeight="1">
      <c r="A1340" s="11">
        <v>1325</v>
      </c>
      <c r="B1340" s="66"/>
      <c r="C1340" s="67"/>
      <c r="D1340" s="67"/>
      <c r="E1340" s="67"/>
      <c r="F1340" s="67"/>
      <c r="G1340" s="67" t="s">
        <v>35</v>
      </c>
      <c r="H1340" s="67">
        <v>44102</v>
      </c>
      <c r="I1340" s="6" t="s">
        <v>1959</v>
      </c>
      <c r="J1340" s="94">
        <v>7558700945</v>
      </c>
      <c r="K1340" s="68">
        <v>44074</v>
      </c>
      <c r="L1340" s="68">
        <v>46022</v>
      </c>
      <c r="M1340" s="68">
        <v>46203</v>
      </c>
      <c r="N1340" s="69">
        <f t="shared" si="65"/>
        <v>-3</v>
      </c>
      <c r="O1340" s="69">
        <f t="shared" si="66"/>
        <v>0</v>
      </c>
      <c r="P1340" s="78">
        <v>8</v>
      </c>
      <c r="Q1340" s="78">
        <v>5</v>
      </c>
      <c r="R1340" s="78">
        <v>5</v>
      </c>
      <c r="S1340" s="68" t="str">
        <f t="shared" si="67"/>
        <v/>
      </c>
      <c r="T1340" s="68"/>
      <c r="U1340" s="95"/>
      <c r="V1340" s="68"/>
      <c r="W1340" s="6"/>
      <c r="X1340" s="122" t="s">
        <v>807</v>
      </c>
      <c r="Y1340" s="71">
        <f t="shared" si="68"/>
        <v>5</v>
      </c>
      <c r="Z1340" s="73">
        <f t="shared" si="69"/>
        <v>5</v>
      </c>
      <c r="AA1340" s="11" t="str">
        <f t="shared" si="70"/>
        <v/>
      </c>
      <c r="AB1340" s="73">
        <f t="shared" si="71"/>
        <v>-3</v>
      </c>
      <c r="AC1340" s="11" t="str">
        <f t="shared" si="72"/>
        <v/>
      </c>
      <c r="AD1340" s="73">
        <f t="shared" si="73"/>
        <v>0</v>
      </c>
      <c r="AE1340" s="11" t="str">
        <f t="shared" si="74"/>
        <v/>
      </c>
      <c r="AF1340" s="73">
        <f t="shared" si="75"/>
        <v>-2.9986600000000001</v>
      </c>
      <c r="AG1340" s="11" t="str">
        <f t="shared" si="76"/>
        <v/>
      </c>
      <c r="AH1340" s="73">
        <f t="shared" si="77"/>
        <v>1.34E-3</v>
      </c>
    </row>
    <row r="1341" spans="1:34" ht="14.25" customHeight="1">
      <c r="A1341" s="11">
        <v>1326</v>
      </c>
      <c r="B1341" s="66"/>
      <c r="C1341" s="67"/>
      <c r="D1341" s="67"/>
      <c r="E1341" s="67"/>
      <c r="F1341" s="67"/>
      <c r="G1341" s="67" t="s">
        <v>35</v>
      </c>
      <c r="H1341" s="67">
        <v>43005</v>
      </c>
      <c r="I1341" s="6" t="s">
        <v>1960</v>
      </c>
      <c r="J1341" s="9">
        <v>7558800753</v>
      </c>
      <c r="K1341" s="68">
        <v>42978</v>
      </c>
      <c r="L1341" s="68">
        <v>46022</v>
      </c>
      <c r="M1341" s="68">
        <v>46203</v>
      </c>
      <c r="N1341" s="69">
        <f t="shared" si="65"/>
        <v>1</v>
      </c>
      <c r="O1341" s="69">
        <f t="shared" si="66"/>
        <v>0</v>
      </c>
      <c r="P1341" s="70">
        <v>0</v>
      </c>
      <c r="Q1341" s="70">
        <v>1</v>
      </c>
      <c r="R1341" s="70">
        <v>1</v>
      </c>
      <c r="S1341" s="68" t="str">
        <f t="shared" si="67"/>
        <v/>
      </c>
      <c r="T1341" s="68"/>
      <c r="U1341" s="68"/>
      <c r="V1341" s="68"/>
      <c r="W1341" s="9"/>
      <c r="X1341" s="10"/>
      <c r="Y1341" s="71">
        <f t="shared" si="68"/>
        <v>1</v>
      </c>
      <c r="Z1341" s="73">
        <f t="shared" si="69"/>
        <v>1</v>
      </c>
      <c r="AA1341" s="11" t="str">
        <f t="shared" si="70"/>
        <v/>
      </c>
      <c r="AB1341" s="73">
        <f t="shared" si="71"/>
        <v>1</v>
      </c>
      <c r="AC1341" s="11" t="str">
        <f t="shared" si="72"/>
        <v/>
      </c>
      <c r="AD1341" s="73">
        <f t="shared" si="73"/>
        <v>0</v>
      </c>
      <c r="AE1341" s="11" t="str">
        <f t="shared" si="74"/>
        <v/>
      </c>
      <c r="AF1341" s="73">
        <f t="shared" si="75"/>
        <v>1.001341</v>
      </c>
      <c r="AG1341" s="11" t="str">
        <f t="shared" si="76"/>
        <v/>
      </c>
      <c r="AH1341" s="73">
        <f t="shared" si="77"/>
        <v>1.341E-3</v>
      </c>
    </row>
    <row r="1342" spans="1:34" ht="14.25" customHeight="1">
      <c r="A1342" s="11">
        <v>1327</v>
      </c>
      <c r="B1342" s="66"/>
      <c r="C1342" s="67"/>
      <c r="D1342" s="67"/>
      <c r="E1342" s="67"/>
      <c r="F1342" s="67"/>
      <c r="G1342" s="67" t="s">
        <v>35</v>
      </c>
      <c r="H1342" s="67">
        <v>43412</v>
      </c>
      <c r="I1342" s="6" t="s">
        <v>1961</v>
      </c>
      <c r="J1342" s="9">
        <v>7568600029</v>
      </c>
      <c r="K1342" s="68">
        <v>43404</v>
      </c>
      <c r="L1342" s="68">
        <v>46022</v>
      </c>
      <c r="M1342" s="68">
        <v>46203</v>
      </c>
      <c r="N1342" s="69">
        <f t="shared" si="65"/>
        <v>13</v>
      </c>
      <c r="O1342" s="69">
        <f t="shared" si="66"/>
        <v>3</v>
      </c>
      <c r="P1342" s="70">
        <v>30</v>
      </c>
      <c r="Q1342" s="70">
        <v>40</v>
      </c>
      <c r="R1342" s="70">
        <v>43</v>
      </c>
      <c r="S1342" s="68" t="str">
        <f t="shared" si="67"/>
        <v/>
      </c>
      <c r="T1342" s="68"/>
      <c r="U1342" s="68"/>
      <c r="V1342" s="68"/>
      <c r="W1342" s="9"/>
      <c r="X1342" s="10"/>
      <c r="Y1342" s="71">
        <f t="shared" si="68"/>
        <v>40</v>
      </c>
      <c r="Z1342" s="73">
        <f t="shared" si="69"/>
        <v>43</v>
      </c>
      <c r="AA1342" s="11" t="str">
        <f t="shared" si="70"/>
        <v/>
      </c>
      <c r="AB1342" s="73">
        <f t="shared" si="71"/>
        <v>13</v>
      </c>
      <c r="AC1342" s="11" t="str">
        <f t="shared" si="72"/>
        <v/>
      </c>
      <c r="AD1342" s="73">
        <f t="shared" si="73"/>
        <v>3</v>
      </c>
      <c r="AE1342" s="11" t="str">
        <f t="shared" si="74"/>
        <v/>
      </c>
      <c r="AF1342" s="73">
        <f t="shared" si="75"/>
        <v>13.001341999999999</v>
      </c>
      <c r="AG1342" s="11" t="str">
        <f t="shared" si="76"/>
        <v/>
      </c>
      <c r="AH1342" s="73">
        <f t="shared" si="77"/>
        <v>3.0013420000000002</v>
      </c>
    </row>
    <row r="1343" spans="1:34" ht="14.25" customHeight="1">
      <c r="A1343" s="11">
        <v>1328</v>
      </c>
      <c r="B1343" s="66"/>
      <c r="C1343" s="67"/>
      <c r="D1343" s="67"/>
      <c r="E1343" s="67"/>
      <c r="F1343" s="67"/>
      <c r="G1343" s="67" t="s">
        <v>35</v>
      </c>
      <c r="H1343" s="67">
        <v>43047</v>
      </c>
      <c r="I1343" s="6" t="s">
        <v>1962</v>
      </c>
      <c r="J1343" s="9">
        <v>7608100630</v>
      </c>
      <c r="K1343" s="68">
        <v>43039</v>
      </c>
      <c r="L1343" s="68">
        <v>46022</v>
      </c>
      <c r="M1343" s="68">
        <v>46203</v>
      </c>
      <c r="N1343" s="69">
        <f t="shared" si="65"/>
        <v>21</v>
      </c>
      <c r="O1343" s="69">
        <f t="shared" si="66"/>
        <v>0</v>
      </c>
      <c r="P1343" s="70">
        <v>5</v>
      </c>
      <c r="Q1343" s="70">
        <v>26</v>
      </c>
      <c r="R1343" s="70">
        <v>26</v>
      </c>
      <c r="S1343" s="68" t="str">
        <f t="shared" si="67"/>
        <v/>
      </c>
      <c r="T1343" s="68"/>
      <c r="U1343" s="68"/>
      <c r="V1343" s="68"/>
      <c r="W1343" s="9"/>
      <c r="X1343" s="10"/>
      <c r="Y1343" s="71">
        <f t="shared" si="68"/>
        <v>26</v>
      </c>
      <c r="Z1343" s="73">
        <f t="shared" si="69"/>
        <v>26</v>
      </c>
      <c r="AA1343" s="11" t="str">
        <f t="shared" si="70"/>
        <v/>
      </c>
      <c r="AB1343" s="73">
        <f t="shared" si="71"/>
        <v>21</v>
      </c>
      <c r="AC1343" s="11" t="str">
        <f t="shared" si="72"/>
        <v/>
      </c>
      <c r="AD1343" s="73">
        <f t="shared" si="73"/>
        <v>0</v>
      </c>
      <c r="AE1343" s="11" t="str">
        <f t="shared" si="74"/>
        <v/>
      </c>
      <c r="AF1343" s="73">
        <f t="shared" si="75"/>
        <v>21.001342999999999</v>
      </c>
      <c r="AG1343" s="11" t="str">
        <f t="shared" si="76"/>
        <v/>
      </c>
      <c r="AH1343" s="73">
        <f t="shared" si="77"/>
        <v>1.343E-3</v>
      </c>
    </row>
    <row r="1344" spans="1:34" ht="14.25" customHeight="1">
      <c r="A1344" s="11">
        <v>1329</v>
      </c>
      <c r="B1344" s="66"/>
      <c r="C1344" s="67"/>
      <c r="D1344" s="67"/>
      <c r="E1344" s="67"/>
      <c r="F1344" s="67"/>
      <c r="G1344" s="67" t="s">
        <v>35</v>
      </c>
      <c r="H1344" s="67">
        <v>45086</v>
      </c>
      <c r="I1344" s="6" t="s">
        <v>1963</v>
      </c>
      <c r="J1344" s="9">
        <v>7608102318</v>
      </c>
      <c r="K1344" s="68">
        <v>45077</v>
      </c>
      <c r="L1344" s="68">
        <v>46022</v>
      </c>
      <c r="M1344" s="68">
        <v>46203</v>
      </c>
      <c r="N1344" s="69">
        <f t="shared" si="65"/>
        <v>5</v>
      </c>
      <c r="O1344" s="69">
        <f t="shared" si="66"/>
        <v>0</v>
      </c>
      <c r="P1344" s="70">
        <v>4</v>
      </c>
      <c r="Q1344" s="70">
        <v>9</v>
      </c>
      <c r="R1344" s="70">
        <v>9</v>
      </c>
      <c r="S1344" s="68" t="str">
        <f t="shared" si="67"/>
        <v/>
      </c>
      <c r="T1344" s="68"/>
      <c r="U1344" s="68"/>
      <c r="V1344" s="68"/>
      <c r="W1344" s="9"/>
      <c r="X1344" s="10"/>
      <c r="Y1344" s="71">
        <f t="shared" si="68"/>
        <v>9</v>
      </c>
      <c r="Z1344" s="73">
        <f t="shared" si="69"/>
        <v>9</v>
      </c>
      <c r="AA1344" s="11" t="str">
        <f t="shared" si="70"/>
        <v/>
      </c>
      <c r="AB1344" s="73">
        <f t="shared" si="71"/>
        <v>5</v>
      </c>
      <c r="AC1344" s="11" t="str">
        <f t="shared" si="72"/>
        <v/>
      </c>
      <c r="AD1344" s="73">
        <f t="shared" si="73"/>
        <v>0</v>
      </c>
      <c r="AE1344" s="11" t="str">
        <f t="shared" si="74"/>
        <v/>
      </c>
      <c r="AF1344" s="73">
        <f t="shared" si="75"/>
        <v>5.0013439999999996</v>
      </c>
      <c r="AG1344" s="11" t="str">
        <f t="shared" si="76"/>
        <v/>
      </c>
      <c r="AH1344" s="73">
        <f t="shared" si="77"/>
        <v>1.3439999999999999E-3</v>
      </c>
    </row>
    <row r="1345" spans="1:34" ht="14.25" customHeight="1">
      <c r="A1345" s="11">
        <v>1330</v>
      </c>
      <c r="B1345" s="66" t="s">
        <v>35</v>
      </c>
      <c r="C1345" s="67">
        <v>45444</v>
      </c>
      <c r="D1345" s="67"/>
      <c r="E1345" s="67"/>
      <c r="F1345" s="67"/>
      <c r="G1345" s="67"/>
      <c r="H1345" s="67"/>
      <c r="I1345" s="6" t="s">
        <v>1964</v>
      </c>
      <c r="J1345" s="9">
        <v>7608702737</v>
      </c>
      <c r="K1345" s="68">
        <v>45443</v>
      </c>
      <c r="L1345" s="68">
        <v>46022</v>
      </c>
      <c r="M1345" s="68">
        <v>46203</v>
      </c>
      <c r="N1345" s="69">
        <f t="shared" si="65"/>
        <v>2</v>
      </c>
      <c r="O1345" s="69">
        <f t="shared" si="66"/>
        <v>0</v>
      </c>
      <c r="P1345" s="70">
        <v>7</v>
      </c>
      <c r="Q1345" s="70">
        <v>9</v>
      </c>
      <c r="R1345" s="70">
        <v>9</v>
      </c>
      <c r="S1345" s="68" t="str">
        <f t="shared" si="67"/>
        <v/>
      </c>
      <c r="T1345" s="68"/>
      <c r="U1345" s="68"/>
      <c r="V1345" s="68"/>
      <c r="W1345" s="9"/>
      <c r="X1345" s="10"/>
      <c r="Y1345" s="71">
        <f t="shared" si="68"/>
        <v>9</v>
      </c>
      <c r="Z1345" s="73">
        <f t="shared" si="69"/>
        <v>9</v>
      </c>
      <c r="AA1345" s="73">
        <f t="shared" si="70"/>
        <v>2</v>
      </c>
      <c r="AB1345" s="11" t="str">
        <f t="shared" si="71"/>
        <v/>
      </c>
      <c r="AC1345" s="73">
        <f t="shared" si="72"/>
        <v>0</v>
      </c>
      <c r="AD1345" s="11" t="str">
        <f t="shared" si="73"/>
        <v/>
      </c>
      <c r="AE1345" s="73">
        <f t="shared" si="74"/>
        <v>2.0013450000000002</v>
      </c>
      <c r="AF1345" s="11" t="str">
        <f t="shared" si="75"/>
        <v/>
      </c>
      <c r="AG1345" s="73">
        <f t="shared" si="76"/>
        <v>1.3450000000000001E-3</v>
      </c>
      <c r="AH1345" s="11" t="str">
        <f t="shared" si="77"/>
        <v/>
      </c>
    </row>
    <row r="1346" spans="1:34" ht="14.25" customHeight="1">
      <c r="A1346" s="11">
        <v>1331</v>
      </c>
      <c r="B1346" s="66" t="s">
        <v>35</v>
      </c>
      <c r="C1346" s="67">
        <v>46023</v>
      </c>
      <c r="D1346" s="67"/>
      <c r="E1346" s="67"/>
      <c r="F1346" s="67"/>
      <c r="G1346" s="67" t="s">
        <v>35</v>
      </c>
      <c r="H1346" s="67">
        <v>45441</v>
      </c>
      <c r="I1346" s="6" t="s">
        <v>1965</v>
      </c>
      <c r="J1346" s="9">
        <v>7618103149</v>
      </c>
      <c r="K1346" s="68">
        <v>45412</v>
      </c>
      <c r="L1346" s="68">
        <v>46022</v>
      </c>
      <c r="M1346" s="68">
        <v>46203</v>
      </c>
      <c r="N1346" s="69">
        <f t="shared" si="65"/>
        <v>5</v>
      </c>
      <c r="O1346" s="69">
        <f t="shared" si="66"/>
        <v>-2</v>
      </c>
      <c r="P1346" s="70">
        <v>5</v>
      </c>
      <c r="Q1346" s="70">
        <v>12</v>
      </c>
      <c r="R1346" s="70">
        <v>10</v>
      </c>
      <c r="S1346" s="68" t="str">
        <f t="shared" si="67"/>
        <v/>
      </c>
      <c r="T1346" s="68"/>
      <c r="U1346" s="68"/>
      <c r="V1346" s="68"/>
      <c r="W1346" s="9"/>
      <c r="X1346" s="10"/>
      <c r="Y1346" s="71">
        <f t="shared" si="68"/>
        <v>12</v>
      </c>
      <c r="Z1346" s="73">
        <f t="shared" si="69"/>
        <v>10</v>
      </c>
      <c r="AA1346" s="73">
        <f t="shared" si="70"/>
        <v>5</v>
      </c>
      <c r="AB1346" s="73">
        <f t="shared" si="71"/>
        <v>5</v>
      </c>
      <c r="AC1346" s="73">
        <f t="shared" si="72"/>
        <v>-2</v>
      </c>
      <c r="AD1346" s="73">
        <f t="shared" si="73"/>
        <v>-2</v>
      </c>
      <c r="AE1346" s="73">
        <f t="shared" si="74"/>
        <v>5.0013459999999998</v>
      </c>
      <c r="AF1346" s="73">
        <f t="shared" si="75"/>
        <v>5.0013459999999998</v>
      </c>
      <c r="AG1346" s="73">
        <f t="shared" si="76"/>
        <v>-1.9986539999999999</v>
      </c>
      <c r="AH1346" s="73">
        <f t="shared" si="77"/>
        <v>-1.9986539999999999</v>
      </c>
    </row>
    <row r="1347" spans="1:34" ht="14.25" customHeight="1">
      <c r="A1347" s="11">
        <v>1332</v>
      </c>
      <c r="B1347" s="66" t="s">
        <v>35</v>
      </c>
      <c r="C1347" s="67">
        <v>43636</v>
      </c>
      <c r="D1347" s="67"/>
      <c r="E1347" s="67"/>
      <c r="F1347" s="67"/>
      <c r="G1347" s="67"/>
      <c r="H1347" s="67"/>
      <c r="I1347" s="6" t="s">
        <v>1966</v>
      </c>
      <c r="J1347" s="9">
        <v>7618700071</v>
      </c>
      <c r="K1347" s="68">
        <v>43616</v>
      </c>
      <c r="L1347" s="68">
        <v>46022</v>
      </c>
      <c r="M1347" s="68">
        <v>46203</v>
      </c>
      <c r="N1347" s="69">
        <f t="shared" si="65"/>
        <v>1</v>
      </c>
      <c r="O1347" s="69">
        <f t="shared" si="66"/>
        <v>0</v>
      </c>
      <c r="P1347" s="70">
        <v>1</v>
      </c>
      <c r="Q1347" s="70">
        <v>2</v>
      </c>
      <c r="R1347" s="70">
        <v>2</v>
      </c>
      <c r="S1347" s="68" t="str">
        <f t="shared" si="67"/>
        <v/>
      </c>
      <c r="T1347" s="68"/>
      <c r="U1347" s="68"/>
      <c r="V1347" s="68"/>
      <c r="W1347" s="9"/>
      <c r="X1347" s="10"/>
      <c r="Y1347" s="71">
        <f t="shared" si="68"/>
        <v>2</v>
      </c>
      <c r="Z1347" s="73">
        <f t="shared" si="69"/>
        <v>2</v>
      </c>
      <c r="AA1347" s="73">
        <f t="shared" si="70"/>
        <v>1</v>
      </c>
      <c r="AB1347" s="11" t="str">
        <f t="shared" si="71"/>
        <v/>
      </c>
      <c r="AC1347" s="73">
        <f t="shared" si="72"/>
        <v>0</v>
      </c>
      <c r="AD1347" s="11" t="str">
        <f t="shared" si="73"/>
        <v/>
      </c>
      <c r="AE1347" s="73">
        <f t="shared" si="74"/>
        <v>1.001347</v>
      </c>
      <c r="AF1347" s="11" t="str">
        <f t="shared" si="75"/>
        <v/>
      </c>
      <c r="AG1347" s="73">
        <f t="shared" si="76"/>
        <v>1.3470000000000001E-3</v>
      </c>
      <c r="AH1347" s="11" t="str">
        <f t="shared" si="77"/>
        <v/>
      </c>
    </row>
    <row r="1348" spans="1:34" ht="14.25" customHeight="1">
      <c r="A1348" s="11">
        <v>1333</v>
      </c>
      <c r="B1348" s="66"/>
      <c r="C1348" s="67"/>
      <c r="D1348" s="67"/>
      <c r="E1348" s="67"/>
      <c r="F1348" s="67"/>
      <c r="G1348" s="67" t="s">
        <v>35</v>
      </c>
      <c r="H1348" s="67">
        <v>44883</v>
      </c>
      <c r="I1348" s="6" t="s">
        <v>1967</v>
      </c>
      <c r="J1348" s="9">
        <v>7628601998</v>
      </c>
      <c r="K1348" s="68">
        <v>44865</v>
      </c>
      <c r="L1348" s="68">
        <v>46022</v>
      </c>
      <c r="M1348" s="68">
        <v>46203</v>
      </c>
      <c r="N1348" s="69">
        <f t="shared" si="65"/>
        <v>-2</v>
      </c>
      <c r="O1348" s="69">
        <f t="shared" si="66"/>
        <v>0</v>
      </c>
      <c r="P1348" s="70">
        <v>11</v>
      </c>
      <c r="Q1348" s="70">
        <v>9</v>
      </c>
      <c r="R1348" s="70">
        <v>9</v>
      </c>
      <c r="S1348" s="68" t="str">
        <f t="shared" si="67"/>
        <v/>
      </c>
      <c r="T1348" s="68"/>
      <c r="U1348" s="68"/>
      <c r="V1348" s="68"/>
      <c r="W1348" s="9"/>
      <c r="X1348" s="10"/>
      <c r="Y1348" s="71">
        <f t="shared" si="68"/>
        <v>9</v>
      </c>
      <c r="Z1348" s="73">
        <f t="shared" si="69"/>
        <v>9</v>
      </c>
      <c r="AA1348" s="11" t="str">
        <f t="shared" si="70"/>
        <v/>
      </c>
      <c r="AB1348" s="73">
        <f t="shared" si="71"/>
        <v>-2</v>
      </c>
      <c r="AC1348" s="11" t="str">
        <f t="shared" si="72"/>
        <v/>
      </c>
      <c r="AD1348" s="73">
        <f t="shared" si="73"/>
        <v>0</v>
      </c>
      <c r="AE1348" s="11" t="str">
        <f t="shared" si="74"/>
        <v/>
      </c>
      <c r="AF1348" s="73">
        <f t="shared" si="75"/>
        <v>-1.9986520000000001</v>
      </c>
      <c r="AG1348" s="11" t="str">
        <f t="shared" si="76"/>
        <v/>
      </c>
      <c r="AH1348" s="73">
        <f t="shared" si="77"/>
        <v>1.348E-3</v>
      </c>
    </row>
    <row r="1349" spans="1:34" ht="14.25" customHeight="1">
      <c r="A1349" s="11">
        <v>1334</v>
      </c>
      <c r="B1349" s="66"/>
      <c r="C1349" s="67"/>
      <c r="D1349" s="67"/>
      <c r="E1349" s="67"/>
      <c r="F1349" s="67"/>
      <c r="G1349" s="67" t="s">
        <v>35</v>
      </c>
      <c r="H1349" s="67">
        <v>45260</v>
      </c>
      <c r="I1349" s="6" t="s">
        <v>1968</v>
      </c>
      <c r="J1349" s="9">
        <v>7628801842</v>
      </c>
      <c r="K1349" s="68">
        <v>45230</v>
      </c>
      <c r="L1349" s="68">
        <v>46022</v>
      </c>
      <c r="M1349" s="68">
        <v>46203</v>
      </c>
      <c r="N1349" s="69">
        <f t="shared" si="65"/>
        <v>3</v>
      </c>
      <c r="O1349" s="69">
        <f t="shared" si="66"/>
        <v>-2</v>
      </c>
      <c r="P1349" s="70">
        <v>12</v>
      </c>
      <c r="Q1349" s="70">
        <v>17</v>
      </c>
      <c r="R1349" s="70">
        <v>15</v>
      </c>
      <c r="S1349" s="68" t="str">
        <f t="shared" si="67"/>
        <v/>
      </c>
      <c r="T1349" s="68"/>
      <c r="U1349" s="68"/>
      <c r="V1349" s="68"/>
      <c r="W1349" s="9"/>
      <c r="X1349" s="10"/>
      <c r="Y1349" s="71">
        <f t="shared" si="68"/>
        <v>17</v>
      </c>
      <c r="Z1349" s="73">
        <f t="shared" si="69"/>
        <v>15</v>
      </c>
      <c r="AA1349" s="11" t="str">
        <f t="shared" si="70"/>
        <v/>
      </c>
      <c r="AB1349" s="73">
        <f t="shared" si="71"/>
        <v>3</v>
      </c>
      <c r="AC1349" s="11" t="str">
        <f t="shared" si="72"/>
        <v/>
      </c>
      <c r="AD1349" s="73">
        <f t="shared" si="73"/>
        <v>-2</v>
      </c>
      <c r="AE1349" s="11" t="str">
        <f t="shared" si="74"/>
        <v/>
      </c>
      <c r="AF1349" s="73">
        <f t="shared" si="75"/>
        <v>3.0013489999999998</v>
      </c>
      <c r="AG1349" s="11" t="str">
        <f t="shared" si="76"/>
        <v/>
      </c>
      <c r="AH1349" s="73">
        <f t="shared" si="77"/>
        <v>-1.998651</v>
      </c>
    </row>
    <row r="1350" spans="1:34" ht="14.25" customHeight="1">
      <c r="A1350" s="11">
        <v>1335</v>
      </c>
      <c r="B1350" s="66" t="s">
        <v>24</v>
      </c>
      <c r="C1350" s="67">
        <v>42202</v>
      </c>
      <c r="D1350" s="67"/>
      <c r="E1350" s="67"/>
      <c r="F1350" s="67"/>
      <c r="G1350" s="67"/>
      <c r="H1350" s="67"/>
      <c r="I1350" s="6" t="s">
        <v>1969</v>
      </c>
      <c r="J1350" s="9">
        <v>7638600236</v>
      </c>
      <c r="K1350" s="68">
        <v>42185</v>
      </c>
      <c r="L1350" s="68" t="s">
        <v>230</v>
      </c>
      <c r="M1350" s="68">
        <v>43921</v>
      </c>
      <c r="N1350" s="69">
        <f t="shared" si="65"/>
        <v>0</v>
      </c>
      <c r="O1350" s="69" t="str">
        <f t="shared" si="66"/>
        <v>N/A</v>
      </c>
      <c r="P1350" s="70">
        <v>0</v>
      </c>
      <c r="Q1350" s="70"/>
      <c r="R1350" s="70">
        <v>0</v>
      </c>
      <c r="S1350" s="68">
        <f t="shared" si="67"/>
        <v>43909</v>
      </c>
      <c r="T1350" s="68">
        <v>43909</v>
      </c>
      <c r="U1350" s="68"/>
      <c r="V1350" s="68"/>
      <c r="W1350" s="9"/>
      <c r="X1350" s="10"/>
      <c r="Y1350" s="65" t="str">
        <f t="shared" si="68"/>
        <v/>
      </c>
      <c r="Z1350" s="11" t="str">
        <f t="shared" si="69"/>
        <v/>
      </c>
      <c r="AA1350" s="73">
        <f t="shared" si="70"/>
        <v>0</v>
      </c>
      <c r="AB1350" s="11" t="str">
        <f t="shared" si="71"/>
        <v/>
      </c>
      <c r="AC1350" s="11" t="str">
        <f t="shared" si="72"/>
        <v/>
      </c>
      <c r="AD1350" s="11" t="str">
        <f t="shared" si="73"/>
        <v/>
      </c>
      <c r="AE1350" s="73">
        <f t="shared" si="74"/>
        <v>1.3500000000000001E-3</v>
      </c>
      <c r="AF1350" s="11" t="str">
        <f t="shared" si="75"/>
        <v/>
      </c>
      <c r="AG1350" s="11" t="str">
        <f t="shared" si="76"/>
        <v/>
      </c>
      <c r="AH1350" s="11" t="str">
        <f t="shared" si="77"/>
        <v/>
      </c>
    </row>
    <row r="1351" spans="1:34" ht="14.25" customHeight="1">
      <c r="A1351" s="11">
        <v>1336</v>
      </c>
      <c r="B1351" s="66"/>
      <c r="C1351" s="67"/>
      <c r="D1351" s="67"/>
      <c r="E1351" s="67"/>
      <c r="F1351" s="67"/>
      <c r="G1351" s="67" t="s">
        <v>35</v>
      </c>
      <c r="H1351" s="67">
        <v>45548</v>
      </c>
      <c r="I1351" s="6" t="s">
        <v>1970</v>
      </c>
      <c r="J1351" s="9">
        <v>7638601986</v>
      </c>
      <c r="K1351" s="68">
        <v>45535</v>
      </c>
      <c r="L1351" s="68">
        <v>46022</v>
      </c>
      <c r="M1351" s="68">
        <v>46203</v>
      </c>
      <c r="N1351" s="69">
        <f t="shared" si="65"/>
        <v>-5</v>
      </c>
      <c r="O1351" s="69">
        <f t="shared" si="66"/>
        <v>-1</v>
      </c>
      <c r="P1351" s="70">
        <v>47</v>
      </c>
      <c r="Q1351" s="70">
        <v>43</v>
      </c>
      <c r="R1351" s="70">
        <v>42</v>
      </c>
      <c r="S1351" s="68" t="str">
        <f t="shared" si="67"/>
        <v/>
      </c>
      <c r="T1351" s="68"/>
      <c r="U1351" s="68"/>
      <c r="V1351" s="68"/>
      <c r="W1351" s="9"/>
      <c r="X1351" s="10"/>
      <c r="Y1351" s="71">
        <f t="shared" si="68"/>
        <v>43</v>
      </c>
      <c r="Z1351" s="73">
        <f t="shared" si="69"/>
        <v>42</v>
      </c>
      <c r="AA1351" s="11" t="str">
        <f t="shared" si="70"/>
        <v/>
      </c>
      <c r="AB1351" s="73">
        <f t="shared" si="71"/>
        <v>-5</v>
      </c>
      <c r="AC1351" s="11" t="str">
        <f t="shared" si="72"/>
        <v/>
      </c>
      <c r="AD1351" s="73">
        <f t="shared" si="73"/>
        <v>-1</v>
      </c>
      <c r="AE1351" s="11" t="str">
        <f t="shared" si="74"/>
        <v/>
      </c>
      <c r="AF1351" s="73">
        <f t="shared" si="75"/>
        <v>-4.9986490000000003</v>
      </c>
      <c r="AG1351" s="11" t="str">
        <f t="shared" si="76"/>
        <v/>
      </c>
      <c r="AH1351" s="73">
        <f t="shared" si="77"/>
        <v>-0.99864900000000001</v>
      </c>
    </row>
    <row r="1352" spans="1:34" ht="14.25" customHeight="1">
      <c r="A1352" s="11">
        <v>1337</v>
      </c>
      <c r="B1352" s="66"/>
      <c r="C1352" s="67"/>
      <c r="D1352" s="67"/>
      <c r="E1352" s="67"/>
      <c r="F1352" s="67"/>
      <c r="G1352" s="67" t="s">
        <v>35</v>
      </c>
      <c r="H1352" s="67">
        <v>44767</v>
      </c>
      <c r="I1352" s="6" t="s">
        <v>1971</v>
      </c>
      <c r="J1352" s="94">
        <v>7638602122</v>
      </c>
      <c r="K1352" s="68">
        <v>44742</v>
      </c>
      <c r="L1352" s="68">
        <v>46022</v>
      </c>
      <c r="M1352" s="68">
        <v>46203</v>
      </c>
      <c r="N1352" s="69">
        <f t="shared" si="65"/>
        <v>7</v>
      </c>
      <c r="O1352" s="69">
        <f t="shared" si="66"/>
        <v>-2</v>
      </c>
      <c r="P1352" s="78">
        <v>9</v>
      </c>
      <c r="Q1352" s="78">
        <v>18</v>
      </c>
      <c r="R1352" s="78">
        <v>16</v>
      </c>
      <c r="S1352" s="68" t="str">
        <f t="shared" si="67"/>
        <v/>
      </c>
      <c r="T1352" s="68"/>
      <c r="U1352" s="95"/>
      <c r="V1352" s="68"/>
      <c r="W1352" s="6"/>
      <c r="X1352" s="10" t="s">
        <v>1972</v>
      </c>
      <c r="Y1352" s="71">
        <f t="shared" si="68"/>
        <v>18</v>
      </c>
      <c r="Z1352" s="73">
        <f t="shared" si="69"/>
        <v>16</v>
      </c>
      <c r="AA1352" s="11" t="str">
        <f t="shared" si="70"/>
        <v/>
      </c>
      <c r="AB1352" s="73">
        <f t="shared" si="71"/>
        <v>7</v>
      </c>
      <c r="AC1352" s="11" t="str">
        <f t="shared" si="72"/>
        <v/>
      </c>
      <c r="AD1352" s="73">
        <f t="shared" si="73"/>
        <v>-2</v>
      </c>
      <c r="AE1352" s="11" t="str">
        <f t="shared" si="74"/>
        <v/>
      </c>
      <c r="AF1352" s="73">
        <f t="shared" si="75"/>
        <v>7.0013519999999998</v>
      </c>
      <c r="AG1352" s="11" t="str">
        <f t="shared" si="76"/>
        <v/>
      </c>
      <c r="AH1352" s="73">
        <f t="shared" si="77"/>
        <v>-1.998648</v>
      </c>
    </row>
    <row r="1353" spans="1:34" ht="14.25" customHeight="1">
      <c r="A1353" s="11">
        <v>1338</v>
      </c>
      <c r="B1353" s="66"/>
      <c r="C1353" s="67"/>
      <c r="D1353" s="67"/>
      <c r="E1353" s="67"/>
      <c r="F1353" s="67"/>
      <c r="G1353" s="67" t="s">
        <v>35</v>
      </c>
      <c r="H1353" s="67">
        <v>45303</v>
      </c>
      <c r="I1353" s="6" t="s">
        <v>1973</v>
      </c>
      <c r="J1353" s="9">
        <v>7648802890</v>
      </c>
      <c r="K1353" s="68">
        <v>45291</v>
      </c>
      <c r="L1353" s="68">
        <v>46022</v>
      </c>
      <c r="M1353" s="68">
        <v>46203</v>
      </c>
      <c r="N1353" s="69">
        <f t="shared" si="65"/>
        <v>2</v>
      </c>
      <c r="O1353" s="69">
        <f t="shared" si="66"/>
        <v>4</v>
      </c>
      <c r="P1353" s="70">
        <v>5</v>
      </c>
      <c r="Q1353" s="70">
        <v>3</v>
      </c>
      <c r="R1353" s="70">
        <v>7</v>
      </c>
      <c r="S1353" s="68" t="str">
        <f t="shared" si="67"/>
        <v/>
      </c>
      <c r="T1353" s="68"/>
      <c r="U1353" s="68"/>
      <c r="V1353" s="68"/>
      <c r="W1353" s="9"/>
      <c r="X1353" s="10"/>
      <c r="Y1353" s="71">
        <f t="shared" si="68"/>
        <v>3</v>
      </c>
      <c r="Z1353" s="73">
        <f t="shared" si="69"/>
        <v>7</v>
      </c>
      <c r="AA1353" s="11" t="str">
        <f t="shared" si="70"/>
        <v/>
      </c>
      <c r="AB1353" s="73">
        <f t="shared" si="71"/>
        <v>2</v>
      </c>
      <c r="AC1353" s="11" t="str">
        <f t="shared" si="72"/>
        <v/>
      </c>
      <c r="AD1353" s="73">
        <f t="shared" si="73"/>
        <v>4</v>
      </c>
      <c r="AE1353" s="11" t="str">
        <f t="shared" si="74"/>
        <v/>
      </c>
      <c r="AF1353" s="73">
        <f t="shared" si="75"/>
        <v>2.0013529999999999</v>
      </c>
      <c r="AG1353" s="11" t="str">
        <f t="shared" si="76"/>
        <v/>
      </c>
      <c r="AH1353" s="73">
        <f t="shared" si="77"/>
        <v>4.0013529999999999</v>
      </c>
    </row>
    <row r="1354" spans="1:34" ht="14.25" customHeight="1">
      <c r="A1354" s="11">
        <v>1339</v>
      </c>
      <c r="B1354" s="66" t="s">
        <v>35</v>
      </c>
      <c r="C1354" s="67"/>
      <c r="D1354" s="67">
        <v>44762</v>
      </c>
      <c r="E1354" s="67"/>
      <c r="F1354" s="67"/>
      <c r="G1354" s="67" t="s">
        <v>35</v>
      </c>
      <c r="H1354" s="67">
        <v>44762</v>
      </c>
      <c r="I1354" s="6" t="s">
        <v>1974</v>
      </c>
      <c r="J1354" s="9">
        <v>7658102007</v>
      </c>
      <c r="K1354" s="68">
        <v>44742</v>
      </c>
      <c r="L1354" s="68">
        <v>46022</v>
      </c>
      <c r="M1354" s="68">
        <v>46203</v>
      </c>
      <c r="N1354" s="69">
        <f t="shared" si="65"/>
        <v>-5</v>
      </c>
      <c r="O1354" s="69">
        <f t="shared" si="66"/>
        <v>0</v>
      </c>
      <c r="P1354" s="70">
        <v>9</v>
      </c>
      <c r="Q1354" s="70">
        <v>4</v>
      </c>
      <c r="R1354" s="70">
        <v>4</v>
      </c>
      <c r="S1354" s="68" t="str">
        <f t="shared" si="67"/>
        <v/>
      </c>
      <c r="T1354" s="68"/>
      <c r="U1354" s="68"/>
      <c r="V1354" s="68"/>
      <c r="W1354" s="9"/>
      <c r="X1354" s="10"/>
      <c r="Y1354" s="71">
        <f t="shared" si="68"/>
        <v>4</v>
      </c>
      <c r="Z1354" s="73">
        <f t="shared" si="69"/>
        <v>4</v>
      </c>
      <c r="AA1354" s="73">
        <f t="shared" si="70"/>
        <v>-5</v>
      </c>
      <c r="AB1354" s="73">
        <f t="shared" si="71"/>
        <v>-5</v>
      </c>
      <c r="AC1354" s="73">
        <f t="shared" si="72"/>
        <v>0</v>
      </c>
      <c r="AD1354" s="73">
        <f t="shared" si="73"/>
        <v>0</v>
      </c>
      <c r="AE1354" s="73">
        <f t="shared" si="74"/>
        <v>-4.9986459999999999</v>
      </c>
      <c r="AF1354" s="73">
        <f t="shared" si="75"/>
        <v>-4.9986459999999999</v>
      </c>
      <c r="AG1354" s="73">
        <f t="shared" si="76"/>
        <v>1.354E-3</v>
      </c>
      <c r="AH1354" s="73">
        <f t="shared" si="77"/>
        <v>1.354E-3</v>
      </c>
    </row>
    <row r="1355" spans="1:34" ht="14.25" customHeight="1">
      <c r="A1355" s="11">
        <v>1340</v>
      </c>
      <c r="B1355" s="66"/>
      <c r="C1355" s="67"/>
      <c r="D1355" s="67"/>
      <c r="E1355" s="67"/>
      <c r="F1355" s="67"/>
      <c r="G1355" s="67" t="s">
        <v>35</v>
      </c>
      <c r="H1355" s="67">
        <v>43312</v>
      </c>
      <c r="I1355" s="6" t="s">
        <v>1975</v>
      </c>
      <c r="J1355" s="9">
        <v>7658600585</v>
      </c>
      <c r="K1355" s="68">
        <v>43281</v>
      </c>
      <c r="L1355" s="68">
        <v>46022</v>
      </c>
      <c r="M1355" s="68">
        <v>46203</v>
      </c>
      <c r="N1355" s="69">
        <f t="shared" si="65"/>
        <v>-4</v>
      </c>
      <c r="O1355" s="69">
        <f t="shared" si="66"/>
        <v>-7</v>
      </c>
      <c r="P1355" s="70">
        <v>7</v>
      </c>
      <c r="Q1355" s="70">
        <v>10</v>
      </c>
      <c r="R1355" s="70">
        <v>3</v>
      </c>
      <c r="S1355" s="68" t="str">
        <f t="shared" si="67"/>
        <v/>
      </c>
      <c r="T1355" s="68"/>
      <c r="U1355" s="68"/>
      <c r="V1355" s="68"/>
      <c r="W1355" s="9"/>
      <c r="X1355" s="10"/>
      <c r="Y1355" s="71">
        <f t="shared" si="68"/>
        <v>10</v>
      </c>
      <c r="Z1355" s="73">
        <f t="shared" si="69"/>
        <v>3</v>
      </c>
      <c r="AA1355" s="11" t="str">
        <f t="shared" si="70"/>
        <v/>
      </c>
      <c r="AB1355" s="73">
        <f t="shared" si="71"/>
        <v>-4</v>
      </c>
      <c r="AC1355" s="11" t="str">
        <f t="shared" si="72"/>
        <v/>
      </c>
      <c r="AD1355" s="73">
        <f t="shared" si="73"/>
        <v>-7</v>
      </c>
      <c r="AE1355" s="11" t="str">
        <f t="shared" si="74"/>
        <v/>
      </c>
      <c r="AF1355" s="73">
        <f t="shared" si="75"/>
        <v>-3.9986449999999998</v>
      </c>
      <c r="AG1355" s="11" t="str">
        <f t="shared" si="76"/>
        <v/>
      </c>
      <c r="AH1355" s="73">
        <f t="shared" si="77"/>
        <v>-6.9986449999999998</v>
      </c>
    </row>
    <row r="1356" spans="1:34" ht="14.25" customHeight="1">
      <c r="A1356" s="11">
        <v>1341</v>
      </c>
      <c r="B1356" s="66" t="s">
        <v>35</v>
      </c>
      <c r="C1356" s="67"/>
      <c r="D1356" s="67"/>
      <c r="E1356" s="67"/>
      <c r="F1356" s="67">
        <v>46184</v>
      </c>
      <c r="G1356" s="67"/>
      <c r="H1356" s="67"/>
      <c r="I1356" s="6" t="s">
        <v>1976</v>
      </c>
      <c r="J1356" s="37">
        <v>7658601847</v>
      </c>
      <c r="K1356" s="68">
        <v>46173</v>
      </c>
      <c r="L1356" s="68" t="s">
        <v>230</v>
      </c>
      <c r="M1356" s="68">
        <v>46203</v>
      </c>
      <c r="N1356" s="69">
        <f t="shared" si="65"/>
        <v>-2</v>
      </c>
      <c r="O1356" s="69">
        <f t="shared" si="66"/>
        <v>-2</v>
      </c>
      <c r="P1356" s="70">
        <v>22</v>
      </c>
      <c r="Q1356" s="70"/>
      <c r="R1356" s="70">
        <v>20</v>
      </c>
      <c r="S1356" s="68" t="str">
        <f t="shared" si="67"/>
        <v/>
      </c>
      <c r="T1356" s="68"/>
      <c r="U1356" s="95"/>
      <c r="V1356" s="68"/>
      <c r="W1356" s="6"/>
      <c r="X1356" s="93"/>
      <c r="Y1356" s="71">
        <f t="shared" si="68"/>
        <v>22</v>
      </c>
      <c r="Z1356" s="73">
        <f t="shared" si="69"/>
        <v>20</v>
      </c>
      <c r="AA1356" s="73">
        <f t="shared" si="70"/>
        <v>-2</v>
      </c>
      <c r="AB1356" s="11" t="str">
        <f t="shared" si="71"/>
        <v/>
      </c>
      <c r="AC1356" s="73">
        <f t="shared" si="72"/>
        <v>-2</v>
      </c>
      <c r="AD1356" s="11" t="str">
        <f t="shared" si="73"/>
        <v/>
      </c>
      <c r="AE1356" s="73">
        <f t="shared" si="74"/>
        <v>-1.9986440000000001</v>
      </c>
      <c r="AF1356" s="11" t="str">
        <f t="shared" si="75"/>
        <v/>
      </c>
      <c r="AG1356" s="73">
        <f t="shared" si="76"/>
        <v>-1.9986440000000001</v>
      </c>
      <c r="AH1356" s="11" t="str">
        <f t="shared" si="77"/>
        <v/>
      </c>
    </row>
    <row r="1357" spans="1:34" ht="14.25" customHeight="1">
      <c r="A1357" s="11">
        <v>1342</v>
      </c>
      <c r="B1357" s="66"/>
      <c r="C1357" s="67"/>
      <c r="D1357" s="67"/>
      <c r="E1357" s="67"/>
      <c r="F1357" s="67"/>
      <c r="G1357" s="67" t="s">
        <v>35</v>
      </c>
      <c r="H1357" s="67">
        <v>45282</v>
      </c>
      <c r="I1357" s="6" t="s">
        <v>1977</v>
      </c>
      <c r="J1357" s="9">
        <v>7658602899</v>
      </c>
      <c r="K1357" s="68">
        <v>45260</v>
      </c>
      <c r="L1357" s="68">
        <v>46022</v>
      </c>
      <c r="M1357" s="68">
        <v>46203</v>
      </c>
      <c r="N1357" s="69">
        <f t="shared" si="65"/>
        <v>3</v>
      </c>
      <c r="O1357" s="69">
        <f t="shared" si="66"/>
        <v>-1</v>
      </c>
      <c r="P1357" s="70">
        <v>0</v>
      </c>
      <c r="Q1357" s="70">
        <v>4</v>
      </c>
      <c r="R1357" s="70">
        <v>3</v>
      </c>
      <c r="S1357" s="68" t="str">
        <f t="shared" si="67"/>
        <v/>
      </c>
      <c r="T1357" s="68"/>
      <c r="U1357" s="68"/>
      <c r="V1357" s="68"/>
      <c r="W1357" s="9"/>
      <c r="X1357" s="10"/>
      <c r="Y1357" s="71">
        <f t="shared" si="68"/>
        <v>4</v>
      </c>
      <c r="Z1357" s="73">
        <f t="shared" si="69"/>
        <v>3</v>
      </c>
      <c r="AA1357" s="11" t="str">
        <f t="shared" si="70"/>
        <v/>
      </c>
      <c r="AB1357" s="73">
        <f t="shared" si="71"/>
        <v>3</v>
      </c>
      <c r="AC1357" s="11" t="str">
        <f t="shared" si="72"/>
        <v/>
      </c>
      <c r="AD1357" s="73">
        <f t="shared" si="73"/>
        <v>-1</v>
      </c>
      <c r="AE1357" s="11" t="str">
        <f t="shared" si="74"/>
        <v/>
      </c>
      <c r="AF1357" s="73">
        <f t="shared" si="75"/>
        <v>3.0013570000000001</v>
      </c>
      <c r="AG1357" s="11" t="str">
        <f t="shared" si="76"/>
        <v/>
      </c>
      <c r="AH1357" s="73">
        <f t="shared" si="77"/>
        <v>-0.99864299999999995</v>
      </c>
    </row>
    <row r="1358" spans="1:34" ht="14.25" customHeight="1">
      <c r="A1358" s="11">
        <v>1343</v>
      </c>
      <c r="B1358" s="66"/>
      <c r="C1358" s="67"/>
      <c r="D1358" s="67"/>
      <c r="E1358" s="67"/>
      <c r="F1358" s="67"/>
      <c r="G1358" s="67" t="s">
        <v>35</v>
      </c>
      <c r="H1358" s="67">
        <v>45492</v>
      </c>
      <c r="I1358" s="6" t="s">
        <v>1978</v>
      </c>
      <c r="J1358" s="9">
        <v>7658701505</v>
      </c>
      <c r="K1358" s="68">
        <v>45473</v>
      </c>
      <c r="L1358" s="68">
        <v>46022</v>
      </c>
      <c r="M1358" s="68">
        <v>46203</v>
      </c>
      <c r="N1358" s="69">
        <f t="shared" si="65"/>
        <v>0</v>
      </c>
      <c r="O1358" s="69">
        <f t="shared" si="66"/>
        <v>1</v>
      </c>
      <c r="P1358" s="70">
        <v>8</v>
      </c>
      <c r="Q1358" s="70">
        <v>7</v>
      </c>
      <c r="R1358" s="70">
        <v>8</v>
      </c>
      <c r="S1358" s="68" t="str">
        <f t="shared" si="67"/>
        <v/>
      </c>
      <c r="T1358" s="68"/>
      <c r="U1358" s="68"/>
      <c r="V1358" s="68"/>
      <c r="W1358" s="9"/>
      <c r="X1358" s="10"/>
      <c r="Y1358" s="71">
        <f t="shared" si="68"/>
        <v>7</v>
      </c>
      <c r="Z1358" s="73">
        <f t="shared" si="69"/>
        <v>8</v>
      </c>
      <c r="AA1358" s="11" t="str">
        <f t="shared" si="70"/>
        <v/>
      </c>
      <c r="AB1358" s="73">
        <f t="shared" si="71"/>
        <v>0</v>
      </c>
      <c r="AC1358" s="11" t="str">
        <f t="shared" si="72"/>
        <v/>
      </c>
      <c r="AD1358" s="73">
        <f t="shared" si="73"/>
        <v>1</v>
      </c>
      <c r="AE1358" s="11" t="str">
        <f t="shared" si="74"/>
        <v/>
      </c>
      <c r="AF1358" s="73">
        <f t="shared" si="75"/>
        <v>1.358E-3</v>
      </c>
      <c r="AG1358" s="11" t="str">
        <f t="shared" si="76"/>
        <v/>
      </c>
      <c r="AH1358" s="73">
        <f t="shared" si="77"/>
        <v>1.001358</v>
      </c>
    </row>
    <row r="1359" spans="1:34" ht="14.25" customHeight="1">
      <c r="A1359" s="11">
        <v>1344</v>
      </c>
      <c r="B1359" s="66"/>
      <c r="C1359" s="67"/>
      <c r="D1359" s="67"/>
      <c r="E1359" s="67"/>
      <c r="F1359" s="67"/>
      <c r="G1359" s="67" t="s">
        <v>35</v>
      </c>
      <c r="H1359" s="67">
        <v>43202</v>
      </c>
      <c r="I1359" s="6" t="s">
        <v>1979</v>
      </c>
      <c r="J1359" s="9">
        <v>7658800046</v>
      </c>
      <c r="K1359" s="68">
        <v>43190</v>
      </c>
      <c r="L1359" s="68">
        <v>46022</v>
      </c>
      <c r="M1359" s="68">
        <v>46203</v>
      </c>
      <c r="N1359" s="69">
        <f t="shared" si="65"/>
        <v>42</v>
      </c>
      <c r="O1359" s="69">
        <f t="shared" si="66"/>
        <v>6</v>
      </c>
      <c r="P1359" s="70">
        <v>32</v>
      </c>
      <c r="Q1359" s="70">
        <v>68</v>
      </c>
      <c r="R1359" s="70">
        <v>74</v>
      </c>
      <c r="S1359" s="68" t="str">
        <f t="shared" si="67"/>
        <v/>
      </c>
      <c r="T1359" s="68"/>
      <c r="U1359" s="68"/>
      <c r="V1359" s="68"/>
      <c r="W1359" s="9"/>
      <c r="X1359" s="10"/>
      <c r="Y1359" s="71">
        <f t="shared" si="68"/>
        <v>68</v>
      </c>
      <c r="Z1359" s="73">
        <f t="shared" si="69"/>
        <v>74</v>
      </c>
      <c r="AA1359" s="11" t="str">
        <f t="shared" si="70"/>
        <v/>
      </c>
      <c r="AB1359" s="73">
        <f t="shared" si="71"/>
        <v>42</v>
      </c>
      <c r="AC1359" s="11" t="str">
        <f t="shared" si="72"/>
        <v/>
      </c>
      <c r="AD1359" s="73">
        <f t="shared" si="73"/>
        <v>6</v>
      </c>
      <c r="AE1359" s="11" t="str">
        <f t="shared" si="74"/>
        <v/>
      </c>
      <c r="AF1359" s="73">
        <f t="shared" si="75"/>
        <v>42.001359000000001</v>
      </c>
      <c r="AG1359" s="11" t="str">
        <f t="shared" si="76"/>
        <v/>
      </c>
      <c r="AH1359" s="73">
        <f t="shared" si="77"/>
        <v>6.0013589999999999</v>
      </c>
    </row>
    <row r="1360" spans="1:34" ht="14.25" customHeight="1">
      <c r="A1360" s="11">
        <v>1345</v>
      </c>
      <c r="B1360" s="66"/>
      <c r="C1360" s="67"/>
      <c r="D1360" s="67"/>
      <c r="E1360" s="67"/>
      <c r="F1360" s="67"/>
      <c r="G1360" s="67" t="s">
        <v>283</v>
      </c>
      <c r="H1360" s="67">
        <v>44320</v>
      </c>
      <c r="I1360" s="6" t="s">
        <v>1980</v>
      </c>
      <c r="J1360" s="9">
        <v>7658802006</v>
      </c>
      <c r="K1360" s="68">
        <v>44316</v>
      </c>
      <c r="L1360" s="68" t="s">
        <v>230</v>
      </c>
      <c r="M1360" s="68">
        <v>45747</v>
      </c>
      <c r="N1360" s="69">
        <f t="shared" si="65"/>
        <v>10</v>
      </c>
      <c r="O1360" s="69" t="str">
        <f t="shared" si="66"/>
        <v>N/A</v>
      </c>
      <c r="P1360" s="70">
        <v>0</v>
      </c>
      <c r="Q1360" s="70"/>
      <c r="R1360" s="70">
        <v>10</v>
      </c>
      <c r="S1360" s="68">
        <f t="shared" si="67"/>
        <v>45721</v>
      </c>
      <c r="T1360" s="68"/>
      <c r="U1360" s="68"/>
      <c r="V1360" s="68"/>
      <c r="W1360" s="68">
        <v>45721</v>
      </c>
      <c r="X1360" s="10"/>
      <c r="Y1360" s="65" t="str">
        <f t="shared" si="68"/>
        <v/>
      </c>
      <c r="Z1360" s="11" t="str">
        <f t="shared" si="69"/>
        <v/>
      </c>
      <c r="AA1360" s="11" t="str">
        <f t="shared" si="70"/>
        <v/>
      </c>
      <c r="AB1360" s="73">
        <f t="shared" si="71"/>
        <v>10</v>
      </c>
      <c r="AC1360" s="11" t="str">
        <f t="shared" si="72"/>
        <v/>
      </c>
      <c r="AD1360" s="11" t="str">
        <f t="shared" si="73"/>
        <v/>
      </c>
      <c r="AE1360" s="11" t="str">
        <f t="shared" si="74"/>
        <v/>
      </c>
      <c r="AF1360" s="73">
        <f t="shared" si="75"/>
        <v>10.00136</v>
      </c>
      <c r="AG1360" s="11" t="str">
        <f t="shared" si="76"/>
        <v/>
      </c>
      <c r="AH1360" s="11" t="str">
        <f t="shared" si="77"/>
        <v/>
      </c>
    </row>
    <row r="1361" spans="1:34" ht="14.25" customHeight="1">
      <c r="A1361" s="11">
        <v>1346</v>
      </c>
      <c r="B1361" s="66" t="s">
        <v>35</v>
      </c>
      <c r="C1361" s="67">
        <v>45748</v>
      </c>
      <c r="D1361" s="67">
        <v>45609</v>
      </c>
      <c r="E1361" s="67">
        <v>45748</v>
      </c>
      <c r="F1361" s="67"/>
      <c r="G1361" s="67"/>
      <c r="H1361" s="67"/>
      <c r="I1361" s="6" t="s">
        <v>1981</v>
      </c>
      <c r="J1361" s="9">
        <v>7658802379</v>
      </c>
      <c r="K1361" s="68">
        <v>45596</v>
      </c>
      <c r="L1361" s="68">
        <v>46022</v>
      </c>
      <c r="M1361" s="68">
        <v>46203</v>
      </c>
      <c r="N1361" s="69">
        <f t="shared" si="65"/>
        <v>11</v>
      </c>
      <c r="O1361" s="69">
        <f t="shared" si="66"/>
        <v>-6</v>
      </c>
      <c r="P1361" s="70">
        <v>22</v>
      </c>
      <c r="Q1361" s="70">
        <v>39</v>
      </c>
      <c r="R1361" s="70">
        <v>33</v>
      </c>
      <c r="S1361" s="68" t="str">
        <f t="shared" si="67"/>
        <v/>
      </c>
      <c r="T1361" s="68"/>
      <c r="U1361" s="68"/>
      <c r="V1361" s="68"/>
      <c r="W1361" s="9"/>
      <c r="X1361" s="10"/>
      <c r="Y1361" s="71">
        <f t="shared" si="68"/>
        <v>39</v>
      </c>
      <c r="Z1361" s="73">
        <f t="shared" si="69"/>
        <v>33</v>
      </c>
      <c r="AA1361" s="73">
        <f t="shared" si="70"/>
        <v>11</v>
      </c>
      <c r="AB1361" s="11" t="str">
        <f t="shared" si="71"/>
        <v/>
      </c>
      <c r="AC1361" s="73">
        <f t="shared" si="72"/>
        <v>-6</v>
      </c>
      <c r="AD1361" s="11" t="str">
        <f t="shared" si="73"/>
        <v/>
      </c>
      <c r="AE1361" s="73">
        <f t="shared" si="74"/>
        <v>11.001360999999999</v>
      </c>
      <c r="AF1361" s="11" t="str">
        <f t="shared" si="75"/>
        <v/>
      </c>
      <c r="AG1361" s="73">
        <f t="shared" si="76"/>
        <v>-5.9986389999999998</v>
      </c>
      <c r="AH1361" s="11" t="str">
        <f t="shared" si="77"/>
        <v/>
      </c>
    </row>
    <row r="1362" spans="1:34" ht="14.25" customHeight="1">
      <c r="A1362" s="11">
        <v>1347</v>
      </c>
      <c r="B1362" s="66"/>
      <c r="C1362" s="67"/>
      <c r="D1362" s="67"/>
      <c r="E1362" s="67"/>
      <c r="F1362" s="67"/>
      <c r="G1362" s="67" t="s">
        <v>35</v>
      </c>
      <c r="H1362" s="67">
        <v>45590</v>
      </c>
      <c r="I1362" s="6" t="s">
        <v>1982</v>
      </c>
      <c r="J1362" s="9">
        <v>7668102617</v>
      </c>
      <c r="K1362" s="68">
        <v>45565</v>
      </c>
      <c r="L1362" s="68">
        <v>46022</v>
      </c>
      <c r="M1362" s="68">
        <v>46203</v>
      </c>
      <c r="N1362" s="69">
        <f t="shared" si="65"/>
        <v>1</v>
      </c>
      <c r="O1362" s="69">
        <f t="shared" si="66"/>
        <v>-1</v>
      </c>
      <c r="P1362" s="70">
        <v>3</v>
      </c>
      <c r="Q1362" s="70">
        <v>5</v>
      </c>
      <c r="R1362" s="70">
        <v>4</v>
      </c>
      <c r="S1362" s="68" t="str">
        <f t="shared" si="67"/>
        <v/>
      </c>
      <c r="T1362" s="68"/>
      <c r="U1362" s="68"/>
      <c r="V1362" s="68"/>
      <c r="W1362" s="9"/>
      <c r="X1362" s="10"/>
      <c r="Y1362" s="71">
        <f t="shared" si="68"/>
        <v>5</v>
      </c>
      <c r="Z1362" s="73">
        <f t="shared" si="69"/>
        <v>4</v>
      </c>
      <c r="AA1362" s="11" t="str">
        <f t="shared" si="70"/>
        <v/>
      </c>
      <c r="AB1362" s="73">
        <f t="shared" si="71"/>
        <v>1</v>
      </c>
      <c r="AC1362" s="11" t="str">
        <f t="shared" si="72"/>
        <v/>
      </c>
      <c r="AD1362" s="73">
        <f t="shared" si="73"/>
        <v>-1</v>
      </c>
      <c r="AE1362" s="11" t="str">
        <f t="shared" si="74"/>
        <v/>
      </c>
      <c r="AF1362" s="73">
        <f t="shared" si="75"/>
        <v>1.0013620000000001</v>
      </c>
      <c r="AG1362" s="11" t="str">
        <f t="shared" si="76"/>
        <v/>
      </c>
      <c r="AH1362" s="73">
        <f t="shared" si="77"/>
        <v>-0.99863800000000003</v>
      </c>
    </row>
    <row r="1363" spans="1:34" ht="14.25" customHeight="1">
      <c r="A1363" s="11">
        <v>1348</v>
      </c>
      <c r="B1363" s="66"/>
      <c r="C1363" s="67"/>
      <c r="D1363" s="67"/>
      <c r="E1363" s="67"/>
      <c r="F1363" s="67"/>
      <c r="G1363" s="67" t="s">
        <v>35</v>
      </c>
      <c r="H1363" s="67">
        <v>45280</v>
      </c>
      <c r="I1363" s="6" t="s">
        <v>1983</v>
      </c>
      <c r="J1363" s="9">
        <v>7668103178</v>
      </c>
      <c r="K1363" s="68">
        <v>45260</v>
      </c>
      <c r="L1363" s="68">
        <v>46022</v>
      </c>
      <c r="M1363" s="68">
        <v>46203</v>
      </c>
      <c r="N1363" s="69">
        <f t="shared" si="65"/>
        <v>2</v>
      </c>
      <c r="O1363" s="69">
        <f t="shared" si="66"/>
        <v>-1</v>
      </c>
      <c r="P1363" s="70">
        <v>0</v>
      </c>
      <c r="Q1363" s="70">
        <v>3</v>
      </c>
      <c r="R1363" s="70">
        <v>2</v>
      </c>
      <c r="S1363" s="68" t="str">
        <f t="shared" si="67"/>
        <v/>
      </c>
      <c r="T1363" s="68"/>
      <c r="U1363" s="68"/>
      <c r="V1363" s="68"/>
      <c r="W1363" s="9"/>
      <c r="X1363" s="10"/>
      <c r="Y1363" s="71">
        <f t="shared" si="68"/>
        <v>3</v>
      </c>
      <c r="Z1363" s="73">
        <f t="shared" si="69"/>
        <v>2</v>
      </c>
      <c r="AA1363" s="11" t="str">
        <f t="shared" si="70"/>
        <v/>
      </c>
      <c r="AB1363" s="73">
        <f t="shared" si="71"/>
        <v>2</v>
      </c>
      <c r="AC1363" s="11" t="str">
        <f t="shared" si="72"/>
        <v/>
      </c>
      <c r="AD1363" s="73">
        <f t="shared" si="73"/>
        <v>-1</v>
      </c>
      <c r="AE1363" s="11" t="str">
        <f t="shared" si="74"/>
        <v/>
      </c>
      <c r="AF1363" s="73">
        <f t="shared" si="75"/>
        <v>2.001363</v>
      </c>
      <c r="AG1363" s="11" t="str">
        <f t="shared" si="76"/>
        <v/>
      </c>
      <c r="AH1363" s="73">
        <f t="shared" si="77"/>
        <v>-0.998637</v>
      </c>
    </row>
    <row r="1364" spans="1:34" ht="14.25" customHeight="1">
      <c r="A1364" s="11">
        <v>1349</v>
      </c>
      <c r="B1364" s="66"/>
      <c r="C1364" s="67"/>
      <c r="D1364" s="67"/>
      <c r="E1364" s="67"/>
      <c r="F1364" s="67"/>
      <c r="G1364" s="67" t="s">
        <v>35</v>
      </c>
      <c r="H1364" s="67">
        <v>45282</v>
      </c>
      <c r="I1364" s="6" t="s">
        <v>1984</v>
      </c>
      <c r="J1364" s="9">
        <v>7668701212</v>
      </c>
      <c r="K1364" s="68">
        <v>45260</v>
      </c>
      <c r="L1364" s="68">
        <v>46022</v>
      </c>
      <c r="M1364" s="68">
        <v>46203</v>
      </c>
      <c r="N1364" s="69">
        <f t="shared" si="65"/>
        <v>-56</v>
      </c>
      <c r="O1364" s="69">
        <f t="shared" si="66"/>
        <v>0</v>
      </c>
      <c r="P1364" s="70">
        <v>57</v>
      </c>
      <c r="Q1364" s="70">
        <v>1</v>
      </c>
      <c r="R1364" s="70">
        <v>1</v>
      </c>
      <c r="S1364" s="68" t="str">
        <f t="shared" si="67"/>
        <v/>
      </c>
      <c r="T1364" s="68"/>
      <c r="U1364" s="68"/>
      <c r="V1364" s="68"/>
      <c r="W1364" s="9"/>
      <c r="X1364" s="10"/>
      <c r="Y1364" s="71">
        <f t="shared" si="68"/>
        <v>1</v>
      </c>
      <c r="Z1364" s="73">
        <f t="shared" si="69"/>
        <v>1</v>
      </c>
      <c r="AA1364" s="11" t="str">
        <f t="shared" si="70"/>
        <v/>
      </c>
      <c r="AB1364" s="73">
        <f t="shared" si="71"/>
        <v>-56</v>
      </c>
      <c r="AC1364" s="11" t="str">
        <f t="shared" si="72"/>
        <v/>
      </c>
      <c r="AD1364" s="73">
        <f t="shared" si="73"/>
        <v>0</v>
      </c>
      <c r="AE1364" s="11" t="str">
        <f t="shared" si="74"/>
        <v/>
      </c>
      <c r="AF1364" s="73">
        <f t="shared" si="75"/>
        <v>-55.998635999999998</v>
      </c>
      <c r="AG1364" s="11" t="str">
        <f t="shared" si="76"/>
        <v/>
      </c>
      <c r="AH1364" s="73">
        <f t="shared" si="77"/>
        <v>1.364E-3</v>
      </c>
    </row>
    <row r="1365" spans="1:34" ht="14.25" customHeight="1">
      <c r="A1365" s="11">
        <v>1350</v>
      </c>
      <c r="B1365" s="66" t="s">
        <v>24</v>
      </c>
      <c r="C1365" s="67">
        <v>43770</v>
      </c>
      <c r="D1365" s="67"/>
      <c r="E1365" s="67"/>
      <c r="F1365" s="67"/>
      <c r="G1365" s="67"/>
      <c r="H1365" s="67"/>
      <c r="I1365" s="6" t="s">
        <v>1985</v>
      </c>
      <c r="J1365" s="9">
        <v>7668800447</v>
      </c>
      <c r="K1365" s="68">
        <v>43769</v>
      </c>
      <c r="L1365" s="68" t="s">
        <v>230</v>
      </c>
      <c r="M1365" s="68">
        <v>45138</v>
      </c>
      <c r="N1365" s="69">
        <f t="shared" si="65"/>
        <v>0</v>
      </c>
      <c r="O1365" s="69" t="str">
        <f t="shared" si="66"/>
        <v>N/A</v>
      </c>
      <c r="P1365" s="70">
        <v>0</v>
      </c>
      <c r="Q1365" s="70"/>
      <c r="R1365" s="70">
        <v>0</v>
      </c>
      <c r="S1365" s="68">
        <f t="shared" si="67"/>
        <v>45132</v>
      </c>
      <c r="T1365" s="68">
        <v>45132</v>
      </c>
      <c r="U1365" s="68"/>
      <c r="V1365" s="68"/>
      <c r="W1365" s="9"/>
      <c r="X1365" s="10"/>
      <c r="Y1365" s="65" t="str">
        <f t="shared" si="68"/>
        <v/>
      </c>
      <c r="Z1365" s="11" t="str">
        <f t="shared" si="69"/>
        <v/>
      </c>
      <c r="AA1365" s="73">
        <f t="shared" si="70"/>
        <v>0</v>
      </c>
      <c r="AB1365" s="11" t="str">
        <f t="shared" si="71"/>
        <v/>
      </c>
      <c r="AC1365" s="11" t="str">
        <f t="shared" si="72"/>
        <v/>
      </c>
      <c r="AD1365" s="11" t="str">
        <f t="shared" si="73"/>
        <v/>
      </c>
      <c r="AE1365" s="73">
        <f t="shared" si="74"/>
        <v>1.3649999999999999E-3</v>
      </c>
      <c r="AF1365" s="11" t="str">
        <f t="shared" si="75"/>
        <v/>
      </c>
      <c r="AG1365" s="11" t="str">
        <f t="shared" si="76"/>
        <v/>
      </c>
      <c r="AH1365" s="11" t="str">
        <f t="shared" si="77"/>
        <v/>
      </c>
    </row>
    <row r="1366" spans="1:34" ht="14.25" customHeight="1">
      <c r="A1366" s="11">
        <v>1351</v>
      </c>
      <c r="B1366" s="66"/>
      <c r="C1366" s="67"/>
      <c r="D1366" s="67"/>
      <c r="E1366" s="67"/>
      <c r="F1366" s="67"/>
      <c r="G1366" s="67" t="s">
        <v>35</v>
      </c>
      <c r="H1366" s="67">
        <v>45982</v>
      </c>
      <c r="I1366" s="6" t="s">
        <v>1986</v>
      </c>
      <c r="J1366" s="94">
        <v>7668801261</v>
      </c>
      <c r="K1366" s="68">
        <v>45961</v>
      </c>
      <c r="L1366" s="68">
        <v>46022</v>
      </c>
      <c r="M1366" s="68">
        <v>46203</v>
      </c>
      <c r="N1366" s="69">
        <f t="shared" si="65"/>
        <v>12</v>
      </c>
      <c r="O1366" s="69">
        <f t="shared" si="66"/>
        <v>6</v>
      </c>
      <c r="P1366" s="70">
        <v>59</v>
      </c>
      <c r="Q1366" s="70">
        <v>65</v>
      </c>
      <c r="R1366" s="70">
        <v>71</v>
      </c>
      <c r="S1366" s="68" t="str">
        <f t="shared" si="67"/>
        <v/>
      </c>
      <c r="T1366" s="68"/>
      <c r="U1366" s="95"/>
      <c r="V1366" s="68"/>
      <c r="W1366" s="6"/>
      <c r="X1366" s="10"/>
      <c r="Y1366" s="71">
        <f t="shared" si="68"/>
        <v>65</v>
      </c>
      <c r="Z1366" s="73">
        <f t="shared" si="69"/>
        <v>71</v>
      </c>
      <c r="AA1366" s="11" t="str">
        <f t="shared" si="70"/>
        <v/>
      </c>
      <c r="AB1366" s="73">
        <f t="shared" si="71"/>
        <v>12</v>
      </c>
      <c r="AC1366" s="11" t="str">
        <f t="shared" si="72"/>
        <v/>
      </c>
      <c r="AD1366" s="73">
        <f t="shared" si="73"/>
        <v>6</v>
      </c>
      <c r="AE1366" s="11" t="str">
        <f t="shared" si="74"/>
        <v/>
      </c>
      <c r="AF1366" s="73">
        <f t="shared" si="75"/>
        <v>12.001366000000001</v>
      </c>
      <c r="AG1366" s="11" t="str">
        <f t="shared" si="76"/>
        <v/>
      </c>
      <c r="AH1366" s="73">
        <f t="shared" si="77"/>
        <v>6.001366</v>
      </c>
    </row>
    <row r="1367" spans="1:34" ht="14.25" customHeight="1">
      <c r="A1367" s="11">
        <v>1352</v>
      </c>
      <c r="B1367" s="66" t="s">
        <v>35</v>
      </c>
      <c r="C1367" s="67">
        <v>45536</v>
      </c>
      <c r="D1367" s="67"/>
      <c r="E1367" s="67"/>
      <c r="F1367" s="67"/>
      <c r="G1367" s="67"/>
      <c r="H1367" s="67"/>
      <c r="I1367" s="6" t="s">
        <v>1987</v>
      </c>
      <c r="J1367" s="9">
        <v>7678702209</v>
      </c>
      <c r="K1367" s="68">
        <v>45535</v>
      </c>
      <c r="L1367" s="68">
        <v>46022</v>
      </c>
      <c r="M1367" s="68">
        <v>46203</v>
      </c>
      <c r="N1367" s="69">
        <f t="shared" si="65"/>
        <v>-5</v>
      </c>
      <c r="O1367" s="69">
        <f t="shared" si="66"/>
        <v>-5</v>
      </c>
      <c r="P1367" s="70">
        <v>12</v>
      </c>
      <c r="Q1367" s="70">
        <v>12</v>
      </c>
      <c r="R1367" s="70">
        <v>7</v>
      </c>
      <c r="S1367" s="68" t="str">
        <f t="shared" si="67"/>
        <v/>
      </c>
      <c r="T1367" s="68"/>
      <c r="U1367" s="68"/>
      <c r="V1367" s="68"/>
      <c r="W1367" s="9"/>
      <c r="X1367" s="10"/>
      <c r="Y1367" s="71">
        <f t="shared" si="68"/>
        <v>12</v>
      </c>
      <c r="Z1367" s="73">
        <f t="shared" si="69"/>
        <v>7</v>
      </c>
      <c r="AA1367" s="73">
        <f t="shared" si="70"/>
        <v>-5</v>
      </c>
      <c r="AB1367" s="11" t="str">
        <f t="shared" si="71"/>
        <v/>
      </c>
      <c r="AC1367" s="73">
        <f t="shared" si="72"/>
        <v>-5</v>
      </c>
      <c r="AD1367" s="11" t="str">
        <f t="shared" si="73"/>
        <v/>
      </c>
      <c r="AE1367" s="73">
        <f t="shared" si="74"/>
        <v>-4.9986329999999999</v>
      </c>
      <c r="AF1367" s="11" t="str">
        <f t="shared" si="75"/>
        <v/>
      </c>
      <c r="AG1367" s="73">
        <f t="shared" si="76"/>
        <v>-4.9986329999999999</v>
      </c>
      <c r="AH1367" s="11" t="str">
        <f t="shared" si="77"/>
        <v/>
      </c>
    </row>
    <row r="1368" spans="1:34" ht="14.25" customHeight="1">
      <c r="A1368" s="11">
        <v>1353</v>
      </c>
      <c r="B1368" s="66" t="s">
        <v>35</v>
      </c>
      <c r="C1368" s="67">
        <v>42878</v>
      </c>
      <c r="D1368" s="67"/>
      <c r="E1368" s="67"/>
      <c r="F1368" s="67"/>
      <c r="G1368" s="67"/>
      <c r="H1368" s="67"/>
      <c r="I1368" s="6" t="s">
        <v>1988</v>
      </c>
      <c r="J1368" s="9">
        <v>7678800630</v>
      </c>
      <c r="K1368" s="68">
        <v>42855</v>
      </c>
      <c r="L1368" s="68">
        <v>46022</v>
      </c>
      <c r="M1368" s="68">
        <v>46203</v>
      </c>
      <c r="N1368" s="69">
        <f t="shared" si="65"/>
        <v>44</v>
      </c>
      <c r="O1368" s="69">
        <f t="shared" si="66"/>
        <v>8</v>
      </c>
      <c r="P1368" s="70">
        <v>8</v>
      </c>
      <c r="Q1368" s="70">
        <v>44</v>
      </c>
      <c r="R1368" s="70">
        <v>52</v>
      </c>
      <c r="S1368" s="68" t="str">
        <f t="shared" si="67"/>
        <v/>
      </c>
      <c r="T1368" s="68"/>
      <c r="U1368" s="68"/>
      <c r="V1368" s="68"/>
      <c r="W1368" s="9"/>
      <c r="X1368" s="10"/>
      <c r="Y1368" s="71">
        <f t="shared" si="68"/>
        <v>44</v>
      </c>
      <c r="Z1368" s="73">
        <f t="shared" si="69"/>
        <v>52</v>
      </c>
      <c r="AA1368" s="73">
        <f t="shared" si="70"/>
        <v>44</v>
      </c>
      <c r="AB1368" s="11" t="str">
        <f t="shared" si="71"/>
        <v/>
      </c>
      <c r="AC1368" s="73">
        <f t="shared" si="72"/>
        <v>8</v>
      </c>
      <c r="AD1368" s="11" t="str">
        <f t="shared" si="73"/>
        <v/>
      </c>
      <c r="AE1368" s="73">
        <f t="shared" si="74"/>
        <v>44.001367999999999</v>
      </c>
      <c r="AF1368" s="11" t="str">
        <f t="shared" si="75"/>
        <v/>
      </c>
      <c r="AG1368" s="73">
        <f t="shared" si="76"/>
        <v>8.0013679999999994</v>
      </c>
      <c r="AH1368" s="11" t="str">
        <f t="shared" si="77"/>
        <v/>
      </c>
    </row>
    <row r="1369" spans="1:34" ht="14.25" customHeight="1">
      <c r="A1369" s="11">
        <v>1354</v>
      </c>
      <c r="B1369" s="66"/>
      <c r="C1369" s="67"/>
      <c r="D1369" s="67"/>
      <c r="E1369" s="67"/>
      <c r="F1369" s="67"/>
      <c r="G1369" s="67" t="s">
        <v>24</v>
      </c>
      <c r="H1369" s="67">
        <v>42836</v>
      </c>
      <c r="I1369" s="6" t="s">
        <v>1989</v>
      </c>
      <c r="J1369" s="9">
        <v>7688600532</v>
      </c>
      <c r="K1369" s="68">
        <v>42825</v>
      </c>
      <c r="L1369" s="68" t="s">
        <v>230</v>
      </c>
      <c r="M1369" s="68">
        <v>45322</v>
      </c>
      <c r="N1369" s="69">
        <f t="shared" si="65"/>
        <v>-6</v>
      </c>
      <c r="O1369" s="69" t="str">
        <f t="shared" si="66"/>
        <v>N/A</v>
      </c>
      <c r="P1369" s="70">
        <v>6</v>
      </c>
      <c r="Q1369" s="70"/>
      <c r="R1369" s="70">
        <v>0</v>
      </c>
      <c r="S1369" s="68">
        <f t="shared" si="67"/>
        <v>45320</v>
      </c>
      <c r="T1369" s="68">
        <v>45320</v>
      </c>
      <c r="U1369" s="68"/>
      <c r="V1369" s="68"/>
      <c r="W1369" s="9"/>
      <c r="X1369" s="10"/>
      <c r="Y1369" s="65" t="str">
        <f t="shared" si="68"/>
        <v/>
      </c>
      <c r="Z1369" s="11" t="str">
        <f t="shared" si="69"/>
        <v/>
      </c>
      <c r="AA1369" s="11" t="str">
        <f t="shared" si="70"/>
        <v/>
      </c>
      <c r="AB1369" s="73">
        <f t="shared" si="71"/>
        <v>-6</v>
      </c>
      <c r="AC1369" s="11" t="str">
        <f t="shared" si="72"/>
        <v/>
      </c>
      <c r="AD1369" s="11" t="str">
        <f t="shared" si="73"/>
        <v/>
      </c>
      <c r="AE1369" s="11" t="str">
        <f t="shared" si="74"/>
        <v/>
      </c>
      <c r="AF1369" s="73">
        <f t="shared" si="75"/>
        <v>-5.9986309999999996</v>
      </c>
      <c r="AG1369" s="11" t="str">
        <f t="shared" si="76"/>
        <v/>
      </c>
      <c r="AH1369" s="11" t="str">
        <f t="shared" si="77"/>
        <v/>
      </c>
    </row>
    <row r="1370" spans="1:34" ht="14.25" customHeight="1">
      <c r="A1370" s="11">
        <v>1355</v>
      </c>
      <c r="B1370" s="66"/>
      <c r="C1370" s="67"/>
      <c r="D1370" s="67"/>
      <c r="E1370" s="67"/>
      <c r="F1370" s="67"/>
      <c r="G1370" s="67" t="s">
        <v>35</v>
      </c>
      <c r="H1370" s="67">
        <v>44945</v>
      </c>
      <c r="I1370" s="6" t="s">
        <v>1990</v>
      </c>
      <c r="J1370" s="9">
        <v>7688602748</v>
      </c>
      <c r="K1370" s="68">
        <v>44926</v>
      </c>
      <c r="L1370" s="68">
        <v>46022</v>
      </c>
      <c r="M1370" s="68">
        <v>46203</v>
      </c>
      <c r="N1370" s="69">
        <f t="shared" si="65"/>
        <v>14</v>
      </c>
      <c r="O1370" s="69">
        <f t="shared" si="66"/>
        <v>8</v>
      </c>
      <c r="P1370" s="70">
        <v>0</v>
      </c>
      <c r="Q1370" s="70">
        <v>6</v>
      </c>
      <c r="R1370" s="70">
        <v>14</v>
      </c>
      <c r="S1370" s="68" t="str">
        <f t="shared" si="67"/>
        <v/>
      </c>
      <c r="T1370" s="68"/>
      <c r="U1370" s="68"/>
      <c r="V1370" s="68"/>
      <c r="W1370" s="9"/>
      <c r="X1370" s="10"/>
      <c r="Y1370" s="71">
        <f t="shared" si="68"/>
        <v>6</v>
      </c>
      <c r="Z1370" s="73">
        <f t="shared" si="69"/>
        <v>14</v>
      </c>
      <c r="AA1370" s="11" t="str">
        <f t="shared" si="70"/>
        <v/>
      </c>
      <c r="AB1370" s="73">
        <f t="shared" si="71"/>
        <v>14</v>
      </c>
      <c r="AC1370" s="11" t="str">
        <f t="shared" si="72"/>
        <v/>
      </c>
      <c r="AD1370" s="73">
        <f t="shared" si="73"/>
        <v>8</v>
      </c>
      <c r="AE1370" s="11" t="str">
        <f t="shared" si="74"/>
        <v/>
      </c>
      <c r="AF1370" s="73">
        <f t="shared" si="75"/>
        <v>14.00137</v>
      </c>
      <c r="AG1370" s="11" t="str">
        <f t="shared" si="76"/>
        <v/>
      </c>
      <c r="AH1370" s="73">
        <f t="shared" si="77"/>
        <v>8.0013699999999996</v>
      </c>
    </row>
    <row r="1371" spans="1:34" ht="14.25" customHeight="1">
      <c r="A1371" s="11">
        <v>1356</v>
      </c>
      <c r="B1371" s="66"/>
      <c r="C1371" s="67"/>
      <c r="D1371" s="67"/>
      <c r="E1371" s="67"/>
      <c r="F1371" s="67"/>
      <c r="G1371" s="67" t="s">
        <v>35</v>
      </c>
      <c r="H1371" s="67">
        <v>45386</v>
      </c>
      <c r="I1371" s="6" t="s">
        <v>1991</v>
      </c>
      <c r="J1371" s="9">
        <v>7688702589</v>
      </c>
      <c r="K1371" s="68">
        <v>45382</v>
      </c>
      <c r="L1371" s="68">
        <v>46022</v>
      </c>
      <c r="M1371" s="68">
        <v>46203</v>
      </c>
      <c r="N1371" s="69">
        <f t="shared" si="65"/>
        <v>1</v>
      </c>
      <c r="O1371" s="69">
        <f t="shared" si="66"/>
        <v>0</v>
      </c>
      <c r="P1371" s="70">
        <v>5</v>
      </c>
      <c r="Q1371" s="70">
        <v>6</v>
      </c>
      <c r="R1371" s="70">
        <v>6</v>
      </c>
      <c r="S1371" s="68" t="str">
        <f t="shared" si="67"/>
        <v/>
      </c>
      <c r="T1371" s="68"/>
      <c r="U1371" s="68"/>
      <c r="V1371" s="68"/>
      <c r="W1371" s="9"/>
      <c r="X1371" s="10"/>
      <c r="Y1371" s="71">
        <f t="shared" si="68"/>
        <v>6</v>
      </c>
      <c r="Z1371" s="73">
        <f t="shared" si="69"/>
        <v>6</v>
      </c>
      <c r="AA1371" s="11" t="str">
        <f t="shared" si="70"/>
        <v/>
      </c>
      <c r="AB1371" s="73">
        <f t="shared" si="71"/>
        <v>1</v>
      </c>
      <c r="AC1371" s="11" t="str">
        <f t="shared" si="72"/>
        <v/>
      </c>
      <c r="AD1371" s="73">
        <f t="shared" si="73"/>
        <v>0</v>
      </c>
      <c r="AE1371" s="11" t="str">
        <f t="shared" si="74"/>
        <v/>
      </c>
      <c r="AF1371" s="73">
        <f t="shared" si="75"/>
        <v>1.001371</v>
      </c>
      <c r="AG1371" s="11" t="str">
        <f t="shared" si="76"/>
        <v/>
      </c>
      <c r="AH1371" s="73">
        <f t="shared" si="77"/>
        <v>1.371E-3</v>
      </c>
    </row>
    <row r="1372" spans="1:34" ht="14.25" customHeight="1">
      <c r="A1372" s="11">
        <v>1357</v>
      </c>
      <c r="B1372" s="66" t="s">
        <v>35</v>
      </c>
      <c r="C1372" s="67">
        <v>43192</v>
      </c>
      <c r="D1372" s="67"/>
      <c r="E1372" s="67"/>
      <c r="F1372" s="67"/>
      <c r="G1372" s="67"/>
      <c r="H1372" s="67"/>
      <c r="I1372" s="6" t="s">
        <v>1992</v>
      </c>
      <c r="J1372" s="9">
        <v>7700801711</v>
      </c>
      <c r="K1372" s="68">
        <v>43190</v>
      </c>
      <c r="L1372" s="68">
        <v>46022</v>
      </c>
      <c r="M1372" s="68">
        <v>46203</v>
      </c>
      <c r="N1372" s="69">
        <f t="shared" si="65"/>
        <v>0</v>
      </c>
      <c r="O1372" s="69">
        <f t="shared" si="66"/>
        <v>0</v>
      </c>
      <c r="P1372" s="70">
        <v>0</v>
      </c>
      <c r="Q1372" s="70">
        <v>0</v>
      </c>
      <c r="R1372" s="70">
        <v>0</v>
      </c>
      <c r="S1372" s="68" t="str">
        <f t="shared" si="67"/>
        <v/>
      </c>
      <c r="T1372" s="68"/>
      <c r="U1372" s="68"/>
      <c r="V1372" s="68"/>
      <c r="W1372" s="9"/>
      <c r="X1372" s="10" t="s">
        <v>1993</v>
      </c>
      <c r="Y1372" s="71">
        <f t="shared" si="68"/>
        <v>0</v>
      </c>
      <c r="Z1372" s="73">
        <f t="shared" si="69"/>
        <v>0</v>
      </c>
      <c r="AA1372" s="73">
        <f t="shared" si="70"/>
        <v>0</v>
      </c>
      <c r="AB1372" s="11" t="str">
        <f t="shared" si="71"/>
        <v/>
      </c>
      <c r="AC1372" s="73">
        <f t="shared" si="72"/>
        <v>0</v>
      </c>
      <c r="AD1372" s="11" t="str">
        <f t="shared" si="73"/>
        <v/>
      </c>
      <c r="AE1372" s="73">
        <f t="shared" si="74"/>
        <v>1.372E-3</v>
      </c>
      <c r="AF1372" s="11" t="str">
        <f t="shared" si="75"/>
        <v/>
      </c>
      <c r="AG1372" s="73">
        <f t="shared" si="76"/>
        <v>1.372E-3</v>
      </c>
      <c r="AH1372" s="11" t="str">
        <f t="shared" si="77"/>
        <v/>
      </c>
    </row>
    <row r="1373" spans="1:34" ht="14.25" customHeight="1">
      <c r="A1373" s="11">
        <v>1358</v>
      </c>
      <c r="B1373" s="66"/>
      <c r="C1373" s="67"/>
      <c r="D1373" s="67"/>
      <c r="E1373" s="67"/>
      <c r="F1373" s="67"/>
      <c r="G1373" s="67" t="s">
        <v>35</v>
      </c>
      <c r="H1373" s="67">
        <v>44736</v>
      </c>
      <c r="I1373" s="6" t="s">
        <v>1994</v>
      </c>
      <c r="J1373" s="9">
        <v>7718602614</v>
      </c>
      <c r="K1373" s="68">
        <v>44712</v>
      </c>
      <c r="L1373" s="68">
        <v>46022</v>
      </c>
      <c r="M1373" s="68">
        <v>46203</v>
      </c>
      <c r="N1373" s="69">
        <f t="shared" si="65"/>
        <v>1</v>
      </c>
      <c r="O1373" s="69">
        <f t="shared" si="66"/>
        <v>0</v>
      </c>
      <c r="P1373" s="70">
        <v>1</v>
      </c>
      <c r="Q1373" s="70">
        <v>2</v>
      </c>
      <c r="R1373" s="70">
        <v>2</v>
      </c>
      <c r="S1373" s="68" t="str">
        <f t="shared" si="67"/>
        <v/>
      </c>
      <c r="T1373" s="68"/>
      <c r="U1373" s="68"/>
      <c r="V1373" s="68"/>
      <c r="W1373" s="9"/>
      <c r="X1373" s="10" t="s">
        <v>1995</v>
      </c>
      <c r="Y1373" s="71">
        <f t="shared" si="68"/>
        <v>2</v>
      </c>
      <c r="Z1373" s="73">
        <f t="shared" si="69"/>
        <v>2</v>
      </c>
      <c r="AA1373" s="11" t="str">
        <f t="shared" si="70"/>
        <v/>
      </c>
      <c r="AB1373" s="73">
        <f t="shared" si="71"/>
        <v>1</v>
      </c>
      <c r="AC1373" s="11" t="str">
        <f t="shared" si="72"/>
        <v/>
      </c>
      <c r="AD1373" s="73">
        <f t="shared" si="73"/>
        <v>0</v>
      </c>
      <c r="AE1373" s="11" t="str">
        <f t="shared" si="74"/>
        <v/>
      </c>
      <c r="AF1373" s="73">
        <f t="shared" si="75"/>
        <v>1.0013730000000001</v>
      </c>
      <c r="AG1373" s="11" t="str">
        <f t="shared" si="76"/>
        <v/>
      </c>
      <c r="AH1373" s="73">
        <f t="shared" si="77"/>
        <v>1.3730000000000001E-3</v>
      </c>
    </row>
    <row r="1374" spans="1:34" ht="14.25" customHeight="1">
      <c r="A1374" s="11">
        <v>1359</v>
      </c>
      <c r="B1374" s="66" t="s">
        <v>35</v>
      </c>
      <c r="C1374" s="67"/>
      <c r="D1374" s="67">
        <v>45209</v>
      </c>
      <c r="E1374" s="67"/>
      <c r="F1374" s="67"/>
      <c r="G1374" s="67"/>
      <c r="H1374" s="67"/>
      <c r="I1374" s="6" t="s">
        <v>1996</v>
      </c>
      <c r="J1374" s="9">
        <v>7718701970</v>
      </c>
      <c r="K1374" s="68">
        <v>45199</v>
      </c>
      <c r="L1374" s="68">
        <v>46022</v>
      </c>
      <c r="M1374" s="68">
        <v>46203</v>
      </c>
      <c r="N1374" s="69">
        <f t="shared" si="65"/>
        <v>-8</v>
      </c>
      <c r="O1374" s="69">
        <f t="shared" si="66"/>
        <v>1</v>
      </c>
      <c r="P1374" s="70">
        <v>19</v>
      </c>
      <c r="Q1374" s="70">
        <v>10</v>
      </c>
      <c r="R1374" s="70">
        <v>11</v>
      </c>
      <c r="S1374" s="68" t="str">
        <f t="shared" si="67"/>
        <v/>
      </c>
      <c r="T1374" s="68"/>
      <c r="U1374" s="68"/>
      <c r="V1374" s="68"/>
      <c r="W1374" s="9"/>
      <c r="X1374" s="10"/>
      <c r="Y1374" s="71">
        <f t="shared" si="68"/>
        <v>10</v>
      </c>
      <c r="Z1374" s="73">
        <f t="shared" si="69"/>
        <v>11</v>
      </c>
      <c r="AA1374" s="73">
        <f t="shared" si="70"/>
        <v>-8</v>
      </c>
      <c r="AB1374" s="11" t="str">
        <f t="shared" si="71"/>
        <v/>
      </c>
      <c r="AC1374" s="73">
        <f t="shared" si="72"/>
        <v>1</v>
      </c>
      <c r="AD1374" s="11" t="str">
        <f t="shared" si="73"/>
        <v/>
      </c>
      <c r="AE1374" s="73">
        <f t="shared" si="74"/>
        <v>-7.9986259999999998</v>
      </c>
      <c r="AF1374" s="11" t="str">
        <f t="shared" si="75"/>
        <v/>
      </c>
      <c r="AG1374" s="73">
        <f t="shared" si="76"/>
        <v>1.001374</v>
      </c>
      <c r="AH1374" s="11" t="str">
        <f t="shared" si="77"/>
        <v/>
      </c>
    </row>
    <row r="1375" spans="1:34" ht="14.25" customHeight="1">
      <c r="A1375" s="11">
        <v>1360</v>
      </c>
      <c r="B1375" s="66"/>
      <c r="C1375" s="67"/>
      <c r="D1375" s="67"/>
      <c r="E1375" s="67"/>
      <c r="F1375" s="67"/>
      <c r="G1375" s="67" t="s">
        <v>35</v>
      </c>
      <c r="H1375" s="67">
        <v>45754</v>
      </c>
      <c r="I1375" s="6" t="s">
        <v>1997</v>
      </c>
      <c r="J1375" s="9">
        <v>7728603125</v>
      </c>
      <c r="K1375" s="68">
        <v>45747</v>
      </c>
      <c r="L1375" s="68">
        <v>46022</v>
      </c>
      <c r="M1375" s="68">
        <v>46203</v>
      </c>
      <c r="N1375" s="69">
        <f t="shared" si="65"/>
        <v>5</v>
      </c>
      <c r="O1375" s="69">
        <f t="shared" si="66"/>
        <v>2</v>
      </c>
      <c r="P1375" s="70">
        <v>5</v>
      </c>
      <c r="Q1375" s="70">
        <v>8</v>
      </c>
      <c r="R1375" s="70">
        <v>10</v>
      </c>
      <c r="S1375" s="68" t="str">
        <f t="shared" si="67"/>
        <v/>
      </c>
      <c r="T1375" s="68"/>
      <c r="U1375" s="68"/>
      <c r="V1375" s="68"/>
      <c r="W1375" s="9"/>
      <c r="X1375" s="10"/>
      <c r="Y1375" s="71">
        <f t="shared" si="68"/>
        <v>8</v>
      </c>
      <c r="Z1375" s="73">
        <f t="shared" si="69"/>
        <v>10</v>
      </c>
      <c r="AA1375" s="11" t="str">
        <f t="shared" si="70"/>
        <v/>
      </c>
      <c r="AB1375" s="73">
        <f t="shared" si="71"/>
        <v>5</v>
      </c>
      <c r="AC1375" s="11" t="str">
        <f t="shared" si="72"/>
        <v/>
      </c>
      <c r="AD1375" s="73">
        <f t="shared" si="73"/>
        <v>2</v>
      </c>
      <c r="AE1375" s="11" t="str">
        <f t="shared" si="74"/>
        <v/>
      </c>
      <c r="AF1375" s="73">
        <f t="shared" si="75"/>
        <v>5.0013750000000003</v>
      </c>
      <c r="AG1375" s="11" t="str">
        <f t="shared" si="76"/>
        <v/>
      </c>
      <c r="AH1375" s="73">
        <f t="shared" si="77"/>
        <v>2.0013749999999999</v>
      </c>
    </row>
    <row r="1376" spans="1:34" ht="14.25" customHeight="1">
      <c r="A1376" s="11">
        <v>1361</v>
      </c>
      <c r="B1376" s="66"/>
      <c r="C1376" s="67"/>
      <c r="D1376" s="67"/>
      <c r="E1376" s="67"/>
      <c r="F1376" s="67"/>
      <c r="G1376" s="67" t="s">
        <v>35</v>
      </c>
      <c r="H1376" s="67">
        <v>42220</v>
      </c>
      <c r="I1376" s="6" t="s">
        <v>1998</v>
      </c>
      <c r="J1376" s="9">
        <v>7728801489</v>
      </c>
      <c r="K1376" s="68">
        <v>42216</v>
      </c>
      <c r="L1376" s="68">
        <v>46022</v>
      </c>
      <c r="M1376" s="68">
        <v>46203</v>
      </c>
      <c r="N1376" s="69">
        <f t="shared" si="65"/>
        <v>35</v>
      </c>
      <c r="O1376" s="69">
        <f t="shared" si="66"/>
        <v>5</v>
      </c>
      <c r="P1376" s="70">
        <v>0</v>
      </c>
      <c r="Q1376" s="70">
        <v>30</v>
      </c>
      <c r="R1376" s="70">
        <v>35</v>
      </c>
      <c r="S1376" s="68" t="str">
        <f t="shared" si="67"/>
        <v/>
      </c>
      <c r="T1376" s="68"/>
      <c r="U1376" s="68"/>
      <c r="V1376" s="68"/>
      <c r="W1376" s="9"/>
      <c r="X1376" s="10"/>
      <c r="Y1376" s="71">
        <f t="shared" si="68"/>
        <v>30</v>
      </c>
      <c r="Z1376" s="73">
        <f t="shared" si="69"/>
        <v>35</v>
      </c>
      <c r="AA1376" s="11" t="str">
        <f t="shared" si="70"/>
        <v/>
      </c>
      <c r="AB1376" s="73">
        <f t="shared" si="71"/>
        <v>35</v>
      </c>
      <c r="AC1376" s="11" t="str">
        <f t="shared" si="72"/>
        <v/>
      </c>
      <c r="AD1376" s="73">
        <f t="shared" si="73"/>
        <v>5</v>
      </c>
      <c r="AE1376" s="11" t="str">
        <f t="shared" si="74"/>
        <v/>
      </c>
      <c r="AF1376" s="73">
        <f t="shared" si="75"/>
        <v>35.001376</v>
      </c>
      <c r="AG1376" s="11" t="str">
        <f t="shared" si="76"/>
        <v/>
      </c>
      <c r="AH1376" s="73">
        <f t="shared" si="77"/>
        <v>5.0013759999999996</v>
      </c>
    </row>
    <row r="1377" spans="1:34" ht="14.25" customHeight="1">
      <c r="A1377" s="11">
        <v>1362</v>
      </c>
      <c r="B1377" s="66" t="s">
        <v>35</v>
      </c>
      <c r="C1377" s="67">
        <v>45444</v>
      </c>
      <c r="D1377" s="67">
        <v>44812</v>
      </c>
      <c r="E1377" s="67"/>
      <c r="F1377" s="67">
        <v>45532</v>
      </c>
      <c r="G1377" s="67"/>
      <c r="H1377" s="67"/>
      <c r="I1377" s="6" t="s">
        <v>1999</v>
      </c>
      <c r="J1377" s="9">
        <v>7728802469</v>
      </c>
      <c r="K1377" s="68">
        <v>44804</v>
      </c>
      <c r="L1377" s="68">
        <v>46022</v>
      </c>
      <c r="M1377" s="68">
        <v>46203</v>
      </c>
      <c r="N1377" s="69">
        <f t="shared" si="65"/>
        <v>-18</v>
      </c>
      <c r="O1377" s="69">
        <f t="shared" si="66"/>
        <v>1</v>
      </c>
      <c r="P1377" s="70">
        <v>20</v>
      </c>
      <c r="Q1377" s="70">
        <v>1</v>
      </c>
      <c r="R1377" s="70">
        <v>2</v>
      </c>
      <c r="S1377" s="68" t="str">
        <f t="shared" si="67"/>
        <v/>
      </c>
      <c r="T1377" s="68"/>
      <c r="U1377" s="68"/>
      <c r="V1377" s="68"/>
      <c r="W1377" s="9"/>
      <c r="X1377" s="10"/>
      <c r="Y1377" s="71">
        <f t="shared" si="68"/>
        <v>1</v>
      </c>
      <c r="Z1377" s="73">
        <f t="shared" si="69"/>
        <v>2</v>
      </c>
      <c r="AA1377" s="73">
        <f t="shared" si="70"/>
        <v>-18</v>
      </c>
      <c r="AB1377" s="11" t="str">
        <f t="shared" si="71"/>
        <v/>
      </c>
      <c r="AC1377" s="73">
        <f t="shared" si="72"/>
        <v>1</v>
      </c>
      <c r="AD1377" s="11" t="str">
        <f t="shared" si="73"/>
        <v/>
      </c>
      <c r="AE1377" s="73">
        <f t="shared" si="74"/>
        <v>-17.998622999999998</v>
      </c>
      <c r="AF1377" s="11" t="str">
        <f t="shared" si="75"/>
        <v/>
      </c>
      <c r="AG1377" s="73">
        <f t="shared" si="76"/>
        <v>1.001377</v>
      </c>
      <c r="AH1377" s="11" t="str">
        <f t="shared" si="77"/>
        <v/>
      </c>
    </row>
    <row r="1378" spans="1:34" ht="14.25" customHeight="1">
      <c r="A1378" s="11">
        <v>1363</v>
      </c>
      <c r="B1378" s="66"/>
      <c r="C1378" s="67"/>
      <c r="D1378" s="67"/>
      <c r="E1378" s="67"/>
      <c r="F1378" s="67"/>
      <c r="G1378" s="67" t="s">
        <v>35</v>
      </c>
      <c r="H1378" s="67">
        <v>42895</v>
      </c>
      <c r="I1378" s="6" t="s">
        <v>2000</v>
      </c>
      <c r="J1378" s="9">
        <v>7738100238</v>
      </c>
      <c r="K1378" s="68">
        <v>42886</v>
      </c>
      <c r="L1378" s="68">
        <v>46022</v>
      </c>
      <c r="M1378" s="68">
        <v>46203</v>
      </c>
      <c r="N1378" s="69">
        <f t="shared" si="65"/>
        <v>-5</v>
      </c>
      <c r="O1378" s="69">
        <f t="shared" si="66"/>
        <v>-2</v>
      </c>
      <c r="P1378" s="70">
        <v>7</v>
      </c>
      <c r="Q1378" s="70">
        <v>4</v>
      </c>
      <c r="R1378" s="70">
        <v>2</v>
      </c>
      <c r="S1378" s="68" t="str">
        <f t="shared" si="67"/>
        <v/>
      </c>
      <c r="T1378" s="68"/>
      <c r="U1378" s="68"/>
      <c r="V1378" s="68"/>
      <c r="W1378" s="9"/>
      <c r="X1378" s="10"/>
      <c r="Y1378" s="71">
        <f t="shared" si="68"/>
        <v>4</v>
      </c>
      <c r="Z1378" s="73">
        <f t="shared" si="69"/>
        <v>2</v>
      </c>
      <c r="AA1378" s="11" t="str">
        <f t="shared" si="70"/>
        <v/>
      </c>
      <c r="AB1378" s="73">
        <f t="shared" si="71"/>
        <v>-5</v>
      </c>
      <c r="AC1378" s="11" t="str">
        <f t="shared" si="72"/>
        <v/>
      </c>
      <c r="AD1378" s="73">
        <f t="shared" si="73"/>
        <v>-2</v>
      </c>
      <c r="AE1378" s="11" t="str">
        <f t="shared" si="74"/>
        <v/>
      </c>
      <c r="AF1378" s="73">
        <f t="shared" si="75"/>
        <v>-4.9986220000000001</v>
      </c>
      <c r="AG1378" s="11" t="str">
        <f t="shared" si="76"/>
        <v/>
      </c>
      <c r="AH1378" s="73">
        <f t="shared" si="77"/>
        <v>-1.9986219999999999</v>
      </c>
    </row>
    <row r="1379" spans="1:34" ht="14.25" customHeight="1">
      <c r="A1379" s="11">
        <v>1364</v>
      </c>
      <c r="B1379" s="66"/>
      <c r="C1379" s="67"/>
      <c r="D1379" s="67"/>
      <c r="E1379" s="67"/>
      <c r="F1379" s="67"/>
      <c r="G1379" s="67" t="s">
        <v>35</v>
      </c>
      <c r="H1379" s="67">
        <v>45372</v>
      </c>
      <c r="I1379" s="6" t="s">
        <v>2001</v>
      </c>
      <c r="J1379" s="9">
        <v>7738701826</v>
      </c>
      <c r="K1379" s="68">
        <v>45351</v>
      </c>
      <c r="L1379" s="68">
        <v>46022</v>
      </c>
      <c r="M1379" s="68">
        <v>46203</v>
      </c>
      <c r="N1379" s="69">
        <f t="shared" si="65"/>
        <v>3</v>
      </c>
      <c r="O1379" s="69">
        <f t="shared" si="66"/>
        <v>0</v>
      </c>
      <c r="P1379" s="70">
        <v>7</v>
      </c>
      <c r="Q1379" s="70">
        <v>10</v>
      </c>
      <c r="R1379" s="70">
        <v>10</v>
      </c>
      <c r="S1379" s="68" t="str">
        <f t="shared" si="67"/>
        <v/>
      </c>
      <c r="T1379" s="68"/>
      <c r="U1379" s="68"/>
      <c r="V1379" s="68"/>
      <c r="W1379" s="9"/>
      <c r="X1379" s="10"/>
      <c r="Y1379" s="71">
        <f t="shared" si="68"/>
        <v>10</v>
      </c>
      <c r="Z1379" s="73">
        <f t="shared" si="69"/>
        <v>10</v>
      </c>
      <c r="AA1379" s="11" t="str">
        <f t="shared" si="70"/>
        <v/>
      </c>
      <c r="AB1379" s="73">
        <f t="shared" si="71"/>
        <v>3</v>
      </c>
      <c r="AC1379" s="11" t="str">
        <f t="shared" si="72"/>
        <v/>
      </c>
      <c r="AD1379" s="73">
        <f t="shared" si="73"/>
        <v>0</v>
      </c>
      <c r="AE1379" s="11" t="str">
        <f t="shared" si="74"/>
        <v/>
      </c>
      <c r="AF1379" s="73">
        <f t="shared" si="75"/>
        <v>3.001379</v>
      </c>
      <c r="AG1379" s="11" t="str">
        <f t="shared" si="76"/>
        <v/>
      </c>
      <c r="AH1379" s="73">
        <f t="shared" si="77"/>
        <v>1.379E-3</v>
      </c>
    </row>
    <row r="1380" spans="1:34" ht="14.25" customHeight="1">
      <c r="A1380" s="11">
        <v>1365</v>
      </c>
      <c r="B1380" s="66"/>
      <c r="C1380" s="67"/>
      <c r="D1380" s="67"/>
      <c r="E1380" s="67"/>
      <c r="F1380" s="67"/>
      <c r="G1380" s="67" t="s">
        <v>35</v>
      </c>
      <c r="H1380" s="67">
        <v>44586</v>
      </c>
      <c r="I1380" s="6" t="s">
        <v>2002</v>
      </c>
      <c r="J1380" s="94">
        <v>7748101583</v>
      </c>
      <c r="K1380" s="68">
        <v>44561</v>
      </c>
      <c r="L1380" s="68">
        <v>46022</v>
      </c>
      <c r="M1380" s="68">
        <v>46203</v>
      </c>
      <c r="N1380" s="69">
        <f t="shared" si="65"/>
        <v>6</v>
      </c>
      <c r="O1380" s="69">
        <f t="shared" si="66"/>
        <v>-1</v>
      </c>
      <c r="P1380" s="78">
        <v>10</v>
      </c>
      <c r="Q1380" s="78">
        <v>17</v>
      </c>
      <c r="R1380" s="78">
        <v>16</v>
      </c>
      <c r="S1380" s="68" t="str">
        <f t="shared" si="67"/>
        <v/>
      </c>
      <c r="T1380" s="68"/>
      <c r="U1380" s="95"/>
      <c r="V1380" s="68"/>
      <c r="W1380" s="6"/>
      <c r="X1380" s="10" t="s">
        <v>2003</v>
      </c>
      <c r="Y1380" s="71">
        <f t="shared" si="68"/>
        <v>17</v>
      </c>
      <c r="Z1380" s="73">
        <f t="shared" si="69"/>
        <v>16</v>
      </c>
      <c r="AA1380" s="11" t="str">
        <f t="shared" si="70"/>
        <v/>
      </c>
      <c r="AB1380" s="73">
        <f t="shared" si="71"/>
        <v>6</v>
      </c>
      <c r="AC1380" s="11" t="str">
        <f t="shared" si="72"/>
        <v/>
      </c>
      <c r="AD1380" s="73">
        <f t="shared" si="73"/>
        <v>-1</v>
      </c>
      <c r="AE1380" s="11" t="str">
        <f t="shared" si="74"/>
        <v/>
      </c>
      <c r="AF1380" s="73">
        <f t="shared" si="75"/>
        <v>6.0013800000000002</v>
      </c>
      <c r="AG1380" s="11" t="str">
        <f t="shared" si="76"/>
        <v/>
      </c>
      <c r="AH1380" s="73">
        <f t="shared" si="77"/>
        <v>-0.99861999999999995</v>
      </c>
    </row>
    <row r="1381" spans="1:34" ht="14.25" customHeight="1">
      <c r="A1381" s="11">
        <v>1366</v>
      </c>
      <c r="B1381" s="66"/>
      <c r="C1381" s="67"/>
      <c r="D1381" s="67"/>
      <c r="E1381" s="67"/>
      <c r="F1381" s="67"/>
      <c r="G1381" s="67" t="s">
        <v>35</v>
      </c>
      <c r="H1381" s="67">
        <v>45694</v>
      </c>
      <c r="I1381" s="6" t="s">
        <v>2004</v>
      </c>
      <c r="J1381" s="9">
        <v>7748101735</v>
      </c>
      <c r="K1381" s="68">
        <v>45688</v>
      </c>
      <c r="L1381" s="68">
        <v>46022</v>
      </c>
      <c r="M1381" s="68">
        <v>46203</v>
      </c>
      <c r="N1381" s="69">
        <f t="shared" si="65"/>
        <v>16</v>
      </c>
      <c r="O1381" s="69">
        <f t="shared" si="66"/>
        <v>4</v>
      </c>
      <c r="P1381" s="70">
        <v>15</v>
      </c>
      <c r="Q1381" s="70">
        <v>27</v>
      </c>
      <c r="R1381" s="70">
        <v>31</v>
      </c>
      <c r="S1381" s="68" t="str">
        <f t="shared" si="67"/>
        <v/>
      </c>
      <c r="T1381" s="68"/>
      <c r="U1381" s="68"/>
      <c r="V1381" s="68"/>
      <c r="W1381" s="9"/>
      <c r="X1381" s="10"/>
      <c r="Y1381" s="71">
        <f t="shared" si="68"/>
        <v>27</v>
      </c>
      <c r="Z1381" s="73">
        <f t="shared" si="69"/>
        <v>31</v>
      </c>
      <c r="AA1381" s="11" t="str">
        <f t="shared" si="70"/>
        <v/>
      </c>
      <c r="AB1381" s="73">
        <f t="shared" si="71"/>
        <v>16</v>
      </c>
      <c r="AC1381" s="11" t="str">
        <f t="shared" si="72"/>
        <v/>
      </c>
      <c r="AD1381" s="73">
        <f t="shared" si="73"/>
        <v>4</v>
      </c>
      <c r="AE1381" s="11" t="str">
        <f t="shared" si="74"/>
        <v/>
      </c>
      <c r="AF1381" s="73">
        <f t="shared" si="75"/>
        <v>16.001380999999999</v>
      </c>
      <c r="AG1381" s="11" t="str">
        <f t="shared" si="76"/>
        <v/>
      </c>
      <c r="AH1381" s="73">
        <f t="shared" si="77"/>
        <v>4.0013810000000003</v>
      </c>
    </row>
    <row r="1382" spans="1:34" ht="14.25" customHeight="1">
      <c r="A1382" s="11">
        <v>1367</v>
      </c>
      <c r="B1382" s="66"/>
      <c r="C1382" s="67"/>
      <c r="D1382" s="67"/>
      <c r="E1382" s="67"/>
      <c r="F1382" s="67"/>
      <c r="G1382" s="67" t="s">
        <v>35</v>
      </c>
      <c r="H1382" s="67">
        <v>44132</v>
      </c>
      <c r="I1382" s="6" t="s">
        <v>2005</v>
      </c>
      <c r="J1382" s="9">
        <v>7768701164</v>
      </c>
      <c r="K1382" s="68">
        <v>44104</v>
      </c>
      <c r="L1382" s="68">
        <v>46022</v>
      </c>
      <c r="M1382" s="68">
        <v>46203</v>
      </c>
      <c r="N1382" s="69">
        <f t="shared" si="65"/>
        <v>17</v>
      </c>
      <c r="O1382" s="69">
        <f t="shared" si="66"/>
        <v>1</v>
      </c>
      <c r="P1382" s="70">
        <v>5</v>
      </c>
      <c r="Q1382" s="70">
        <v>21</v>
      </c>
      <c r="R1382" s="70">
        <v>22</v>
      </c>
      <c r="S1382" s="68" t="str">
        <f t="shared" si="67"/>
        <v/>
      </c>
      <c r="T1382" s="68"/>
      <c r="U1382" s="68"/>
      <c r="V1382" s="68"/>
      <c r="W1382" s="9"/>
      <c r="X1382" s="10"/>
      <c r="Y1382" s="71">
        <f t="shared" si="68"/>
        <v>21</v>
      </c>
      <c r="Z1382" s="73">
        <f t="shared" si="69"/>
        <v>22</v>
      </c>
      <c r="AA1382" s="11" t="str">
        <f t="shared" si="70"/>
        <v/>
      </c>
      <c r="AB1382" s="73">
        <f t="shared" si="71"/>
        <v>17</v>
      </c>
      <c r="AC1382" s="11" t="str">
        <f t="shared" si="72"/>
        <v/>
      </c>
      <c r="AD1382" s="73">
        <f t="shared" si="73"/>
        <v>1</v>
      </c>
      <c r="AE1382" s="11" t="str">
        <f t="shared" si="74"/>
        <v/>
      </c>
      <c r="AF1382" s="73">
        <f t="shared" si="75"/>
        <v>17.001382</v>
      </c>
      <c r="AG1382" s="11" t="str">
        <f t="shared" si="76"/>
        <v/>
      </c>
      <c r="AH1382" s="73">
        <f t="shared" si="77"/>
        <v>1.001382</v>
      </c>
    </row>
    <row r="1383" spans="1:34" ht="14.25" customHeight="1">
      <c r="A1383" s="11">
        <v>1368</v>
      </c>
      <c r="B1383" s="66"/>
      <c r="C1383" s="67"/>
      <c r="D1383" s="67"/>
      <c r="E1383" s="67"/>
      <c r="F1383" s="67"/>
      <c r="G1383" s="67" t="s">
        <v>24</v>
      </c>
      <c r="H1383" s="67">
        <v>42801</v>
      </c>
      <c r="I1383" s="6" t="s">
        <v>2006</v>
      </c>
      <c r="J1383" s="9">
        <v>7778100389</v>
      </c>
      <c r="K1383" s="68">
        <v>42794</v>
      </c>
      <c r="L1383" s="68" t="s">
        <v>230</v>
      </c>
      <c r="M1383" s="68">
        <v>44347</v>
      </c>
      <c r="N1383" s="69">
        <f t="shared" si="65"/>
        <v>-76</v>
      </c>
      <c r="O1383" s="69" t="str">
        <f t="shared" si="66"/>
        <v>N/A</v>
      </c>
      <c r="P1383" s="70">
        <v>76</v>
      </c>
      <c r="Q1383" s="70"/>
      <c r="R1383" s="70">
        <v>0</v>
      </c>
      <c r="S1383" s="68">
        <f t="shared" si="67"/>
        <v>44336</v>
      </c>
      <c r="T1383" s="68">
        <v>44336</v>
      </c>
      <c r="U1383" s="68"/>
      <c r="V1383" s="68"/>
      <c r="W1383" s="9"/>
      <c r="X1383" s="10"/>
      <c r="Y1383" s="65" t="str">
        <f t="shared" si="68"/>
        <v/>
      </c>
      <c r="Z1383" s="11" t="str">
        <f t="shared" si="69"/>
        <v/>
      </c>
      <c r="AA1383" s="11" t="str">
        <f t="shared" si="70"/>
        <v/>
      </c>
      <c r="AB1383" s="73">
        <f t="shared" si="71"/>
        <v>-76</v>
      </c>
      <c r="AC1383" s="11" t="str">
        <f t="shared" si="72"/>
        <v/>
      </c>
      <c r="AD1383" s="11" t="str">
        <f t="shared" si="73"/>
        <v/>
      </c>
      <c r="AE1383" s="11" t="str">
        <f t="shared" si="74"/>
        <v/>
      </c>
      <c r="AF1383" s="73">
        <f t="shared" si="75"/>
        <v>-75.998616999999996</v>
      </c>
      <c r="AG1383" s="11" t="str">
        <f t="shared" si="76"/>
        <v/>
      </c>
      <c r="AH1383" s="11" t="str">
        <f t="shared" si="77"/>
        <v/>
      </c>
    </row>
    <row r="1384" spans="1:34" ht="14.25" customHeight="1">
      <c r="A1384" s="11">
        <v>1369</v>
      </c>
      <c r="B1384" s="66" t="s">
        <v>35</v>
      </c>
      <c r="C1384" s="67">
        <v>45261</v>
      </c>
      <c r="D1384" s="67">
        <v>45280</v>
      </c>
      <c r="E1384" s="67"/>
      <c r="F1384" s="67"/>
      <c r="G1384" s="67"/>
      <c r="H1384" s="67"/>
      <c r="I1384" s="6" t="s">
        <v>2007</v>
      </c>
      <c r="J1384" s="9">
        <v>7778100808</v>
      </c>
      <c r="K1384" s="68">
        <v>45260</v>
      </c>
      <c r="L1384" s="68">
        <v>46022</v>
      </c>
      <c r="M1384" s="68">
        <v>46203</v>
      </c>
      <c r="N1384" s="69">
        <f t="shared" si="65"/>
        <v>-3</v>
      </c>
      <c r="O1384" s="69">
        <f t="shared" si="66"/>
        <v>3</v>
      </c>
      <c r="P1384" s="70">
        <v>26</v>
      </c>
      <c r="Q1384" s="70">
        <v>20</v>
      </c>
      <c r="R1384" s="70">
        <v>23</v>
      </c>
      <c r="S1384" s="68" t="str">
        <f t="shared" si="67"/>
        <v/>
      </c>
      <c r="T1384" s="68"/>
      <c r="U1384" s="68"/>
      <c r="V1384" s="68"/>
      <c r="W1384" s="9"/>
      <c r="X1384" s="10"/>
      <c r="Y1384" s="71">
        <f t="shared" si="68"/>
        <v>20</v>
      </c>
      <c r="Z1384" s="73">
        <f t="shared" si="69"/>
        <v>23</v>
      </c>
      <c r="AA1384" s="73">
        <f t="shared" si="70"/>
        <v>-3</v>
      </c>
      <c r="AB1384" s="11" t="str">
        <f t="shared" si="71"/>
        <v/>
      </c>
      <c r="AC1384" s="73">
        <f t="shared" si="72"/>
        <v>3</v>
      </c>
      <c r="AD1384" s="11" t="str">
        <f t="shared" si="73"/>
        <v/>
      </c>
      <c r="AE1384" s="73">
        <f t="shared" si="74"/>
        <v>-2.9986160000000002</v>
      </c>
      <c r="AF1384" s="11" t="str">
        <f t="shared" si="75"/>
        <v/>
      </c>
      <c r="AG1384" s="73">
        <f t="shared" si="76"/>
        <v>3.0013839999999998</v>
      </c>
      <c r="AH1384" s="11" t="str">
        <f t="shared" si="77"/>
        <v/>
      </c>
    </row>
    <row r="1385" spans="1:34" ht="14.25" customHeight="1">
      <c r="A1385" s="11">
        <v>1370</v>
      </c>
      <c r="B1385" s="66" t="s">
        <v>24</v>
      </c>
      <c r="C1385" s="67">
        <v>42416</v>
      </c>
      <c r="D1385" s="67"/>
      <c r="E1385" s="67"/>
      <c r="F1385" s="67"/>
      <c r="G1385" s="67"/>
      <c r="H1385" s="67"/>
      <c r="I1385" s="6" t="s">
        <v>2008</v>
      </c>
      <c r="J1385" s="9">
        <v>7788100723</v>
      </c>
      <c r="K1385" s="68">
        <v>42400</v>
      </c>
      <c r="L1385" s="68" t="s">
        <v>230</v>
      </c>
      <c r="M1385" s="68">
        <v>44347</v>
      </c>
      <c r="N1385" s="69">
        <f t="shared" si="65"/>
        <v>0</v>
      </c>
      <c r="O1385" s="69" t="str">
        <f t="shared" si="66"/>
        <v>N/A</v>
      </c>
      <c r="P1385" s="70">
        <v>0</v>
      </c>
      <c r="Q1385" s="70"/>
      <c r="R1385" s="70">
        <v>0</v>
      </c>
      <c r="S1385" s="68">
        <f t="shared" si="67"/>
        <v>44341</v>
      </c>
      <c r="T1385" s="68">
        <v>44341</v>
      </c>
      <c r="U1385" s="68"/>
      <c r="V1385" s="68"/>
      <c r="W1385" s="9"/>
      <c r="X1385" s="10"/>
      <c r="Y1385" s="65" t="str">
        <f t="shared" si="68"/>
        <v/>
      </c>
      <c r="Z1385" s="11" t="str">
        <f t="shared" si="69"/>
        <v/>
      </c>
      <c r="AA1385" s="73">
        <f t="shared" si="70"/>
        <v>0</v>
      </c>
      <c r="AB1385" s="11" t="str">
        <f t="shared" si="71"/>
        <v/>
      </c>
      <c r="AC1385" s="11" t="str">
        <f t="shared" si="72"/>
        <v/>
      </c>
      <c r="AD1385" s="11" t="str">
        <f t="shared" si="73"/>
        <v/>
      </c>
      <c r="AE1385" s="73">
        <f t="shared" si="74"/>
        <v>1.3849999999999999E-3</v>
      </c>
      <c r="AF1385" s="11" t="str">
        <f t="shared" si="75"/>
        <v/>
      </c>
      <c r="AG1385" s="11" t="str">
        <f t="shared" si="76"/>
        <v/>
      </c>
      <c r="AH1385" s="11" t="str">
        <f t="shared" si="77"/>
        <v/>
      </c>
    </row>
    <row r="1386" spans="1:34" ht="14.25" customHeight="1">
      <c r="A1386" s="11">
        <v>1371</v>
      </c>
      <c r="B1386" s="66"/>
      <c r="C1386" s="67"/>
      <c r="D1386" s="67"/>
      <c r="E1386" s="67"/>
      <c r="F1386" s="67"/>
      <c r="G1386" s="67" t="s">
        <v>35</v>
      </c>
      <c r="H1386" s="67">
        <v>43973</v>
      </c>
      <c r="I1386" s="6" t="s">
        <v>2009</v>
      </c>
      <c r="J1386" s="9">
        <v>7788101173</v>
      </c>
      <c r="K1386" s="68">
        <v>43951</v>
      </c>
      <c r="L1386" s="68">
        <v>46022</v>
      </c>
      <c r="M1386" s="68">
        <v>46203</v>
      </c>
      <c r="N1386" s="69">
        <f t="shared" si="65"/>
        <v>13</v>
      </c>
      <c r="O1386" s="69">
        <f t="shared" si="66"/>
        <v>-47</v>
      </c>
      <c r="P1386" s="70">
        <v>20</v>
      </c>
      <c r="Q1386" s="70">
        <v>80</v>
      </c>
      <c r="R1386" s="70">
        <v>33</v>
      </c>
      <c r="S1386" s="68" t="str">
        <f t="shared" si="67"/>
        <v/>
      </c>
      <c r="T1386" s="68"/>
      <c r="U1386" s="68"/>
      <c r="V1386" s="68"/>
      <c r="W1386" s="9"/>
      <c r="X1386" s="10"/>
      <c r="Y1386" s="71">
        <f t="shared" si="68"/>
        <v>80</v>
      </c>
      <c r="Z1386" s="73">
        <f t="shared" si="69"/>
        <v>33</v>
      </c>
      <c r="AA1386" s="11" t="str">
        <f t="shared" si="70"/>
        <v/>
      </c>
      <c r="AB1386" s="73">
        <f t="shared" si="71"/>
        <v>13</v>
      </c>
      <c r="AC1386" s="11" t="str">
        <f t="shared" si="72"/>
        <v/>
      </c>
      <c r="AD1386" s="73">
        <f t="shared" si="73"/>
        <v>-47</v>
      </c>
      <c r="AE1386" s="11" t="str">
        <f t="shared" si="74"/>
        <v/>
      </c>
      <c r="AF1386" s="73">
        <f t="shared" si="75"/>
        <v>13.001386</v>
      </c>
      <c r="AG1386" s="11" t="str">
        <f t="shared" si="76"/>
        <v/>
      </c>
      <c r="AH1386" s="73">
        <f t="shared" si="77"/>
        <v>-46.998614000000003</v>
      </c>
    </row>
    <row r="1387" spans="1:34" ht="14.25" customHeight="1">
      <c r="A1387" s="11">
        <v>1372</v>
      </c>
      <c r="B1387" s="66"/>
      <c r="C1387" s="67"/>
      <c r="D1387" s="67"/>
      <c r="E1387" s="67"/>
      <c r="F1387" s="67"/>
      <c r="G1387" s="67" t="s">
        <v>35</v>
      </c>
      <c r="H1387" s="67">
        <v>45296</v>
      </c>
      <c r="I1387" s="6" t="s">
        <v>2010</v>
      </c>
      <c r="J1387" s="9">
        <v>7788602712</v>
      </c>
      <c r="K1387" s="68">
        <v>45291</v>
      </c>
      <c r="L1387" s="68">
        <v>46022</v>
      </c>
      <c r="M1387" s="68">
        <v>46203</v>
      </c>
      <c r="N1387" s="69">
        <f t="shared" si="65"/>
        <v>4</v>
      </c>
      <c r="O1387" s="69">
        <f t="shared" si="66"/>
        <v>1</v>
      </c>
      <c r="P1387" s="70">
        <v>2</v>
      </c>
      <c r="Q1387" s="70">
        <v>5</v>
      </c>
      <c r="R1387" s="70">
        <v>6</v>
      </c>
      <c r="S1387" s="68" t="str">
        <f t="shared" si="67"/>
        <v/>
      </c>
      <c r="T1387" s="68"/>
      <c r="U1387" s="68"/>
      <c r="V1387" s="68"/>
      <c r="W1387" s="9"/>
      <c r="X1387" s="10"/>
      <c r="Y1387" s="71">
        <f t="shared" si="68"/>
        <v>5</v>
      </c>
      <c r="Z1387" s="73">
        <f t="shared" si="69"/>
        <v>6</v>
      </c>
      <c r="AA1387" s="11" t="str">
        <f t="shared" si="70"/>
        <v/>
      </c>
      <c r="AB1387" s="73">
        <f t="shared" si="71"/>
        <v>4</v>
      </c>
      <c r="AC1387" s="11" t="str">
        <f t="shared" si="72"/>
        <v/>
      </c>
      <c r="AD1387" s="73">
        <f t="shared" si="73"/>
        <v>1</v>
      </c>
      <c r="AE1387" s="11" t="str">
        <f t="shared" si="74"/>
        <v/>
      </c>
      <c r="AF1387" s="73">
        <f t="shared" si="75"/>
        <v>4.0013870000000002</v>
      </c>
      <c r="AG1387" s="11" t="str">
        <f t="shared" si="76"/>
        <v/>
      </c>
      <c r="AH1387" s="73">
        <f t="shared" si="77"/>
        <v>1.001387</v>
      </c>
    </row>
    <row r="1388" spans="1:34" ht="14.25" customHeight="1">
      <c r="A1388" s="11">
        <v>1373</v>
      </c>
      <c r="B1388" s="66" t="s">
        <v>35</v>
      </c>
      <c r="C1388" s="67">
        <v>42821</v>
      </c>
      <c r="D1388" s="67">
        <v>43623</v>
      </c>
      <c r="E1388" s="67"/>
      <c r="F1388" s="67"/>
      <c r="G1388" s="67"/>
      <c r="H1388" s="67"/>
      <c r="I1388" s="6" t="s">
        <v>2011</v>
      </c>
      <c r="J1388" s="9">
        <v>7798100425</v>
      </c>
      <c r="K1388" s="68">
        <v>42794</v>
      </c>
      <c r="L1388" s="68">
        <v>46022</v>
      </c>
      <c r="M1388" s="68">
        <v>46203</v>
      </c>
      <c r="N1388" s="69">
        <f t="shared" si="65"/>
        <v>10</v>
      </c>
      <c r="O1388" s="69">
        <f t="shared" si="66"/>
        <v>-9</v>
      </c>
      <c r="P1388" s="70">
        <v>2</v>
      </c>
      <c r="Q1388" s="70">
        <v>21</v>
      </c>
      <c r="R1388" s="70">
        <v>12</v>
      </c>
      <c r="S1388" s="68" t="str">
        <f t="shared" si="67"/>
        <v/>
      </c>
      <c r="T1388" s="68"/>
      <c r="U1388" s="68"/>
      <c r="V1388" s="68"/>
      <c r="W1388" s="9"/>
      <c r="X1388" s="10"/>
      <c r="Y1388" s="71">
        <f t="shared" si="68"/>
        <v>21</v>
      </c>
      <c r="Z1388" s="73">
        <f t="shared" si="69"/>
        <v>12</v>
      </c>
      <c r="AA1388" s="73">
        <f t="shared" si="70"/>
        <v>10</v>
      </c>
      <c r="AB1388" s="11" t="str">
        <f t="shared" si="71"/>
        <v/>
      </c>
      <c r="AC1388" s="73">
        <f t="shared" si="72"/>
        <v>-9</v>
      </c>
      <c r="AD1388" s="11" t="str">
        <f t="shared" si="73"/>
        <v/>
      </c>
      <c r="AE1388" s="73">
        <f t="shared" si="74"/>
        <v>10.001388</v>
      </c>
      <c r="AF1388" s="11" t="str">
        <f t="shared" si="75"/>
        <v/>
      </c>
      <c r="AG1388" s="73">
        <f t="shared" si="76"/>
        <v>-8.9986119999999996</v>
      </c>
      <c r="AH1388" s="11" t="str">
        <f t="shared" si="77"/>
        <v/>
      </c>
    </row>
    <row r="1389" spans="1:34" ht="14.25" customHeight="1">
      <c r="A1389" s="11">
        <v>1374</v>
      </c>
      <c r="B1389" s="66" t="s">
        <v>35</v>
      </c>
      <c r="C1389" s="67">
        <v>45078</v>
      </c>
      <c r="D1389" s="67">
        <v>45195</v>
      </c>
      <c r="E1389" s="67"/>
      <c r="F1389" s="67"/>
      <c r="G1389" s="67"/>
      <c r="H1389" s="67"/>
      <c r="I1389" s="6" t="s">
        <v>2012</v>
      </c>
      <c r="J1389" s="9">
        <v>7818101811</v>
      </c>
      <c r="K1389" s="68">
        <v>45077</v>
      </c>
      <c r="L1389" s="68">
        <v>46022</v>
      </c>
      <c r="M1389" s="68">
        <v>46203</v>
      </c>
      <c r="N1389" s="69">
        <f t="shared" si="65"/>
        <v>5</v>
      </c>
      <c r="O1389" s="69">
        <f t="shared" si="66"/>
        <v>-11</v>
      </c>
      <c r="P1389" s="70">
        <v>14</v>
      </c>
      <c r="Q1389" s="70">
        <v>30</v>
      </c>
      <c r="R1389" s="70">
        <v>19</v>
      </c>
      <c r="S1389" s="68" t="str">
        <f t="shared" si="67"/>
        <v/>
      </c>
      <c r="T1389" s="68"/>
      <c r="U1389" s="68"/>
      <c r="V1389" s="68"/>
      <c r="W1389" s="9"/>
      <c r="X1389" s="10"/>
      <c r="Y1389" s="71">
        <f t="shared" si="68"/>
        <v>30</v>
      </c>
      <c r="Z1389" s="73">
        <f t="shared" si="69"/>
        <v>19</v>
      </c>
      <c r="AA1389" s="73">
        <f t="shared" si="70"/>
        <v>5</v>
      </c>
      <c r="AB1389" s="11" t="str">
        <f t="shared" si="71"/>
        <v/>
      </c>
      <c r="AC1389" s="73">
        <f t="shared" si="72"/>
        <v>-11</v>
      </c>
      <c r="AD1389" s="11" t="str">
        <f t="shared" si="73"/>
        <v/>
      </c>
      <c r="AE1389" s="73">
        <f t="shared" si="74"/>
        <v>5.0013889999999996</v>
      </c>
      <c r="AF1389" s="11" t="str">
        <f t="shared" si="75"/>
        <v/>
      </c>
      <c r="AG1389" s="73">
        <f t="shared" si="76"/>
        <v>-10.998611</v>
      </c>
      <c r="AH1389" s="11" t="str">
        <f t="shared" si="77"/>
        <v/>
      </c>
    </row>
    <row r="1390" spans="1:34" ht="14.25" customHeight="1">
      <c r="A1390" s="11">
        <v>1375</v>
      </c>
      <c r="B1390" s="66" t="s">
        <v>35</v>
      </c>
      <c r="C1390" s="67">
        <v>44896</v>
      </c>
      <c r="D1390" s="67">
        <v>44998</v>
      </c>
      <c r="E1390" s="67"/>
      <c r="F1390" s="67"/>
      <c r="G1390" s="67" t="s">
        <v>35</v>
      </c>
      <c r="H1390" s="67">
        <v>44403</v>
      </c>
      <c r="I1390" s="6" t="s">
        <v>2013</v>
      </c>
      <c r="J1390" s="9">
        <v>7818102130</v>
      </c>
      <c r="K1390" s="68">
        <v>44377</v>
      </c>
      <c r="L1390" s="68">
        <v>46022</v>
      </c>
      <c r="M1390" s="68">
        <v>46203</v>
      </c>
      <c r="N1390" s="69">
        <f t="shared" si="65"/>
        <v>6</v>
      </c>
      <c r="O1390" s="69">
        <f t="shared" si="66"/>
        <v>1</v>
      </c>
      <c r="P1390" s="70">
        <v>2</v>
      </c>
      <c r="Q1390" s="70">
        <v>7</v>
      </c>
      <c r="R1390" s="70">
        <v>8</v>
      </c>
      <c r="S1390" s="68" t="str">
        <f t="shared" si="67"/>
        <v/>
      </c>
      <c r="T1390" s="68"/>
      <c r="U1390" s="68"/>
      <c r="V1390" s="68"/>
      <c r="W1390" s="9"/>
      <c r="X1390" s="10"/>
      <c r="Y1390" s="71">
        <f t="shared" si="68"/>
        <v>7</v>
      </c>
      <c r="Z1390" s="73">
        <f t="shared" si="69"/>
        <v>8</v>
      </c>
      <c r="AA1390" s="73">
        <f t="shared" si="70"/>
        <v>6</v>
      </c>
      <c r="AB1390" s="73">
        <f t="shared" si="71"/>
        <v>6</v>
      </c>
      <c r="AC1390" s="73">
        <f t="shared" si="72"/>
        <v>1</v>
      </c>
      <c r="AD1390" s="73">
        <f t="shared" si="73"/>
        <v>1</v>
      </c>
      <c r="AE1390" s="73">
        <f t="shared" si="74"/>
        <v>6.0013899999999998</v>
      </c>
      <c r="AF1390" s="73">
        <f t="shared" si="75"/>
        <v>6.0013899999999998</v>
      </c>
      <c r="AG1390" s="73">
        <f t="shared" si="76"/>
        <v>1.00139</v>
      </c>
      <c r="AH1390" s="73">
        <f t="shared" si="77"/>
        <v>1.00139</v>
      </c>
    </row>
    <row r="1391" spans="1:34" ht="14.25" customHeight="1">
      <c r="A1391" s="11">
        <v>1376</v>
      </c>
      <c r="B1391" s="66"/>
      <c r="C1391" s="67"/>
      <c r="D1391" s="67"/>
      <c r="E1391" s="67"/>
      <c r="F1391" s="67"/>
      <c r="G1391" s="67" t="s">
        <v>35</v>
      </c>
      <c r="H1391" s="67">
        <v>45610</v>
      </c>
      <c r="I1391" s="6" t="s">
        <v>2014</v>
      </c>
      <c r="J1391" s="9">
        <v>7828700200</v>
      </c>
      <c r="K1391" s="68">
        <v>45596</v>
      </c>
      <c r="L1391" s="68">
        <v>46022</v>
      </c>
      <c r="M1391" s="68">
        <v>46203</v>
      </c>
      <c r="N1391" s="69">
        <f t="shared" si="65"/>
        <v>-9</v>
      </c>
      <c r="O1391" s="69">
        <f t="shared" si="66"/>
        <v>-4</v>
      </c>
      <c r="P1391" s="70">
        <v>30</v>
      </c>
      <c r="Q1391" s="70">
        <v>25</v>
      </c>
      <c r="R1391" s="70">
        <v>21</v>
      </c>
      <c r="S1391" s="68" t="str">
        <f t="shared" si="67"/>
        <v/>
      </c>
      <c r="T1391" s="68"/>
      <c r="U1391" s="68"/>
      <c r="V1391" s="68"/>
      <c r="W1391" s="9"/>
      <c r="X1391" s="10"/>
      <c r="Y1391" s="71">
        <f t="shared" si="68"/>
        <v>25</v>
      </c>
      <c r="Z1391" s="73">
        <f t="shared" si="69"/>
        <v>21</v>
      </c>
      <c r="AA1391" s="11" t="str">
        <f t="shared" si="70"/>
        <v/>
      </c>
      <c r="AB1391" s="73">
        <f t="shared" si="71"/>
        <v>-9</v>
      </c>
      <c r="AC1391" s="11" t="str">
        <f t="shared" si="72"/>
        <v/>
      </c>
      <c r="AD1391" s="73">
        <f t="shared" si="73"/>
        <v>-4</v>
      </c>
      <c r="AE1391" s="11" t="str">
        <f t="shared" si="74"/>
        <v/>
      </c>
      <c r="AF1391" s="73">
        <f t="shared" si="75"/>
        <v>-8.9986090000000001</v>
      </c>
      <c r="AG1391" s="11" t="str">
        <f t="shared" si="76"/>
        <v/>
      </c>
      <c r="AH1391" s="73">
        <f t="shared" si="77"/>
        <v>-3.9986090000000001</v>
      </c>
    </row>
    <row r="1392" spans="1:34" ht="14.25" customHeight="1">
      <c r="A1392" s="11">
        <v>1377</v>
      </c>
      <c r="B1392" s="66"/>
      <c r="C1392" s="67"/>
      <c r="D1392" s="67"/>
      <c r="E1392" s="67"/>
      <c r="F1392" s="67"/>
      <c r="G1392" s="67" t="s">
        <v>35</v>
      </c>
      <c r="H1392" s="67">
        <v>45544</v>
      </c>
      <c r="I1392" s="6" t="s">
        <v>2015</v>
      </c>
      <c r="J1392" s="9">
        <v>7838102586</v>
      </c>
      <c r="K1392" s="68">
        <v>45535</v>
      </c>
      <c r="L1392" s="68">
        <v>46022</v>
      </c>
      <c r="M1392" s="68">
        <v>46203</v>
      </c>
      <c r="N1392" s="69">
        <f t="shared" si="65"/>
        <v>3</v>
      </c>
      <c r="O1392" s="69">
        <f t="shared" si="66"/>
        <v>2</v>
      </c>
      <c r="P1392" s="70">
        <v>7</v>
      </c>
      <c r="Q1392" s="70">
        <v>8</v>
      </c>
      <c r="R1392" s="70">
        <v>10</v>
      </c>
      <c r="S1392" s="68" t="str">
        <f t="shared" si="67"/>
        <v/>
      </c>
      <c r="T1392" s="68"/>
      <c r="U1392" s="68"/>
      <c r="V1392" s="68"/>
      <c r="W1392" s="9"/>
      <c r="X1392" s="10"/>
      <c r="Y1392" s="71">
        <f t="shared" si="68"/>
        <v>8</v>
      </c>
      <c r="Z1392" s="73">
        <f t="shared" si="69"/>
        <v>10</v>
      </c>
      <c r="AA1392" s="11" t="str">
        <f t="shared" si="70"/>
        <v/>
      </c>
      <c r="AB1392" s="73">
        <f t="shared" si="71"/>
        <v>3</v>
      </c>
      <c r="AC1392" s="11" t="str">
        <f t="shared" si="72"/>
        <v/>
      </c>
      <c r="AD1392" s="73">
        <f t="shared" si="73"/>
        <v>2</v>
      </c>
      <c r="AE1392" s="11" t="str">
        <f t="shared" si="74"/>
        <v/>
      </c>
      <c r="AF1392" s="73">
        <f t="shared" si="75"/>
        <v>3.0013920000000001</v>
      </c>
      <c r="AG1392" s="11" t="str">
        <f t="shared" si="76"/>
        <v/>
      </c>
      <c r="AH1392" s="73">
        <f t="shared" si="77"/>
        <v>2.0013920000000001</v>
      </c>
    </row>
    <row r="1393" spans="1:34" ht="14.25" customHeight="1">
      <c r="A1393" s="11">
        <v>1378</v>
      </c>
      <c r="B1393" s="66"/>
      <c r="C1393" s="67"/>
      <c r="D1393" s="67"/>
      <c r="E1393" s="67"/>
      <c r="F1393" s="67"/>
      <c r="G1393" s="67" t="s">
        <v>35</v>
      </c>
      <c r="H1393" s="67">
        <v>45076</v>
      </c>
      <c r="I1393" s="6" t="s">
        <v>2016</v>
      </c>
      <c r="J1393" s="9">
        <v>7848102274</v>
      </c>
      <c r="K1393" s="68">
        <v>45046</v>
      </c>
      <c r="L1393" s="68">
        <v>46022</v>
      </c>
      <c r="M1393" s="68">
        <v>46203</v>
      </c>
      <c r="N1393" s="69">
        <f t="shared" si="65"/>
        <v>8</v>
      </c>
      <c r="O1393" s="69">
        <f t="shared" si="66"/>
        <v>-15</v>
      </c>
      <c r="P1393" s="70">
        <v>7</v>
      </c>
      <c r="Q1393" s="70">
        <v>30</v>
      </c>
      <c r="R1393" s="70">
        <v>15</v>
      </c>
      <c r="S1393" s="68" t="str">
        <f t="shared" si="67"/>
        <v/>
      </c>
      <c r="T1393" s="68"/>
      <c r="U1393" s="68"/>
      <c r="V1393" s="68"/>
      <c r="W1393" s="9"/>
      <c r="X1393" s="10"/>
      <c r="Y1393" s="71">
        <f t="shared" si="68"/>
        <v>30</v>
      </c>
      <c r="Z1393" s="73">
        <f t="shared" si="69"/>
        <v>15</v>
      </c>
      <c r="AA1393" s="11" t="str">
        <f t="shared" si="70"/>
        <v/>
      </c>
      <c r="AB1393" s="73">
        <f t="shared" si="71"/>
        <v>8</v>
      </c>
      <c r="AC1393" s="11" t="str">
        <f t="shared" si="72"/>
        <v/>
      </c>
      <c r="AD1393" s="73">
        <f t="shared" si="73"/>
        <v>-15</v>
      </c>
      <c r="AE1393" s="11" t="str">
        <f t="shared" si="74"/>
        <v/>
      </c>
      <c r="AF1393" s="73">
        <f t="shared" si="75"/>
        <v>8.0013930000000002</v>
      </c>
      <c r="AG1393" s="11" t="str">
        <f t="shared" si="76"/>
        <v/>
      </c>
      <c r="AH1393" s="73">
        <f t="shared" si="77"/>
        <v>-14.998607</v>
      </c>
    </row>
    <row r="1394" spans="1:34" ht="14.25" customHeight="1">
      <c r="A1394" s="11">
        <v>1379</v>
      </c>
      <c r="B1394" s="66"/>
      <c r="C1394" s="67"/>
      <c r="D1394" s="67"/>
      <c r="E1394" s="67"/>
      <c r="F1394" s="67"/>
      <c r="G1394" s="67" t="s">
        <v>35</v>
      </c>
      <c r="H1394" s="67">
        <v>45580</v>
      </c>
      <c r="I1394" s="6" t="s">
        <v>2017</v>
      </c>
      <c r="J1394" s="9">
        <v>7848103365</v>
      </c>
      <c r="K1394" s="68">
        <v>45565</v>
      </c>
      <c r="L1394" s="68">
        <v>46022</v>
      </c>
      <c r="M1394" s="68">
        <v>46203</v>
      </c>
      <c r="N1394" s="69">
        <f t="shared" si="65"/>
        <v>7</v>
      </c>
      <c r="O1394" s="69">
        <f t="shared" si="66"/>
        <v>0</v>
      </c>
      <c r="P1394" s="70">
        <v>0</v>
      </c>
      <c r="Q1394" s="70">
        <v>7</v>
      </c>
      <c r="R1394" s="70">
        <v>7</v>
      </c>
      <c r="S1394" s="68" t="str">
        <f t="shared" si="67"/>
        <v/>
      </c>
      <c r="T1394" s="68"/>
      <c r="U1394" s="68"/>
      <c r="V1394" s="68"/>
      <c r="W1394" s="9"/>
      <c r="X1394" s="10"/>
      <c r="Y1394" s="71">
        <f t="shared" si="68"/>
        <v>7</v>
      </c>
      <c r="Z1394" s="73">
        <f t="shared" si="69"/>
        <v>7</v>
      </c>
      <c r="AA1394" s="11" t="str">
        <f t="shared" si="70"/>
        <v/>
      </c>
      <c r="AB1394" s="73">
        <f t="shared" si="71"/>
        <v>7</v>
      </c>
      <c r="AC1394" s="11" t="str">
        <f t="shared" si="72"/>
        <v/>
      </c>
      <c r="AD1394" s="73">
        <f t="shared" si="73"/>
        <v>0</v>
      </c>
      <c r="AE1394" s="11" t="str">
        <f t="shared" si="74"/>
        <v/>
      </c>
      <c r="AF1394" s="73">
        <f t="shared" si="75"/>
        <v>7.0013940000000003</v>
      </c>
      <c r="AG1394" s="11" t="str">
        <f t="shared" si="76"/>
        <v/>
      </c>
      <c r="AH1394" s="73">
        <f t="shared" si="77"/>
        <v>1.3940000000000001E-3</v>
      </c>
    </row>
    <row r="1395" spans="1:34" ht="14.25" customHeight="1">
      <c r="A1395" s="11">
        <v>1380</v>
      </c>
      <c r="B1395" s="66"/>
      <c r="C1395" s="67"/>
      <c r="D1395" s="67"/>
      <c r="E1395" s="67"/>
      <c r="F1395" s="67"/>
      <c r="G1395" s="67" t="s">
        <v>35</v>
      </c>
      <c r="H1395" s="67">
        <v>44979</v>
      </c>
      <c r="I1395" s="6" t="s">
        <v>2018</v>
      </c>
      <c r="J1395" s="9">
        <v>7848702811</v>
      </c>
      <c r="K1395" s="68">
        <v>44957</v>
      </c>
      <c r="L1395" s="68">
        <v>46022</v>
      </c>
      <c r="M1395" s="68">
        <v>46203</v>
      </c>
      <c r="N1395" s="69">
        <f t="shared" si="65"/>
        <v>7</v>
      </c>
      <c r="O1395" s="69">
        <f t="shared" si="66"/>
        <v>1</v>
      </c>
      <c r="P1395" s="70">
        <v>0</v>
      </c>
      <c r="Q1395" s="70">
        <v>6</v>
      </c>
      <c r="R1395" s="70">
        <v>7</v>
      </c>
      <c r="S1395" s="68" t="str">
        <f t="shared" si="67"/>
        <v/>
      </c>
      <c r="T1395" s="68"/>
      <c r="U1395" s="68"/>
      <c r="V1395" s="68"/>
      <c r="W1395" s="9"/>
      <c r="X1395" s="10"/>
      <c r="Y1395" s="71">
        <f t="shared" si="68"/>
        <v>6</v>
      </c>
      <c r="Z1395" s="73">
        <f t="shared" si="69"/>
        <v>7</v>
      </c>
      <c r="AA1395" s="11" t="str">
        <f t="shared" si="70"/>
        <v/>
      </c>
      <c r="AB1395" s="73">
        <f t="shared" si="71"/>
        <v>7</v>
      </c>
      <c r="AC1395" s="11" t="str">
        <f t="shared" si="72"/>
        <v/>
      </c>
      <c r="AD1395" s="73">
        <f t="shared" si="73"/>
        <v>1</v>
      </c>
      <c r="AE1395" s="11" t="str">
        <f t="shared" si="74"/>
        <v/>
      </c>
      <c r="AF1395" s="73">
        <f t="shared" si="75"/>
        <v>7.0013949999999996</v>
      </c>
      <c r="AG1395" s="11" t="str">
        <f t="shared" si="76"/>
        <v/>
      </c>
      <c r="AH1395" s="73">
        <f t="shared" si="77"/>
        <v>1.001395</v>
      </c>
    </row>
    <row r="1396" spans="1:34" ht="14.25" customHeight="1">
      <c r="A1396" s="11">
        <v>1381</v>
      </c>
      <c r="B1396" s="66"/>
      <c r="C1396" s="67"/>
      <c r="D1396" s="67"/>
      <c r="E1396" s="67"/>
      <c r="F1396" s="67"/>
      <c r="G1396" s="67" t="s">
        <v>35</v>
      </c>
      <c r="H1396" s="67">
        <v>45181</v>
      </c>
      <c r="I1396" s="6" t="s">
        <v>2019</v>
      </c>
      <c r="J1396" s="9">
        <v>7848802180</v>
      </c>
      <c r="K1396" s="68">
        <v>45169</v>
      </c>
      <c r="L1396" s="68">
        <v>46022</v>
      </c>
      <c r="M1396" s="68">
        <v>46203</v>
      </c>
      <c r="N1396" s="69">
        <f t="shared" si="65"/>
        <v>2</v>
      </c>
      <c r="O1396" s="69">
        <f t="shared" si="66"/>
        <v>0</v>
      </c>
      <c r="P1396" s="70">
        <v>7</v>
      </c>
      <c r="Q1396" s="70">
        <v>9</v>
      </c>
      <c r="R1396" s="70">
        <v>9</v>
      </c>
      <c r="S1396" s="68" t="str">
        <f t="shared" si="67"/>
        <v/>
      </c>
      <c r="T1396" s="68"/>
      <c r="U1396" s="68"/>
      <c r="V1396" s="68"/>
      <c r="W1396" s="9"/>
      <c r="X1396" s="10"/>
      <c r="Y1396" s="71">
        <f t="shared" si="68"/>
        <v>9</v>
      </c>
      <c r="Z1396" s="73">
        <f t="shared" si="69"/>
        <v>9</v>
      </c>
      <c r="AA1396" s="11" t="str">
        <f t="shared" si="70"/>
        <v/>
      </c>
      <c r="AB1396" s="73">
        <f t="shared" si="71"/>
        <v>2</v>
      </c>
      <c r="AC1396" s="11" t="str">
        <f t="shared" si="72"/>
        <v/>
      </c>
      <c r="AD1396" s="73">
        <f t="shared" si="73"/>
        <v>0</v>
      </c>
      <c r="AE1396" s="11" t="str">
        <f t="shared" si="74"/>
        <v/>
      </c>
      <c r="AF1396" s="73">
        <f t="shared" si="75"/>
        <v>2.0013960000000002</v>
      </c>
      <c r="AG1396" s="11" t="str">
        <f t="shared" si="76"/>
        <v/>
      </c>
      <c r="AH1396" s="73">
        <f t="shared" si="77"/>
        <v>1.3960000000000001E-3</v>
      </c>
    </row>
    <row r="1397" spans="1:34" ht="14.25" customHeight="1">
      <c r="A1397" s="11">
        <v>1382</v>
      </c>
      <c r="B1397" s="66" t="s">
        <v>35</v>
      </c>
      <c r="C1397" s="67"/>
      <c r="D1397" s="67"/>
      <c r="E1397" s="67"/>
      <c r="F1397" s="67">
        <v>46122</v>
      </c>
      <c r="G1397" s="67"/>
      <c r="H1397" s="67"/>
      <c r="I1397" s="6" t="s">
        <v>2020</v>
      </c>
      <c r="J1397" s="37">
        <v>7858702279</v>
      </c>
      <c r="K1397" s="68">
        <v>46112</v>
      </c>
      <c r="L1397" s="68" t="s">
        <v>230</v>
      </c>
      <c r="M1397" s="68">
        <v>46203</v>
      </c>
      <c r="N1397" s="69">
        <f t="shared" si="65"/>
        <v>1</v>
      </c>
      <c r="O1397" s="69">
        <f t="shared" si="66"/>
        <v>1</v>
      </c>
      <c r="P1397" s="70">
        <v>8</v>
      </c>
      <c r="Q1397" s="70"/>
      <c r="R1397" s="70">
        <v>9</v>
      </c>
      <c r="S1397" s="68" t="str">
        <f t="shared" si="67"/>
        <v/>
      </c>
      <c r="T1397" s="68"/>
      <c r="U1397" s="95"/>
      <c r="V1397" s="68"/>
      <c r="W1397" s="6"/>
      <c r="X1397" s="93"/>
      <c r="Y1397" s="71">
        <f t="shared" si="68"/>
        <v>8</v>
      </c>
      <c r="Z1397" s="73">
        <f t="shared" si="69"/>
        <v>9</v>
      </c>
      <c r="AA1397" s="73">
        <f t="shared" si="70"/>
        <v>1</v>
      </c>
      <c r="AB1397" s="11" t="str">
        <f t="shared" si="71"/>
        <v/>
      </c>
      <c r="AC1397" s="73">
        <f t="shared" si="72"/>
        <v>1</v>
      </c>
      <c r="AD1397" s="11" t="str">
        <f t="shared" si="73"/>
        <v/>
      </c>
      <c r="AE1397" s="73">
        <f t="shared" si="74"/>
        <v>1.0013970000000001</v>
      </c>
      <c r="AF1397" s="11" t="str">
        <f t="shared" si="75"/>
        <v/>
      </c>
      <c r="AG1397" s="73">
        <f t="shared" si="76"/>
        <v>1.0013970000000001</v>
      </c>
      <c r="AH1397" s="11" t="str">
        <f t="shared" si="77"/>
        <v/>
      </c>
    </row>
    <row r="1398" spans="1:34" ht="14.25" customHeight="1">
      <c r="A1398" s="11">
        <v>1383</v>
      </c>
      <c r="B1398" s="66"/>
      <c r="C1398" s="67"/>
      <c r="D1398" s="67"/>
      <c r="E1398" s="67"/>
      <c r="F1398" s="67"/>
      <c r="G1398" s="67" t="s">
        <v>35</v>
      </c>
      <c r="H1398" s="67">
        <v>43342</v>
      </c>
      <c r="I1398" s="6" t="s">
        <v>2021</v>
      </c>
      <c r="J1398" s="9">
        <v>7868101344</v>
      </c>
      <c r="K1398" s="68">
        <v>43312</v>
      </c>
      <c r="L1398" s="68">
        <v>46022</v>
      </c>
      <c r="M1398" s="68">
        <v>46203</v>
      </c>
      <c r="N1398" s="69">
        <f t="shared" si="65"/>
        <v>51</v>
      </c>
      <c r="O1398" s="69">
        <f t="shared" si="66"/>
        <v>4</v>
      </c>
      <c r="P1398" s="70">
        <v>0</v>
      </c>
      <c r="Q1398" s="70">
        <v>47</v>
      </c>
      <c r="R1398" s="70">
        <v>51</v>
      </c>
      <c r="S1398" s="68" t="str">
        <f t="shared" si="67"/>
        <v/>
      </c>
      <c r="T1398" s="68"/>
      <c r="U1398" s="68"/>
      <c r="V1398" s="68"/>
      <c r="W1398" s="9"/>
      <c r="X1398" s="10"/>
      <c r="Y1398" s="71">
        <f t="shared" si="68"/>
        <v>47</v>
      </c>
      <c r="Z1398" s="73">
        <f t="shared" si="69"/>
        <v>51</v>
      </c>
      <c r="AA1398" s="11" t="str">
        <f t="shared" si="70"/>
        <v/>
      </c>
      <c r="AB1398" s="73">
        <f t="shared" si="71"/>
        <v>51</v>
      </c>
      <c r="AC1398" s="11" t="str">
        <f t="shared" si="72"/>
        <v/>
      </c>
      <c r="AD1398" s="73">
        <f t="shared" si="73"/>
        <v>4</v>
      </c>
      <c r="AE1398" s="11" t="str">
        <f t="shared" si="74"/>
        <v/>
      </c>
      <c r="AF1398" s="73">
        <f t="shared" si="75"/>
        <v>51.001398000000002</v>
      </c>
      <c r="AG1398" s="11" t="str">
        <f t="shared" si="76"/>
        <v/>
      </c>
      <c r="AH1398" s="73">
        <f t="shared" si="77"/>
        <v>4.001398</v>
      </c>
    </row>
    <row r="1399" spans="1:34" ht="14.25" customHeight="1">
      <c r="A1399" s="11">
        <v>1384</v>
      </c>
      <c r="B1399" s="66"/>
      <c r="C1399" s="67"/>
      <c r="D1399" s="67"/>
      <c r="E1399" s="67"/>
      <c r="F1399" s="67"/>
      <c r="G1399" s="67" t="s">
        <v>35</v>
      </c>
      <c r="H1399" s="67">
        <v>44909</v>
      </c>
      <c r="I1399" s="6" t="s">
        <v>2022</v>
      </c>
      <c r="J1399" s="9">
        <v>7868600336</v>
      </c>
      <c r="K1399" s="68">
        <v>44895</v>
      </c>
      <c r="L1399" s="68">
        <v>46022</v>
      </c>
      <c r="M1399" s="68">
        <v>46203</v>
      </c>
      <c r="N1399" s="69">
        <f t="shared" si="65"/>
        <v>4</v>
      </c>
      <c r="O1399" s="69">
        <f t="shared" si="66"/>
        <v>0</v>
      </c>
      <c r="P1399" s="70">
        <v>45</v>
      </c>
      <c r="Q1399" s="70">
        <v>49</v>
      </c>
      <c r="R1399" s="70">
        <v>49</v>
      </c>
      <c r="S1399" s="68" t="str">
        <f t="shared" si="67"/>
        <v/>
      </c>
      <c r="T1399" s="68"/>
      <c r="U1399" s="68"/>
      <c r="V1399" s="68"/>
      <c r="W1399" s="9"/>
      <c r="X1399" s="10"/>
      <c r="Y1399" s="71">
        <f t="shared" si="68"/>
        <v>49</v>
      </c>
      <c r="Z1399" s="73">
        <f t="shared" si="69"/>
        <v>49</v>
      </c>
      <c r="AA1399" s="11" t="str">
        <f t="shared" si="70"/>
        <v/>
      </c>
      <c r="AB1399" s="73">
        <f t="shared" si="71"/>
        <v>4</v>
      </c>
      <c r="AC1399" s="11" t="str">
        <f t="shared" si="72"/>
        <v/>
      </c>
      <c r="AD1399" s="73">
        <f t="shared" si="73"/>
        <v>0</v>
      </c>
      <c r="AE1399" s="11" t="str">
        <f t="shared" si="74"/>
        <v/>
      </c>
      <c r="AF1399" s="73">
        <f t="shared" si="75"/>
        <v>4.0013990000000002</v>
      </c>
      <c r="AG1399" s="11" t="str">
        <f t="shared" si="76"/>
        <v/>
      </c>
      <c r="AH1399" s="73">
        <f t="shared" si="77"/>
        <v>1.3990000000000001E-3</v>
      </c>
    </row>
    <row r="1400" spans="1:34" ht="14.25" customHeight="1">
      <c r="A1400" s="11">
        <v>1385</v>
      </c>
      <c r="B1400" s="66" t="s">
        <v>35</v>
      </c>
      <c r="C1400" s="67">
        <v>44986</v>
      </c>
      <c r="D1400" s="67">
        <v>44874</v>
      </c>
      <c r="E1400" s="67"/>
      <c r="F1400" s="67"/>
      <c r="G1400" s="67"/>
      <c r="H1400" s="67"/>
      <c r="I1400" s="6" t="s">
        <v>2023</v>
      </c>
      <c r="J1400" s="9">
        <v>7868601451</v>
      </c>
      <c r="K1400" s="68">
        <v>44865</v>
      </c>
      <c r="L1400" s="68">
        <v>46022</v>
      </c>
      <c r="M1400" s="68">
        <v>46203</v>
      </c>
      <c r="N1400" s="69">
        <f t="shared" si="65"/>
        <v>-8</v>
      </c>
      <c r="O1400" s="69">
        <f t="shared" si="66"/>
        <v>-3</v>
      </c>
      <c r="P1400" s="70">
        <v>15</v>
      </c>
      <c r="Q1400" s="70">
        <v>10</v>
      </c>
      <c r="R1400" s="70">
        <v>7</v>
      </c>
      <c r="S1400" s="68" t="str">
        <f t="shared" si="67"/>
        <v/>
      </c>
      <c r="T1400" s="68"/>
      <c r="U1400" s="68"/>
      <c r="V1400" s="68"/>
      <c r="W1400" s="9"/>
      <c r="X1400" s="10"/>
      <c r="Y1400" s="71">
        <f t="shared" si="68"/>
        <v>10</v>
      </c>
      <c r="Z1400" s="73">
        <f t="shared" si="69"/>
        <v>7</v>
      </c>
      <c r="AA1400" s="73">
        <f t="shared" si="70"/>
        <v>-8</v>
      </c>
      <c r="AB1400" s="11" t="str">
        <f t="shared" si="71"/>
        <v/>
      </c>
      <c r="AC1400" s="73">
        <f t="shared" si="72"/>
        <v>-3</v>
      </c>
      <c r="AD1400" s="11" t="str">
        <f t="shared" si="73"/>
        <v/>
      </c>
      <c r="AE1400" s="73">
        <f t="shared" si="74"/>
        <v>-7.9985999999999997</v>
      </c>
      <c r="AF1400" s="11" t="str">
        <f t="shared" si="75"/>
        <v/>
      </c>
      <c r="AG1400" s="73">
        <f t="shared" si="76"/>
        <v>-2.9986000000000002</v>
      </c>
      <c r="AH1400" s="11" t="str">
        <f t="shared" si="77"/>
        <v/>
      </c>
    </row>
    <row r="1401" spans="1:34" ht="14.25" customHeight="1">
      <c r="A1401" s="11">
        <v>1386</v>
      </c>
      <c r="B1401" s="66" t="s">
        <v>35</v>
      </c>
      <c r="C1401" s="67">
        <v>45352</v>
      </c>
      <c r="D1401" s="67"/>
      <c r="E1401" s="67"/>
      <c r="F1401" s="67"/>
      <c r="G1401" s="67"/>
      <c r="H1401" s="67"/>
      <c r="I1401" s="6" t="s">
        <v>2024</v>
      </c>
      <c r="J1401" s="9">
        <v>7868603255</v>
      </c>
      <c r="K1401" s="68">
        <v>45351</v>
      </c>
      <c r="L1401" s="68">
        <v>46022</v>
      </c>
      <c r="M1401" s="68">
        <v>46203</v>
      </c>
      <c r="N1401" s="69">
        <f t="shared" si="65"/>
        <v>14</v>
      </c>
      <c r="O1401" s="69">
        <f t="shared" si="66"/>
        <v>-1</v>
      </c>
      <c r="P1401" s="70">
        <v>0</v>
      </c>
      <c r="Q1401" s="70">
        <v>15</v>
      </c>
      <c r="R1401" s="70">
        <v>14</v>
      </c>
      <c r="S1401" s="68" t="str">
        <f t="shared" si="67"/>
        <v/>
      </c>
      <c r="T1401" s="68"/>
      <c r="U1401" s="68"/>
      <c r="V1401" s="68"/>
      <c r="W1401" s="9"/>
      <c r="X1401" s="10"/>
      <c r="Y1401" s="71">
        <f t="shared" si="68"/>
        <v>15</v>
      </c>
      <c r="Z1401" s="73">
        <f t="shared" si="69"/>
        <v>14</v>
      </c>
      <c r="AA1401" s="73">
        <f t="shared" si="70"/>
        <v>14</v>
      </c>
      <c r="AB1401" s="11" t="str">
        <f t="shared" si="71"/>
        <v/>
      </c>
      <c r="AC1401" s="73">
        <f t="shared" si="72"/>
        <v>-1</v>
      </c>
      <c r="AD1401" s="11" t="str">
        <f t="shared" si="73"/>
        <v/>
      </c>
      <c r="AE1401" s="73">
        <f t="shared" si="74"/>
        <v>14.001401</v>
      </c>
      <c r="AF1401" s="11" t="str">
        <f t="shared" si="75"/>
        <v/>
      </c>
      <c r="AG1401" s="73">
        <f t="shared" si="76"/>
        <v>-0.99859900000000001</v>
      </c>
      <c r="AH1401" s="11" t="str">
        <f t="shared" si="77"/>
        <v/>
      </c>
    </row>
    <row r="1402" spans="1:34" ht="14.25" customHeight="1">
      <c r="A1402" s="11">
        <v>1387</v>
      </c>
      <c r="B1402" s="66"/>
      <c r="C1402" s="67"/>
      <c r="D1402" s="67"/>
      <c r="E1402" s="67"/>
      <c r="F1402" s="67"/>
      <c r="G1402" s="67" t="s">
        <v>35</v>
      </c>
      <c r="H1402" s="67">
        <v>45128</v>
      </c>
      <c r="I1402" s="6" t="s">
        <v>2025</v>
      </c>
      <c r="J1402" s="9">
        <v>7868800927</v>
      </c>
      <c r="K1402" s="68">
        <v>45107</v>
      </c>
      <c r="L1402" s="68">
        <v>46022</v>
      </c>
      <c r="M1402" s="68">
        <v>46203</v>
      </c>
      <c r="N1402" s="69">
        <f t="shared" si="65"/>
        <v>10</v>
      </c>
      <c r="O1402" s="69">
        <f t="shared" si="66"/>
        <v>6</v>
      </c>
      <c r="P1402" s="70">
        <v>10</v>
      </c>
      <c r="Q1402" s="70">
        <v>14</v>
      </c>
      <c r="R1402" s="70">
        <v>20</v>
      </c>
      <c r="S1402" s="68" t="str">
        <f t="shared" si="67"/>
        <v/>
      </c>
      <c r="T1402" s="68"/>
      <c r="U1402" s="68"/>
      <c r="V1402" s="68"/>
      <c r="W1402" s="9"/>
      <c r="X1402" s="10"/>
      <c r="Y1402" s="71">
        <f t="shared" si="68"/>
        <v>14</v>
      </c>
      <c r="Z1402" s="73">
        <f t="shared" si="69"/>
        <v>20</v>
      </c>
      <c r="AA1402" s="11" t="str">
        <f t="shared" si="70"/>
        <v/>
      </c>
      <c r="AB1402" s="73">
        <f t="shared" si="71"/>
        <v>10</v>
      </c>
      <c r="AC1402" s="11" t="str">
        <f t="shared" si="72"/>
        <v/>
      </c>
      <c r="AD1402" s="73">
        <f t="shared" si="73"/>
        <v>6</v>
      </c>
      <c r="AE1402" s="11" t="str">
        <f t="shared" si="74"/>
        <v/>
      </c>
      <c r="AF1402" s="73">
        <f t="shared" si="75"/>
        <v>10.001402000000001</v>
      </c>
      <c r="AG1402" s="11" t="str">
        <f t="shared" si="76"/>
        <v/>
      </c>
      <c r="AH1402" s="73">
        <f t="shared" si="77"/>
        <v>6.0014019999999997</v>
      </c>
    </row>
    <row r="1403" spans="1:34" ht="14.25" customHeight="1">
      <c r="A1403" s="11">
        <v>1388</v>
      </c>
      <c r="B1403" s="66" t="s">
        <v>35</v>
      </c>
      <c r="C1403" s="67"/>
      <c r="D1403" s="67"/>
      <c r="E1403" s="67"/>
      <c r="F1403" s="67">
        <v>46122</v>
      </c>
      <c r="G1403" s="67"/>
      <c r="H1403" s="67"/>
      <c r="I1403" s="6" t="s">
        <v>2026</v>
      </c>
      <c r="J1403" s="37">
        <v>7868802885</v>
      </c>
      <c r="K1403" s="68">
        <v>46112</v>
      </c>
      <c r="L1403" s="68" t="s">
        <v>230</v>
      </c>
      <c r="M1403" s="68">
        <v>46203</v>
      </c>
      <c r="N1403" s="69">
        <f t="shared" si="65"/>
        <v>2</v>
      </c>
      <c r="O1403" s="69">
        <f t="shared" si="66"/>
        <v>2</v>
      </c>
      <c r="P1403" s="70">
        <v>1</v>
      </c>
      <c r="Q1403" s="70"/>
      <c r="R1403" s="70">
        <v>3</v>
      </c>
      <c r="S1403" s="68" t="str">
        <f t="shared" si="67"/>
        <v/>
      </c>
      <c r="T1403" s="68"/>
      <c r="U1403" s="95"/>
      <c r="V1403" s="68"/>
      <c r="W1403" s="6"/>
      <c r="X1403" s="93"/>
      <c r="Y1403" s="71">
        <f t="shared" si="68"/>
        <v>1</v>
      </c>
      <c r="Z1403" s="73">
        <f t="shared" si="69"/>
        <v>3</v>
      </c>
      <c r="AA1403" s="73">
        <f t="shared" si="70"/>
        <v>2</v>
      </c>
      <c r="AB1403" s="11" t="str">
        <f t="shared" si="71"/>
        <v/>
      </c>
      <c r="AC1403" s="73">
        <f t="shared" si="72"/>
        <v>2</v>
      </c>
      <c r="AD1403" s="11" t="str">
        <f t="shared" si="73"/>
        <v/>
      </c>
      <c r="AE1403" s="73">
        <f t="shared" si="74"/>
        <v>2.0014029999999998</v>
      </c>
      <c r="AF1403" s="11" t="str">
        <f t="shared" si="75"/>
        <v/>
      </c>
      <c r="AG1403" s="73">
        <f t="shared" si="76"/>
        <v>2.0014029999999998</v>
      </c>
      <c r="AH1403" s="11" t="str">
        <f t="shared" si="77"/>
        <v/>
      </c>
    </row>
    <row r="1404" spans="1:34" ht="14.25" customHeight="1">
      <c r="A1404" s="11">
        <v>1389</v>
      </c>
      <c r="B1404" s="66" t="s">
        <v>35</v>
      </c>
      <c r="C1404" s="67">
        <v>45352</v>
      </c>
      <c r="D1404" s="67"/>
      <c r="E1404" s="67"/>
      <c r="F1404" s="67"/>
      <c r="G1404" s="67"/>
      <c r="H1404" s="67"/>
      <c r="I1404" s="6" t="s">
        <v>2027</v>
      </c>
      <c r="J1404" s="9">
        <v>7878603205</v>
      </c>
      <c r="K1404" s="68">
        <v>45351</v>
      </c>
      <c r="L1404" s="68">
        <v>46022</v>
      </c>
      <c r="M1404" s="68">
        <v>46203</v>
      </c>
      <c r="N1404" s="69">
        <f t="shared" si="65"/>
        <v>0</v>
      </c>
      <c r="O1404" s="69">
        <f t="shared" si="66"/>
        <v>0</v>
      </c>
      <c r="P1404" s="70">
        <v>0</v>
      </c>
      <c r="Q1404" s="70">
        <v>0</v>
      </c>
      <c r="R1404" s="70">
        <v>0</v>
      </c>
      <c r="S1404" s="68" t="str">
        <f t="shared" si="67"/>
        <v/>
      </c>
      <c r="T1404" s="68"/>
      <c r="U1404" s="68"/>
      <c r="V1404" s="68"/>
      <c r="W1404" s="9"/>
      <c r="X1404" s="10" t="s">
        <v>2028</v>
      </c>
      <c r="Y1404" s="71">
        <f t="shared" si="68"/>
        <v>0</v>
      </c>
      <c r="Z1404" s="73">
        <f t="shared" si="69"/>
        <v>0</v>
      </c>
      <c r="AA1404" s="73">
        <f t="shared" si="70"/>
        <v>0</v>
      </c>
      <c r="AB1404" s="11" t="str">
        <f t="shared" si="71"/>
        <v/>
      </c>
      <c r="AC1404" s="73">
        <f t="shared" si="72"/>
        <v>0</v>
      </c>
      <c r="AD1404" s="11" t="str">
        <f t="shared" si="73"/>
        <v/>
      </c>
      <c r="AE1404" s="73">
        <f t="shared" si="74"/>
        <v>1.4040000000000001E-3</v>
      </c>
      <c r="AF1404" s="11" t="str">
        <f t="shared" si="75"/>
        <v/>
      </c>
      <c r="AG1404" s="73">
        <f t="shared" si="76"/>
        <v>1.4040000000000001E-3</v>
      </c>
      <c r="AH1404" s="11" t="str">
        <f t="shared" si="77"/>
        <v/>
      </c>
    </row>
    <row r="1405" spans="1:34" ht="14.25" customHeight="1">
      <c r="A1405" s="11">
        <v>1390</v>
      </c>
      <c r="B1405" s="66"/>
      <c r="C1405" s="67"/>
      <c r="D1405" s="67"/>
      <c r="E1405" s="67"/>
      <c r="F1405" s="67"/>
      <c r="G1405" s="67" t="s">
        <v>35</v>
      </c>
      <c r="H1405" s="67">
        <v>45257</v>
      </c>
      <c r="I1405" s="6" t="s">
        <v>2029</v>
      </c>
      <c r="J1405" s="9">
        <v>7908100330</v>
      </c>
      <c r="K1405" s="68">
        <v>45230</v>
      </c>
      <c r="L1405" s="68">
        <v>46022</v>
      </c>
      <c r="M1405" s="68">
        <v>46203</v>
      </c>
      <c r="N1405" s="69">
        <f t="shared" si="65"/>
        <v>0</v>
      </c>
      <c r="O1405" s="69">
        <f t="shared" si="66"/>
        <v>-3</v>
      </c>
      <c r="P1405" s="70">
        <v>36</v>
      </c>
      <c r="Q1405" s="70">
        <v>39</v>
      </c>
      <c r="R1405" s="70">
        <v>36</v>
      </c>
      <c r="S1405" s="68" t="str">
        <f t="shared" si="67"/>
        <v/>
      </c>
      <c r="T1405" s="68"/>
      <c r="U1405" s="68"/>
      <c r="V1405" s="68"/>
      <c r="W1405" s="9"/>
      <c r="X1405" s="10"/>
      <c r="Y1405" s="71">
        <f t="shared" si="68"/>
        <v>39</v>
      </c>
      <c r="Z1405" s="73">
        <f t="shared" si="69"/>
        <v>36</v>
      </c>
      <c r="AA1405" s="11" t="str">
        <f t="shared" si="70"/>
        <v/>
      </c>
      <c r="AB1405" s="73">
        <f t="shared" si="71"/>
        <v>0</v>
      </c>
      <c r="AC1405" s="11" t="str">
        <f t="shared" si="72"/>
        <v/>
      </c>
      <c r="AD1405" s="73">
        <f t="shared" si="73"/>
        <v>-3</v>
      </c>
      <c r="AE1405" s="11" t="str">
        <f t="shared" si="74"/>
        <v/>
      </c>
      <c r="AF1405" s="73">
        <f t="shared" si="75"/>
        <v>1.405E-3</v>
      </c>
      <c r="AG1405" s="11" t="str">
        <f t="shared" si="76"/>
        <v/>
      </c>
      <c r="AH1405" s="73">
        <f t="shared" si="77"/>
        <v>-2.9985949999999999</v>
      </c>
    </row>
    <row r="1406" spans="1:34" ht="14.25" customHeight="1">
      <c r="A1406" s="11">
        <v>1391</v>
      </c>
      <c r="B1406" s="66"/>
      <c r="C1406" s="67"/>
      <c r="D1406" s="67"/>
      <c r="E1406" s="67"/>
      <c r="F1406" s="67"/>
      <c r="G1406" s="124" t="s">
        <v>24</v>
      </c>
      <c r="H1406" s="67">
        <v>44330</v>
      </c>
      <c r="I1406" s="6" t="s">
        <v>2030</v>
      </c>
      <c r="J1406" s="9">
        <v>7908801018</v>
      </c>
      <c r="K1406" s="68">
        <v>44316</v>
      </c>
      <c r="L1406" s="68">
        <v>46022</v>
      </c>
      <c r="M1406" s="68">
        <v>46173</v>
      </c>
      <c r="N1406" s="69">
        <f t="shared" si="65"/>
        <v>-8</v>
      </c>
      <c r="O1406" s="69">
        <f t="shared" si="66"/>
        <v>-13</v>
      </c>
      <c r="P1406" s="70">
        <v>8</v>
      </c>
      <c r="Q1406" s="70">
        <v>13</v>
      </c>
      <c r="R1406" s="70">
        <v>0</v>
      </c>
      <c r="S1406" s="68">
        <f t="shared" si="67"/>
        <v>46148</v>
      </c>
      <c r="T1406" s="68">
        <v>46148</v>
      </c>
      <c r="U1406" s="68"/>
      <c r="V1406" s="68"/>
      <c r="W1406" s="9"/>
      <c r="X1406" s="10"/>
      <c r="Y1406" s="71">
        <f t="shared" si="68"/>
        <v>13</v>
      </c>
      <c r="Z1406" s="73">
        <f t="shared" si="69"/>
        <v>0</v>
      </c>
      <c r="AA1406" s="11" t="str">
        <f t="shared" si="70"/>
        <v/>
      </c>
      <c r="AB1406" s="73">
        <f t="shared" si="71"/>
        <v>-8</v>
      </c>
      <c r="AC1406" s="11" t="str">
        <f t="shared" si="72"/>
        <v/>
      </c>
      <c r="AD1406" s="73">
        <f t="shared" si="73"/>
        <v>-13</v>
      </c>
      <c r="AE1406" s="11" t="str">
        <f t="shared" si="74"/>
        <v/>
      </c>
      <c r="AF1406" s="73">
        <f t="shared" si="75"/>
        <v>-7.9985939999999998</v>
      </c>
      <c r="AG1406" s="11" t="str">
        <f t="shared" si="76"/>
        <v/>
      </c>
      <c r="AH1406" s="73">
        <f t="shared" si="77"/>
        <v>-12.998594000000001</v>
      </c>
    </row>
    <row r="1407" spans="1:34" ht="14.25" customHeight="1">
      <c r="A1407" s="11">
        <v>1392</v>
      </c>
      <c r="B1407" s="66" t="s">
        <v>35</v>
      </c>
      <c r="C1407" s="67">
        <v>44076</v>
      </c>
      <c r="D1407" s="67"/>
      <c r="E1407" s="67"/>
      <c r="F1407" s="67"/>
      <c r="G1407" s="67"/>
      <c r="H1407" s="67"/>
      <c r="I1407" s="6" t="s">
        <v>2031</v>
      </c>
      <c r="J1407" s="9">
        <v>7918101972</v>
      </c>
      <c r="K1407" s="68">
        <v>44074</v>
      </c>
      <c r="L1407" s="68">
        <v>46022</v>
      </c>
      <c r="M1407" s="68">
        <v>46203</v>
      </c>
      <c r="N1407" s="69">
        <f t="shared" si="65"/>
        <v>2</v>
      </c>
      <c r="O1407" s="69">
        <f t="shared" si="66"/>
        <v>0</v>
      </c>
      <c r="P1407" s="70">
        <v>0</v>
      </c>
      <c r="Q1407" s="70">
        <v>2</v>
      </c>
      <c r="R1407" s="70">
        <v>2</v>
      </c>
      <c r="S1407" s="68" t="str">
        <f t="shared" si="67"/>
        <v/>
      </c>
      <c r="T1407" s="68"/>
      <c r="U1407" s="68"/>
      <c r="V1407" s="68"/>
      <c r="W1407" s="9"/>
      <c r="X1407" s="10"/>
      <c r="Y1407" s="71">
        <f t="shared" si="68"/>
        <v>2</v>
      </c>
      <c r="Z1407" s="73">
        <f t="shared" si="69"/>
        <v>2</v>
      </c>
      <c r="AA1407" s="73">
        <f t="shared" si="70"/>
        <v>2</v>
      </c>
      <c r="AB1407" s="11" t="str">
        <f t="shared" si="71"/>
        <v/>
      </c>
      <c r="AC1407" s="73">
        <f t="shared" si="72"/>
        <v>0</v>
      </c>
      <c r="AD1407" s="11" t="str">
        <f t="shared" si="73"/>
        <v/>
      </c>
      <c r="AE1407" s="73">
        <f t="shared" si="74"/>
        <v>2.0014069999999999</v>
      </c>
      <c r="AF1407" s="11" t="str">
        <f t="shared" si="75"/>
        <v/>
      </c>
      <c r="AG1407" s="73">
        <f t="shared" si="76"/>
        <v>1.407E-3</v>
      </c>
      <c r="AH1407" s="11" t="str">
        <f t="shared" si="77"/>
        <v/>
      </c>
    </row>
    <row r="1408" spans="1:34" ht="14.25" customHeight="1">
      <c r="A1408" s="11">
        <v>1393</v>
      </c>
      <c r="B1408" s="66" t="s">
        <v>35</v>
      </c>
      <c r="C1408" s="67">
        <v>42317</v>
      </c>
      <c r="D1408" s="67"/>
      <c r="E1408" s="67"/>
      <c r="F1408" s="67"/>
      <c r="G1408" s="67"/>
      <c r="H1408" s="67"/>
      <c r="I1408" s="6" t="s">
        <v>2032</v>
      </c>
      <c r="J1408" s="9">
        <v>7925300065</v>
      </c>
      <c r="K1408" s="68">
        <v>42308</v>
      </c>
      <c r="L1408" s="68">
        <v>46022</v>
      </c>
      <c r="M1408" s="68">
        <v>46203</v>
      </c>
      <c r="N1408" s="69">
        <f t="shared" si="65"/>
        <v>30</v>
      </c>
      <c r="O1408" s="69">
        <f t="shared" si="66"/>
        <v>-2</v>
      </c>
      <c r="P1408" s="70">
        <v>0</v>
      </c>
      <c r="Q1408" s="70">
        <v>32</v>
      </c>
      <c r="R1408" s="70">
        <v>30</v>
      </c>
      <c r="S1408" s="68" t="str">
        <f t="shared" si="67"/>
        <v/>
      </c>
      <c r="T1408" s="68"/>
      <c r="U1408" s="68"/>
      <c r="V1408" s="68"/>
      <c r="W1408" s="9"/>
      <c r="X1408" s="10"/>
      <c r="Y1408" s="71">
        <f t="shared" si="68"/>
        <v>32</v>
      </c>
      <c r="Z1408" s="73">
        <f t="shared" si="69"/>
        <v>30</v>
      </c>
      <c r="AA1408" s="73">
        <f t="shared" si="70"/>
        <v>30</v>
      </c>
      <c r="AB1408" s="11" t="str">
        <f t="shared" si="71"/>
        <v/>
      </c>
      <c r="AC1408" s="73">
        <f t="shared" si="72"/>
        <v>-2</v>
      </c>
      <c r="AD1408" s="11" t="str">
        <f t="shared" si="73"/>
        <v/>
      </c>
      <c r="AE1408" s="73">
        <f t="shared" si="74"/>
        <v>30.001408000000001</v>
      </c>
      <c r="AF1408" s="11" t="str">
        <f t="shared" si="75"/>
        <v/>
      </c>
      <c r="AG1408" s="73">
        <f t="shared" si="76"/>
        <v>-1.9985919999999999</v>
      </c>
      <c r="AH1408" s="11" t="str">
        <f t="shared" si="77"/>
        <v/>
      </c>
    </row>
    <row r="1409" spans="1:34" ht="14.25" customHeight="1">
      <c r="A1409" s="11">
        <v>1394</v>
      </c>
      <c r="B1409" s="66"/>
      <c r="C1409" s="67"/>
      <c r="D1409" s="67"/>
      <c r="E1409" s="67"/>
      <c r="F1409" s="67"/>
      <c r="G1409" s="67" t="s">
        <v>35</v>
      </c>
      <c r="H1409" s="67">
        <v>44988</v>
      </c>
      <c r="I1409" s="6" t="s">
        <v>2033</v>
      </c>
      <c r="J1409" s="9">
        <v>7928602829</v>
      </c>
      <c r="K1409" s="68">
        <v>44985</v>
      </c>
      <c r="L1409" s="68">
        <v>46022</v>
      </c>
      <c r="M1409" s="68">
        <v>46203</v>
      </c>
      <c r="N1409" s="69">
        <f t="shared" si="65"/>
        <v>18</v>
      </c>
      <c r="O1409" s="69">
        <f t="shared" si="66"/>
        <v>12</v>
      </c>
      <c r="P1409" s="70">
        <v>5</v>
      </c>
      <c r="Q1409" s="70">
        <v>11</v>
      </c>
      <c r="R1409" s="70">
        <v>23</v>
      </c>
      <c r="S1409" s="68" t="str">
        <f t="shared" si="67"/>
        <v/>
      </c>
      <c r="T1409" s="68"/>
      <c r="U1409" s="68"/>
      <c r="V1409" s="68"/>
      <c r="W1409" s="9"/>
      <c r="X1409" s="10"/>
      <c r="Y1409" s="71">
        <f t="shared" si="68"/>
        <v>11</v>
      </c>
      <c r="Z1409" s="73">
        <f t="shared" si="69"/>
        <v>23</v>
      </c>
      <c r="AA1409" s="11" t="str">
        <f t="shared" si="70"/>
        <v/>
      </c>
      <c r="AB1409" s="73">
        <f t="shared" si="71"/>
        <v>18</v>
      </c>
      <c r="AC1409" s="11" t="str">
        <f t="shared" si="72"/>
        <v/>
      </c>
      <c r="AD1409" s="73">
        <f t="shared" si="73"/>
        <v>12</v>
      </c>
      <c r="AE1409" s="11" t="str">
        <f t="shared" si="74"/>
        <v/>
      </c>
      <c r="AF1409" s="73">
        <f t="shared" si="75"/>
        <v>18.001408999999999</v>
      </c>
      <c r="AG1409" s="11" t="str">
        <f t="shared" si="76"/>
        <v/>
      </c>
      <c r="AH1409" s="73">
        <f t="shared" si="77"/>
        <v>12.001409000000001</v>
      </c>
    </row>
    <row r="1410" spans="1:34" ht="14.25" customHeight="1">
      <c r="A1410" s="11">
        <v>1395</v>
      </c>
      <c r="B1410" s="66"/>
      <c r="C1410" s="67"/>
      <c r="D1410" s="67"/>
      <c r="E1410" s="67"/>
      <c r="F1410" s="67"/>
      <c r="G1410" s="67" t="s">
        <v>35</v>
      </c>
      <c r="H1410" s="67">
        <v>44669</v>
      </c>
      <c r="I1410" s="6" t="s">
        <v>2034</v>
      </c>
      <c r="J1410" s="9">
        <v>7928700643</v>
      </c>
      <c r="K1410" s="68">
        <v>44651</v>
      </c>
      <c r="L1410" s="68">
        <v>46022</v>
      </c>
      <c r="M1410" s="68">
        <v>46203</v>
      </c>
      <c r="N1410" s="69">
        <f t="shared" si="65"/>
        <v>3</v>
      </c>
      <c r="O1410" s="69">
        <f t="shared" si="66"/>
        <v>-3</v>
      </c>
      <c r="P1410" s="70">
        <v>20</v>
      </c>
      <c r="Q1410" s="70">
        <v>26</v>
      </c>
      <c r="R1410" s="70">
        <v>23</v>
      </c>
      <c r="S1410" s="68" t="str">
        <f t="shared" si="67"/>
        <v/>
      </c>
      <c r="T1410" s="68"/>
      <c r="U1410" s="68"/>
      <c r="V1410" s="68"/>
      <c r="W1410" s="9"/>
      <c r="X1410" s="10"/>
      <c r="Y1410" s="71">
        <f t="shared" si="68"/>
        <v>26</v>
      </c>
      <c r="Z1410" s="73">
        <f t="shared" si="69"/>
        <v>23</v>
      </c>
      <c r="AA1410" s="11" t="str">
        <f t="shared" si="70"/>
        <v/>
      </c>
      <c r="AB1410" s="73">
        <f t="shared" si="71"/>
        <v>3</v>
      </c>
      <c r="AC1410" s="11" t="str">
        <f t="shared" si="72"/>
        <v/>
      </c>
      <c r="AD1410" s="73">
        <f t="shared" si="73"/>
        <v>-3</v>
      </c>
      <c r="AE1410" s="11" t="str">
        <f t="shared" si="74"/>
        <v/>
      </c>
      <c r="AF1410" s="73">
        <f t="shared" si="75"/>
        <v>3.0014099999999999</v>
      </c>
      <c r="AG1410" s="11" t="str">
        <f t="shared" si="76"/>
        <v/>
      </c>
      <c r="AH1410" s="73">
        <f t="shared" si="77"/>
        <v>-2.9985900000000001</v>
      </c>
    </row>
    <row r="1411" spans="1:34" ht="14.25" customHeight="1">
      <c r="A1411" s="11">
        <v>1396</v>
      </c>
      <c r="B1411" s="66"/>
      <c r="C1411" s="67"/>
      <c r="D1411" s="67"/>
      <c r="E1411" s="67"/>
      <c r="F1411" s="67"/>
      <c r="G1411" s="67" t="s">
        <v>35</v>
      </c>
      <c r="H1411" s="67">
        <v>43964</v>
      </c>
      <c r="I1411" s="6" t="s">
        <v>2035</v>
      </c>
      <c r="J1411" s="9">
        <v>7928701152</v>
      </c>
      <c r="K1411" s="68">
        <v>43951</v>
      </c>
      <c r="L1411" s="68">
        <v>46022</v>
      </c>
      <c r="M1411" s="68">
        <v>46203</v>
      </c>
      <c r="N1411" s="69">
        <f t="shared" si="65"/>
        <v>2</v>
      </c>
      <c r="O1411" s="69">
        <f t="shared" si="66"/>
        <v>-10</v>
      </c>
      <c r="P1411" s="70">
        <v>20</v>
      </c>
      <c r="Q1411" s="70">
        <v>32</v>
      </c>
      <c r="R1411" s="70">
        <v>22</v>
      </c>
      <c r="S1411" s="68" t="str">
        <f t="shared" si="67"/>
        <v/>
      </c>
      <c r="T1411" s="68"/>
      <c r="U1411" s="68"/>
      <c r="V1411" s="68"/>
      <c r="W1411" s="9"/>
      <c r="X1411" s="10"/>
      <c r="Y1411" s="71">
        <f t="shared" si="68"/>
        <v>32</v>
      </c>
      <c r="Z1411" s="73">
        <f t="shared" si="69"/>
        <v>22</v>
      </c>
      <c r="AA1411" s="11" t="str">
        <f t="shared" si="70"/>
        <v/>
      </c>
      <c r="AB1411" s="73">
        <f t="shared" si="71"/>
        <v>2</v>
      </c>
      <c r="AC1411" s="11" t="str">
        <f t="shared" si="72"/>
        <v/>
      </c>
      <c r="AD1411" s="73">
        <f t="shared" si="73"/>
        <v>-10</v>
      </c>
      <c r="AE1411" s="11" t="str">
        <f t="shared" si="74"/>
        <v/>
      </c>
      <c r="AF1411" s="73">
        <f t="shared" si="75"/>
        <v>2.0014110000000001</v>
      </c>
      <c r="AG1411" s="11" t="str">
        <f t="shared" si="76"/>
        <v/>
      </c>
      <c r="AH1411" s="73">
        <f t="shared" si="77"/>
        <v>-9.9985890000000008</v>
      </c>
    </row>
    <row r="1412" spans="1:34" ht="14.25" customHeight="1">
      <c r="A1412" s="11">
        <v>1397</v>
      </c>
      <c r="B1412" s="66" t="s">
        <v>35</v>
      </c>
      <c r="C1412" s="67">
        <v>44109</v>
      </c>
      <c r="D1412" s="67"/>
      <c r="E1412" s="67"/>
      <c r="F1412" s="67"/>
      <c r="G1412" s="67"/>
      <c r="H1412" s="67"/>
      <c r="I1412" s="6" t="s">
        <v>2036</v>
      </c>
      <c r="J1412" s="9">
        <v>7938101852</v>
      </c>
      <c r="K1412" s="68">
        <v>44104</v>
      </c>
      <c r="L1412" s="68">
        <v>46022</v>
      </c>
      <c r="M1412" s="68">
        <v>46203</v>
      </c>
      <c r="N1412" s="69">
        <f t="shared" si="65"/>
        <v>-2</v>
      </c>
      <c r="O1412" s="69">
        <f t="shared" si="66"/>
        <v>0</v>
      </c>
      <c r="P1412" s="70">
        <v>7</v>
      </c>
      <c r="Q1412" s="70">
        <v>5</v>
      </c>
      <c r="R1412" s="70">
        <v>5</v>
      </c>
      <c r="S1412" s="68" t="str">
        <f t="shared" si="67"/>
        <v/>
      </c>
      <c r="T1412" s="68"/>
      <c r="U1412" s="68"/>
      <c r="V1412" s="68"/>
      <c r="W1412" s="9"/>
      <c r="X1412" s="10"/>
      <c r="Y1412" s="71">
        <f t="shared" si="68"/>
        <v>5</v>
      </c>
      <c r="Z1412" s="73">
        <f t="shared" si="69"/>
        <v>5</v>
      </c>
      <c r="AA1412" s="73">
        <f t="shared" si="70"/>
        <v>-2</v>
      </c>
      <c r="AB1412" s="11" t="str">
        <f t="shared" si="71"/>
        <v/>
      </c>
      <c r="AC1412" s="73">
        <f t="shared" si="72"/>
        <v>0</v>
      </c>
      <c r="AD1412" s="11" t="str">
        <f t="shared" si="73"/>
        <v/>
      </c>
      <c r="AE1412" s="73">
        <f t="shared" si="74"/>
        <v>-1.998588</v>
      </c>
      <c r="AF1412" s="11" t="str">
        <f t="shared" si="75"/>
        <v/>
      </c>
      <c r="AG1412" s="73">
        <f t="shared" si="76"/>
        <v>1.4120000000000001E-3</v>
      </c>
      <c r="AH1412" s="11" t="str">
        <f t="shared" si="77"/>
        <v/>
      </c>
    </row>
    <row r="1413" spans="1:34" ht="14.25" customHeight="1">
      <c r="A1413" s="11">
        <v>1398</v>
      </c>
      <c r="B1413" s="66"/>
      <c r="C1413" s="67"/>
      <c r="D1413" s="67"/>
      <c r="E1413" s="67"/>
      <c r="F1413" s="67"/>
      <c r="G1413" s="67" t="s">
        <v>35</v>
      </c>
      <c r="H1413" s="67">
        <v>45877</v>
      </c>
      <c r="I1413" s="6" t="s">
        <v>2037</v>
      </c>
      <c r="J1413" s="94">
        <v>7948701221</v>
      </c>
      <c r="K1413" s="68">
        <v>45869</v>
      </c>
      <c r="L1413" s="68">
        <v>46022</v>
      </c>
      <c r="M1413" s="68">
        <v>46203</v>
      </c>
      <c r="N1413" s="69">
        <f t="shared" si="65"/>
        <v>8</v>
      </c>
      <c r="O1413" s="69">
        <f t="shared" si="66"/>
        <v>0</v>
      </c>
      <c r="P1413" s="70">
        <v>70</v>
      </c>
      <c r="Q1413" s="70">
        <v>78</v>
      </c>
      <c r="R1413" s="70">
        <v>78</v>
      </c>
      <c r="S1413" s="68" t="str">
        <f t="shared" si="67"/>
        <v/>
      </c>
      <c r="T1413" s="68"/>
      <c r="U1413" s="95"/>
      <c r="V1413" s="68"/>
      <c r="W1413" s="6"/>
      <c r="X1413" s="10"/>
      <c r="Y1413" s="71">
        <f t="shared" si="68"/>
        <v>78</v>
      </c>
      <c r="Z1413" s="73">
        <f t="shared" si="69"/>
        <v>78</v>
      </c>
      <c r="AA1413" s="11" t="str">
        <f t="shared" si="70"/>
        <v/>
      </c>
      <c r="AB1413" s="73">
        <f t="shared" si="71"/>
        <v>8</v>
      </c>
      <c r="AC1413" s="11" t="str">
        <f t="shared" si="72"/>
        <v/>
      </c>
      <c r="AD1413" s="73">
        <f t="shared" si="73"/>
        <v>0</v>
      </c>
      <c r="AE1413" s="11" t="str">
        <f t="shared" si="74"/>
        <v/>
      </c>
      <c r="AF1413" s="73">
        <f t="shared" si="75"/>
        <v>8.0014129999999994</v>
      </c>
      <c r="AG1413" s="11" t="str">
        <f t="shared" si="76"/>
        <v/>
      </c>
      <c r="AH1413" s="73">
        <f t="shared" si="77"/>
        <v>1.413E-3</v>
      </c>
    </row>
    <row r="1414" spans="1:34" ht="14.25" customHeight="1">
      <c r="A1414" s="11">
        <v>1399</v>
      </c>
      <c r="B1414" s="66"/>
      <c r="C1414" s="67"/>
      <c r="D1414" s="67"/>
      <c r="E1414" s="67"/>
      <c r="F1414" s="67"/>
      <c r="G1414" s="67" t="s">
        <v>35</v>
      </c>
      <c r="H1414" s="67">
        <v>44957</v>
      </c>
      <c r="I1414" s="6" t="s">
        <v>2038</v>
      </c>
      <c r="J1414" s="9">
        <v>7958602022</v>
      </c>
      <c r="K1414" s="68">
        <v>44926</v>
      </c>
      <c r="L1414" s="68">
        <v>46022</v>
      </c>
      <c r="M1414" s="68">
        <v>46203</v>
      </c>
      <c r="N1414" s="69">
        <f t="shared" si="65"/>
        <v>0</v>
      </c>
      <c r="O1414" s="69">
        <f t="shared" si="66"/>
        <v>0</v>
      </c>
      <c r="P1414" s="70">
        <v>3</v>
      </c>
      <c r="Q1414" s="70">
        <v>3</v>
      </c>
      <c r="R1414" s="70">
        <v>3</v>
      </c>
      <c r="S1414" s="68" t="str">
        <f t="shared" si="67"/>
        <v/>
      </c>
      <c r="T1414" s="68"/>
      <c r="U1414" s="68"/>
      <c r="V1414" s="68"/>
      <c r="W1414" s="9"/>
      <c r="X1414" s="10"/>
      <c r="Y1414" s="71">
        <f t="shared" si="68"/>
        <v>3</v>
      </c>
      <c r="Z1414" s="73">
        <f t="shared" si="69"/>
        <v>3</v>
      </c>
      <c r="AA1414" s="11" t="str">
        <f t="shared" si="70"/>
        <v/>
      </c>
      <c r="AB1414" s="73">
        <f t="shared" si="71"/>
        <v>0</v>
      </c>
      <c r="AC1414" s="11" t="str">
        <f t="shared" si="72"/>
        <v/>
      </c>
      <c r="AD1414" s="73">
        <f t="shared" si="73"/>
        <v>0</v>
      </c>
      <c r="AE1414" s="11" t="str">
        <f t="shared" si="74"/>
        <v/>
      </c>
      <c r="AF1414" s="73">
        <f t="shared" si="75"/>
        <v>1.4139999999999999E-3</v>
      </c>
      <c r="AG1414" s="11" t="str">
        <f t="shared" si="76"/>
        <v/>
      </c>
      <c r="AH1414" s="73">
        <f t="shared" si="77"/>
        <v>1.4139999999999999E-3</v>
      </c>
    </row>
    <row r="1415" spans="1:34" ht="14.25" customHeight="1">
      <c r="A1415" s="11">
        <v>1400</v>
      </c>
      <c r="B1415" s="66" t="s">
        <v>35</v>
      </c>
      <c r="C1415" s="67"/>
      <c r="D1415" s="67">
        <v>46154</v>
      </c>
      <c r="E1415" s="67"/>
      <c r="F1415" s="67"/>
      <c r="G1415" s="67"/>
      <c r="H1415" s="67"/>
      <c r="I1415" s="6" t="s">
        <v>2039</v>
      </c>
      <c r="J1415" s="37">
        <v>7958802365</v>
      </c>
      <c r="K1415" s="68">
        <v>46142</v>
      </c>
      <c r="L1415" s="68" t="s">
        <v>230</v>
      </c>
      <c r="M1415" s="68">
        <v>46203</v>
      </c>
      <c r="N1415" s="69">
        <f t="shared" si="65"/>
        <v>2</v>
      </c>
      <c r="O1415" s="69">
        <f t="shared" si="66"/>
        <v>2</v>
      </c>
      <c r="P1415" s="70">
        <v>28</v>
      </c>
      <c r="Q1415" s="70"/>
      <c r="R1415" s="70">
        <v>30</v>
      </c>
      <c r="S1415" s="68" t="str">
        <f t="shared" si="67"/>
        <v/>
      </c>
      <c r="T1415" s="68"/>
      <c r="U1415" s="95"/>
      <c r="V1415" s="68"/>
      <c r="W1415" s="6"/>
      <c r="X1415" s="10"/>
      <c r="Y1415" s="71">
        <f t="shared" si="68"/>
        <v>28</v>
      </c>
      <c r="Z1415" s="73">
        <f t="shared" si="69"/>
        <v>30</v>
      </c>
      <c r="AA1415" s="73">
        <f t="shared" si="70"/>
        <v>2</v>
      </c>
      <c r="AB1415" s="11" t="str">
        <f t="shared" si="71"/>
        <v/>
      </c>
      <c r="AC1415" s="73">
        <f t="shared" si="72"/>
        <v>2</v>
      </c>
      <c r="AD1415" s="11" t="str">
        <f t="shared" si="73"/>
        <v/>
      </c>
      <c r="AE1415" s="73">
        <f t="shared" si="74"/>
        <v>2.0014150000000002</v>
      </c>
      <c r="AF1415" s="11" t="str">
        <f t="shared" si="75"/>
        <v/>
      </c>
      <c r="AG1415" s="73">
        <f t="shared" si="76"/>
        <v>2.0014150000000002</v>
      </c>
      <c r="AH1415" s="11" t="str">
        <f t="shared" si="77"/>
        <v/>
      </c>
    </row>
    <row r="1416" spans="1:34" ht="14.25" customHeight="1">
      <c r="A1416" s="11">
        <v>1401</v>
      </c>
      <c r="B1416" s="66"/>
      <c r="C1416" s="67"/>
      <c r="D1416" s="67"/>
      <c r="E1416" s="67"/>
      <c r="F1416" s="67"/>
      <c r="G1416" s="67" t="s">
        <v>35</v>
      </c>
      <c r="H1416" s="67">
        <v>45866</v>
      </c>
      <c r="I1416" s="6" t="s">
        <v>2040</v>
      </c>
      <c r="J1416" s="94">
        <v>7968103183</v>
      </c>
      <c r="K1416" s="68">
        <v>45838</v>
      </c>
      <c r="L1416" s="68">
        <v>46022</v>
      </c>
      <c r="M1416" s="68">
        <v>46203</v>
      </c>
      <c r="N1416" s="69">
        <f t="shared" si="65"/>
        <v>5</v>
      </c>
      <c r="O1416" s="69">
        <f t="shared" si="66"/>
        <v>3</v>
      </c>
      <c r="P1416" s="70">
        <v>11</v>
      </c>
      <c r="Q1416" s="70">
        <v>13</v>
      </c>
      <c r="R1416" s="70">
        <v>16</v>
      </c>
      <c r="S1416" s="68" t="str">
        <f t="shared" si="67"/>
        <v/>
      </c>
      <c r="T1416" s="68"/>
      <c r="U1416" s="95"/>
      <c r="V1416" s="68"/>
      <c r="W1416" s="6"/>
      <c r="X1416" s="10"/>
      <c r="Y1416" s="71">
        <f t="shared" si="68"/>
        <v>13</v>
      </c>
      <c r="Z1416" s="73">
        <f t="shared" si="69"/>
        <v>16</v>
      </c>
      <c r="AA1416" s="11" t="str">
        <f t="shared" si="70"/>
        <v/>
      </c>
      <c r="AB1416" s="73">
        <f t="shared" si="71"/>
        <v>5</v>
      </c>
      <c r="AC1416" s="11" t="str">
        <f t="shared" si="72"/>
        <v/>
      </c>
      <c r="AD1416" s="73">
        <f t="shared" si="73"/>
        <v>3</v>
      </c>
      <c r="AE1416" s="11" t="str">
        <f t="shared" si="74"/>
        <v/>
      </c>
      <c r="AF1416" s="73">
        <f t="shared" si="75"/>
        <v>5.0014159999999999</v>
      </c>
      <c r="AG1416" s="11" t="str">
        <f t="shared" si="76"/>
        <v/>
      </c>
      <c r="AH1416" s="73">
        <f t="shared" si="77"/>
        <v>3.0014159999999999</v>
      </c>
    </row>
    <row r="1417" spans="1:34" ht="14.25" customHeight="1">
      <c r="A1417" s="11">
        <v>1402</v>
      </c>
      <c r="B1417" s="66"/>
      <c r="C1417" s="67"/>
      <c r="D1417" s="67"/>
      <c r="E1417" s="67"/>
      <c r="F1417" s="67"/>
      <c r="G1417" s="67" t="s">
        <v>35</v>
      </c>
      <c r="H1417" s="67">
        <v>45422</v>
      </c>
      <c r="I1417" s="6" t="s">
        <v>2041</v>
      </c>
      <c r="J1417" s="9">
        <v>7968502464</v>
      </c>
      <c r="K1417" s="68">
        <v>45412</v>
      </c>
      <c r="L1417" s="68">
        <v>46022</v>
      </c>
      <c r="M1417" s="68">
        <v>46203</v>
      </c>
      <c r="N1417" s="69">
        <f t="shared" si="65"/>
        <v>9</v>
      </c>
      <c r="O1417" s="69">
        <f t="shared" si="66"/>
        <v>9</v>
      </c>
      <c r="P1417" s="70">
        <v>0</v>
      </c>
      <c r="Q1417" s="70">
        <v>0</v>
      </c>
      <c r="R1417" s="70">
        <v>9</v>
      </c>
      <c r="S1417" s="68" t="str">
        <f t="shared" si="67"/>
        <v/>
      </c>
      <c r="T1417" s="68"/>
      <c r="U1417" s="68"/>
      <c r="V1417" s="68"/>
      <c r="W1417" s="9"/>
      <c r="X1417" s="10"/>
      <c r="Y1417" s="71">
        <f t="shared" si="68"/>
        <v>0</v>
      </c>
      <c r="Z1417" s="73">
        <f t="shared" si="69"/>
        <v>9</v>
      </c>
      <c r="AA1417" s="11" t="str">
        <f t="shared" si="70"/>
        <v/>
      </c>
      <c r="AB1417" s="73">
        <f t="shared" si="71"/>
        <v>9</v>
      </c>
      <c r="AC1417" s="11" t="str">
        <f t="shared" si="72"/>
        <v/>
      </c>
      <c r="AD1417" s="73">
        <f t="shared" si="73"/>
        <v>9</v>
      </c>
      <c r="AE1417" s="11" t="str">
        <f t="shared" si="74"/>
        <v/>
      </c>
      <c r="AF1417" s="73">
        <f t="shared" si="75"/>
        <v>9.001417</v>
      </c>
      <c r="AG1417" s="11" t="str">
        <f t="shared" si="76"/>
        <v/>
      </c>
      <c r="AH1417" s="73">
        <f t="shared" si="77"/>
        <v>9.001417</v>
      </c>
    </row>
    <row r="1418" spans="1:34" ht="14.25" customHeight="1">
      <c r="A1418" s="11">
        <v>1403</v>
      </c>
      <c r="B1418" s="66" t="s">
        <v>24</v>
      </c>
      <c r="C1418" s="67">
        <v>43518</v>
      </c>
      <c r="D1418" s="67">
        <v>43130</v>
      </c>
      <c r="E1418" s="67"/>
      <c r="F1418" s="67"/>
      <c r="G1418" s="67"/>
      <c r="H1418" s="67"/>
      <c r="I1418" s="6" t="s">
        <v>2042</v>
      </c>
      <c r="J1418" s="9">
        <v>7968800564</v>
      </c>
      <c r="K1418" s="68">
        <v>43100</v>
      </c>
      <c r="L1418" s="68" t="s">
        <v>230</v>
      </c>
      <c r="M1418" s="68">
        <v>44500</v>
      </c>
      <c r="N1418" s="69">
        <f t="shared" si="65"/>
        <v>-3</v>
      </c>
      <c r="O1418" s="69" t="str">
        <f t="shared" si="66"/>
        <v>N/A</v>
      </c>
      <c r="P1418" s="70">
        <v>3</v>
      </c>
      <c r="Q1418" s="70"/>
      <c r="R1418" s="70">
        <v>0</v>
      </c>
      <c r="S1418" s="68">
        <f t="shared" si="67"/>
        <v>44488</v>
      </c>
      <c r="T1418" s="68">
        <v>44488</v>
      </c>
      <c r="U1418" s="68">
        <v>44926</v>
      </c>
      <c r="V1418" s="92">
        <v>45560</v>
      </c>
      <c r="W1418" s="9"/>
      <c r="X1418" s="93"/>
      <c r="Y1418" s="65" t="str">
        <f t="shared" si="68"/>
        <v/>
      </c>
      <c r="Z1418" s="11" t="str">
        <f t="shared" si="69"/>
        <v/>
      </c>
      <c r="AA1418" s="73">
        <f t="shared" si="70"/>
        <v>-3</v>
      </c>
      <c r="AB1418" s="11" t="str">
        <f t="shared" si="71"/>
        <v/>
      </c>
      <c r="AC1418" s="11" t="str">
        <f t="shared" si="72"/>
        <v/>
      </c>
      <c r="AD1418" s="11" t="str">
        <f t="shared" si="73"/>
        <v/>
      </c>
      <c r="AE1418" s="73">
        <f t="shared" si="74"/>
        <v>-2.9985819999999999</v>
      </c>
      <c r="AF1418" s="11" t="str">
        <f t="shared" si="75"/>
        <v/>
      </c>
      <c r="AG1418" s="11" t="str">
        <f t="shared" si="76"/>
        <v/>
      </c>
      <c r="AH1418" s="11" t="str">
        <f t="shared" si="77"/>
        <v/>
      </c>
    </row>
    <row r="1419" spans="1:34" ht="14.25" customHeight="1">
      <c r="A1419" s="11">
        <v>1404</v>
      </c>
      <c r="B1419" s="66"/>
      <c r="C1419" s="67"/>
      <c r="D1419" s="67"/>
      <c r="E1419" s="67"/>
      <c r="F1419" s="67"/>
      <c r="G1419" s="67" t="s">
        <v>35</v>
      </c>
      <c r="H1419" s="67">
        <v>45888</v>
      </c>
      <c r="I1419" s="6" t="s">
        <v>2043</v>
      </c>
      <c r="J1419" s="94">
        <v>7978101873</v>
      </c>
      <c r="K1419" s="68">
        <v>45869</v>
      </c>
      <c r="L1419" s="68">
        <v>46022</v>
      </c>
      <c r="M1419" s="68">
        <v>46203</v>
      </c>
      <c r="N1419" s="69">
        <f t="shared" si="65"/>
        <v>1</v>
      </c>
      <c r="O1419" s="69">
        <f t="shared" si="66"/>
        <v>1</v>
      </c>
      <c r="P1419" s="70">
        <v>11</v>
      </c>
      <c r="Q1419" s="70">
        <v>11</v>
      </c>
      <c r="R1419" s="70">
        <v>12</v>
      </c>
      <c r="S1419" s="68" t="str">
        <f t="shared" si="67"/>
        <v/>
      </c>
      <c r="T1419" s="68"/>
      <c r="U1419" s="95"/>
      <c r="V1419" s="68"/>
      <c r="W1419" s="6"/>
      <c r="X1419" s="10"/>
      <c r="Y1419" s="71">
        <f t="shared" si="68"/>
        <v>11</v>
      </c>
      <c r="Z1419" s="73">
        <f t="shared" si="69"/>
        <v>12</v>
      </c>
      <c r="AA1419" s="11" t="str">
        <f t="shared" si="70"/>
        <v/>
      </c>
      <c r="AB1419" s="73">
        <f t="shared" si="71"/>
        <v>1</v>
      </c>
      <c r="AC1419" s="11" t="str">
        <f t="shared" si="72"/>
        <v/>
      </c>
      <c r="AD1419" s="73">
        <f t="shared" si="73"/>
        <v>1</v>
      </c>
      <c r="AE1419" s="11" t="str">
        <f t="shared" si="74"/>
        <v/>
      </c>
      <c r="AF1419" s="73">
        <f t="shared" si="75"/>
        <v>1.0014190000000001</v>
      </c>
      <c r="AG1419" s="11" t="str">
        <f t="shared" si="76"/>
        <v/>
      </c>
      <c r="AH1419" s="73">
        <f t="shared" si="77"/>
        <v>1.0014190000000001</v>
      </c>
    </row>
    <row r="1420" spans="1:34" ht="14.25" customHeight="1">
      <c r="A1420" s="11">
        <v>1405</v>
      </c>
      <c r="B1420" s="66"/>
      <c r="C1420" s="67"/>
      <c r="D1420" s="67"/>
      <c r="E1420" s="67"/>
      <c r="F1420" s="67"/>
      <c r="G1420" s="67" t="s">
        <v>35</v>
      </c>
      <c r="H1420" s="67">
        <v>45967</v>
      </c>
      <c r="I1420" s="6" t="s">
        <v>2044</v>
      </c>
      <c r="J1420" s="94">
        <v>7988802103</v>
      </c>
      <c r="K1420" s="68">
        <v>45961</v>
      </c>
      <c r="L1420" s="68">
        <v>46022</v>
      </c>
      <c r="M1420" s="68">
        <v>46203</v>
      </c>
      <c r="N1420" s="69">
        <f t="shared" si="65"/>
        <v>-3</v>
      </c>
      <c r="O1420" s="69">
        <f t="shared" si="66"/>
        <v>-4</v>
      </c>
      <c r="P1420" s="70">
        <v>15</v>
      </c>
      <c r="Q1420" s="70">
        <v>16</v>
      </c>
      <c r="R1420" s="70">
        <v>12</v>
      </c>
      <c r="S1420" s="68" t="str">
        <f t="shared" si="67"/>
        <v/>
      </c>
      <c r="T1420" s="68"/>
      <c r="U1420" s="95"/>
      <c r="V1420" s="68"/>
      <c r="W1420" s="6"/>
      <c r="X1420" s="10"/>
      <c r="Y1420" s="71">
        <f t="shared" si="68"/>
        <v>16</v>
      </c>
      <c r="Z1420" s="73">
        <f t="shared" si="69"/>
        <v>12</v>
      </c>
      <c r="AA1420" s="11" t="str">
        <f t="shared" si="70"/>
        <v/>
      </c>
      <c r="AB1420" s="73">
        <f t="shared" si="71"/>
        <v>-3</v>
      </c>
      <c r="AC1420" s="11" t="str">
        <f t="shared" si="72"/>
        <v/>
      </c>
      <c r="AD1420" s="73">
        <f t="shared" si="73"/>
        <v>-4</v>
      </c>
      <c r="AE1420" s="11" t="str">
        <f t="shared" si="74"/>
        <v/>
      </c>
      <c r="AF1420" s="73">
        <f t="shared" si="75"/>
        <v>-2.99858</v>
      </c>
      <c r="AG1420" s="11" t="str">
        <f t="shared" si="76"/>
        <v/>
      </c>
      <c r="AH1420" s="73">
        <f t="shared" si="77"/>
        <v>-3.99858</v>
      </c>
    </row>
    <row r="1421" spans="1:34" ht="14.25" customHeight="1">
      <c r="A1421" s="11">
        <v>1406</v>
      </c>
      <c r="B1421" s="66" t="s">
        <v>35</v>
      </c>
      <c r="C1421" s="67">
        <v>43920</v>
      </c>
      <c r="D1421" s="67"/>
      <c r="E1421" s="67"/>
      <c r="F1421" s="67"/>
      <c r="G1421" s="67"/>
      <c r="H1421" s="67"/>
      <c r="I1421" s="6" t="s">
        <v>2045</v>
      </c>
      <c r="J1421" s="9">
        <v>7998800603</v>
      </c>
      <c r="K1421" s="68">
        <v>43890</v>
      </c>
      <c r="L1421" s="68">
        <v>46022</v>
      </c>
      <c r="M1421" s="68">
        <v>46203</v>
      </c>
      <c r="N1421" s="69">
        <f t="shared" si="65"/>
        <v>-1</v>
      </c>
      <c r="O1421" s="69">
        <f t="shared" si="66"/>
        <v>0</v>
      </c>
      <c r="P1421" s="70">
        <v>6</v>
      </c>
      <c r="Q1421" s="70">
        <v>5</v>
      </c>
      <c r="R1421" s="70">
        <v>5</v>
      </c>
      <c r="S1421" s="68" t="str">
        <f t="shared" si="67"/>
        <v/>
      </c>
      <c r="T1421" s="68"/>
      <c r="U1421" s="95"/>
      <c r="V1421" s="68"/>
      <c r="W1421" s="9"/>
      <c r="X1421" s="10"/>
      <c r="Y1421" s="71">
        <f t="shared" si="68"/>
        <v>5</v>
      </c>
      <c r="Z1421" s="73">
        <f t="shared" si="69"/>
        <v>5</v>
      </c>
      <c r="AA1421" s="73">
        <f t="shared" si="70"/>
        <v>-1</v>
      </c>
      <c r="AB1421" s="11" t="str">
        <f t="shared" si="71"/>
        <v/>
      </c>
      <c r="AC1421" s="73">
        <f t="shared" si="72"/>
        <v>0</v>
      </c>
      <c r="AD1421" s="11" t="str">
        <f t="shared" si="73"/>
        <v/>
      </c>
      <c r="AE1421" s="73">
        <f t="shared" si="74"/>
        <v>-0.99857899999999999</v>
      </c>
      <c r="AF1421" s="11" t="str">
        <f t="shared" si="75"/>
        <v/>
      </c>
      <c r="AG1421" s="73">
        <f t="shared" si="76"/>
        <v>1.421E-3</v>
      </c>
      <c r="AH1421" s="11" t="str">
        <f t="shared" si="77"/>
        <v/>
      </c>
    </row>
    <row r="1422" spans="1:34" ht="14.25" customHeight="1">
      <c r="A1422" s="11">
        <v>1407</v>
      </c>
      <c r="B1422" s="66"/>
      <c r="C1422" s="67"/>
      <c r="D1422" s="67"/>
      <c r="E1422" s="67"/>
      <c r="F1422" s="67"/>
      <c r="G1422" s="67" t="s">
        <v>35</v>
      </c>
      <c r="H1422" s="67">
        <v>45273</v>
      </c>
      <c r="I1422" s="6" t="s">
        <v>2046</v>
      </c>
      <c r="J1422" s="9">
        <v>8018103073</v>
      </c>
      <c r="K1422" s="68">
        <v>45260</v>
      </c>
      <c r="L1422" s="68">
        <v>46022</v>
      </c>
      <c r="M1422" s="68">
        <v>46203</v>
      </c>
      <c r="N1422" s="69">
        <f t="shared" si="65"/>
        <v>11</v>
      </c>
      <c r="O1422" s="69">
        <f t="shared" si="66"/>
        <v>2</v>
      </c>
      <c r="P1422" s="70">
        <v>0</v>
      </c>
      <c r="Q1422" s="70">
        <v>9</v>
      </c>
      <c r="R1422" s="70">
        <v>11</v>
      </c>
      <c r="S1422" s="68" t="str">
        <f t="shared" si="67"/>
        <v/>
      </c>
      <c r="T1422" s="68"/>
      <c r="U1422" s="95"/>
      <c r="V1422" s="68"/>
      <c r="W1422" s="9"/>
      <c r="X1422" s="10"/>
      <c r="Y1422" s="71">
        <f t="shared" si="68"/>
        <v>9</v>
      </c>
      <c r="Z1422" s="73">
        <f t="shared" si="69"/>
        <v>11</v>
      </c>
      <c r="AA1422" s="11" t="str">
        <f t="shared" si="70"/>
        <v/>
      </c>
      <c r="AB1422" s="73">
        <f t="shared" si="71"/>
        <v>11</v>
      </c>
      <c r="AC1422" s="11" t="str">
        <f t="shared" si="72"/>
        <v/>
      </c>
      <c r="AD1422" s="73">
        <f t="shared" si="73"/>
        <v>2</v>
      </c>
      <c r="AE1422" s="11" t="str">
        <f t="shared" si="74"/>
        <v/>
      </c>
      <c r="AF1422" s="73">
        <f t="shared" si="75"/>
        <v>11.001422</v>
      </c>
      <c r="AG1422" s="11" t="str">
        <f t="shared" si="76"/>
        <v/>
      </c>
      <c r="AH1422" s="73">
        <f t="shared" si="77"/>
        <v>2.0014219999999998</v>
      </c>
    </row>
    <row r="1423" spans="1:34" ht="14.25" customHeight="1">
      <c r="A1423" s="11">
        <v>1408</v>
      </c>
      <c r="B1423" s="66" t="s">
        <v>35</v>
      </c>
      <c r="C1423" s="67">
        <v>45536</v>
      </c>
      <c r="D1423" s="67">
        <v>45056</v>
      </c>
      <c r="E1423" s="67"/>
      <c r="F1423" s="67"/>
      <c r="G1423" s="67"/>
      <c r="H1423" s="67"/>
      <c r="I1423" s="6" t="s">
        <v>2047</v>
      </c>
      <c r="J1423" s="9">
        <v>8018701306</v>
      </c>
      <c r="K1423" s="68">
        <v>45046</v>
      </c>
      <c r="L1423" s="68">
        <v>46022</v>
      </c>
      <c r="M1423" s="68">
        <v>46203</v>
      </c>
      <c r="N1423" s="69">
        <f t="shared" si="65"/>
        <v>8</v>
      </c>
      <c r="O1423" s="69">
        <f t="shared" si="66"/>
        <v>3</v>
      </c>
      <c r="P1423" s="70">
        <v>7</v>
      </c>
      <c r="Q1423" s="70">
        <v>12</v>
      </c>
      <c r="R1423" s="70">
        <v>15</v>
      </c>
      <c r="S1423" s="68" t="str">
        <f t="shared" si="67"/>
        <v/>
      </c>
      <c r="T1423" s="68"/>
      <c r="U1423" s="95"/>
      <c r="V1423" s="68"/>
      <c r="W1423" s="9"/>
      <c r="X1423" s="10"/>
      <c r="Y1423" s="71">
        <f t="shared" si="68"/>
        <v>12</v>
      </c>
      <c r="Z1423" s="73">
        <f t="shared" si="69"/>
        <v>15</v>
      </c>
      <c r="AA1423" s="73">
        <f t="shared" si="70"/>
        <v>8</v>
      </c>
      <c r="AB1423" s="11" t="str">
        <f t="shared" si="71"/>
        <v/>
      </c>
      <c r="AC1423" s="73">
        <f t="shared" si="72"/>
        <v>3</v>
      </c>
      <c r="AD1423" s="11" t="str">
        <f t="shared" si="73"/>
        <v/>
      </c>
      <c r="AE1423" s="73">
        <f t="shared" si="74"/>
        <v>8.0014230000000008</v>
      </c>
      <c r="AF1423" s="11" t="str">
        <f t="shared" si="75"/>
        <v/>
      </c>
      <c r="AG1423" s="73">
        <f t="shared" si="76"/>
        <v>3.001423</v>
      </c>
      <c r="AH1423" s="11" t="str">
        <f t="shared" si="77"/>
        <v/>
      </c>
    </row>
    <row r="1424" spans="1:34" ht="14.25" customHeight="1">
      <c r="A1424" s="11">
        <v>1409</v>
      </c>
      <c r="B1424" s="66"/>
      <c r="C1424" s="67"/>
      <c r="D1424" s="67"/>
      <c r="E1424" s="67"/>
      <c r="F1424" s="67"/>
      <c r="G1424" s="67" t="s">
        <v>35</v>
      </c>
      <c r="H1424" s="67">
        <v>46015</v>
      </c>
      <c r="I1424" s="6" t="s">
        <v>2048</v>
      </c>
      <c r="J1424" s="94">
        <v>8018800885</v>
      </c>
      <c r="K1424" s="68">
        <v>45991</v>
      </c>
      <c r="L1424" s="68">
        <v>46022</v>
      </c>
      <c r="M1424" s="68">
        <v>46203</v>
      </c>
      <c r="N1424" s="69">
        <f t="shared" si="65"/>
        <v>5</v>
      </c>
      <c r="O1424" s="69">
        <f t="shared" si="66"/>
        <v>3</v>
      </c>
      <c r="P1424" s="70">
        <v>79</v>
      </c>
      <c r="Q1424" s="70">
        <v>81</v>
      </c>
      <c r="R1424" s="70">
        <v>84</v>
      </c>
      <c r="S1424" s="68" t="str">
        <f t="shared" si="67"/>
        <v/>
      </c>
      <c r="T1424" s="68"/>
      <c r="U1424" s="95"/>
      <c r="V1424" s="68"/>
      <c r="W1424" s="6"/>
      <c r="X1424" s="10"/>
      <c r="Y1424" s="71">
        <f t="shared" si="68"/>
        <v>81</v>
      </c>
      <c r="Z1424" s="73">
        <f t="shared" si="69"/>
        <v>84</v>
      </c>
      <c r="AA1424" s="11" t="str">
        <f t="shared" si="70"/>
        <v/>
      </c>
      <c r="AB1424" s="73">
        <f t="shared" si="71"/>
        <v>5</v>
      </c>
      <c r="AC1424" s="11" t="str">
        <f t="shared" si="72"/>
        <v/>
      </c>
      <c r="AD1424" s="73">
        <f t="shared" si="73"/>
        <v>3</v>
      </c>
      <c r="AE1424" s="11" t="str">
        <f t="shared" si="74"/>
        <v/>
      </c>
      <c r="AF1424" s="73">
        <f t="shared" si="75"/>
        <v>5.0014240000000001</v>
      </c>
      <c r="AG1424" s="11" t="str">
        <f t="shared" si="76"/>
        <v/>
      </c>
      <c r="AH1424" s="73">
        <f t="shared" si="77"/>
        <v>3.0014240000000001</v>
      </c>
    </row>
    <row r="1425" spans="1:34" ht="14.25" customHeight="1">
      <c r="A1425" s="11">
        <v>1410</v>
      </c>
      <c r="B1425" s="66"/>
      <c r="C1425" s="67"/>
      <c r="D1425" s="67"/>
      <c r="E1425" s="67"/>
      <c r="F1425" s="67"/>
      <c r="G1425" s="67" t="s">
        <v>283</v>
      </c>
      <c r="H1425" s="67">
        <v>44327</v>
      </c>
      <c r="I1425" s="6" t="s">
        <v>2049</v>
      </c>
      <c r="J1425" s="9">
        <v>8018800982</v>
      </c>
      <c r="K1425" s="68">
        <v>44316</v>
      </c>
      <c r="L1425" s="68" t="s">
        <v>230</v>
      </c>
      <c r="M1425" s="68">
        <v>45747</v>
      </c>
      <c r="N1425" s="69">
        <f t="shared" si="65"/>
        <v>141</v>
      </c>
      <c r="O1425" s="69" t="str">
        <f t="shared" si="66"/>
        <v>N/A</v>
      </c>
      <c r="P1425" s="70">
        <v>36</v>
      </c>
      <c r="Q1425" s="70"/>
      <c r="R1425" s="70">
        <v>177</v>
      </c>
      <c r="S1425" s="68">
        <f t="shared" si="67"/>
        <v>45721</v>
      </c>
      <c r="T1425" s="68"/>
      <c r="U1425" s="95"/>
      <c r="V1425" s="68"/>
      <c r="W1425" s="68">
        <v>45721</v>
      </c>
      <c r="X1425" s="10"/>
      <c r="Y1425" s="65" t="str">
        <f t="shared" si="68"/>
        <v/>
      </c>
      <c r="Z1425" s="11" t="str">
        <f t="shared" si="69"/>
        <v/>
      </c>
      <c r="AA1425" s="11" t="str">
        <f t="shared" si="70"/>
        <v/>
      </c>
      <c r="AB1425" s="73">
        <f t="shared" si="71"/>
        <v>141</v>
      </c>
      <c r="AC1425" s="11" t="str">
        <f t="shared" si="72"/>
        <v/>
      </c>
      <c r="AD1425" s="11" t="str">
        <f t="shared" si="73"/>
        <v/>
      </c>
      <c r="AE1425" s="11" t="str">
        <f t="shared" si="74"/>
        <v/>
      </c>
      <c r="AF1425" s="73">
        <f t="shared" si="75"/>
        <v>141.00142500000001</v>
      </c>
      <c r="AG1425" s="11" t="str">
        <f t="shared" si="76"/>
        <v/>
      </c>
      <c r="AH1425" s="11" t="str">
        <f t="shared" si="77"/>
        <v/>
      </c>
    </row>
    <row r="1426" spans="1:34" ht="14.25" customHeight="1">
      <c r="A1426" s="11">
        <v>1411</v>
      </c>
      <c r="B1426" s="66"/>
      <c r="C1426" s="67"/>
      <c r="D1426" s="67"/>
      <c r="E1426" s="67"/>
      <c r="F1426" s="67"/>
      <c r="G1426" s="67" t="s">
        <v>35</v>
      </c>
      <c r="H1426" s="67">
        <v>41793</v>
      </c>
      <c r="I1426" s="6" t="s">
        <v>2050</v>
      </c>
      <c r="J1426" s="9">
        <v>8038602828</v>
      </c>
      <c r="K1426" s="68">
        <v>41790</v>
      </c>
      <c r="L1426" s="68">
        <v>46022</v>
      </c>
      <c r="M1426" s="68">
        <v>46203</v>
      </c>
      <c r="N1426" s="69">
        <f t="shared" si="65"/>
        <v>1</v>
      </c>
      <c r="O1426" s="69">
        <f t="shared" si="66"/>
        <v>0</v>
      </c>
      <c r="P1426" s="70">
        <v>0</v>
      </c>
      <c r="Q1426" s="70">
        <v>1</v>
      </c>
      <c r="R1426" s="70">
        <v>1</v>
      </c>
      <c r="S1426" s="68" t="str">
        <f t="shared" si="67"/>
        <v/>
      </c>
      <c r="T1426" s="68"/>
      <c r="U1426" s="95"/>
      <c r="V1426" s="68"/>
      <c r="W1426" s="9"/>
      <c r="X1426" s="10"/>
      <c r="Y1426" s="71">
        <f t="shared" si="68"/>
        <v>1</v>
      </c>
      <c r="Z1426" s="73">
        <f t="shared" si="69"/>
        <v>1</v>
      </c>
      <c r="AA1426" s="11" t="str">
        <f t="shared" si="70"/>
        <v/>
      </c>
      <c r="AB1426" s="73">
        <f t="shared" si="71"/>
        <v>1</v>
      </c>
      <c r="AC1426" s="11" t="str">
        <f t="shared" si="72"/>
        <v/>
      </c>
      <c r="AD1426" s="73">
        <f t="shared" si="73"/>
        <v>0</v>
      </c>
      <c r="AE1426" s="11" t="str">
        <f t="shared" si="74"/>
        <v/>
      </c>
      <c r="AF1426" s="73">
        <f t="shared" si="75"/>
        <v>1.0014259999999999</v>
      </c>
      <c r="AG1426" s="11" t="str">
        <f t="shared" si="76"/>
        <v/>
      </c>
      <c r="AH1426" s="73">
        <f t="shared" si="77"/>
        <v>1.426E-3</v>
      </c>
    </row>
    <row r="1427" spans="1:34" ht="14.25" customHeight="1">
      <c r="A1427" s="11">
        <v>1412</v>
      </c>
      <c r="B1427" s="66" t="s">
        <v>35</v>
      </c>
      <c r="C1427" s="67">
        <v>45261</v>
      </c>
      <c r="D1427" s="67"/>
      <c r="E1427" s="67"/>
      <c r="F1427" s="67"/>
      <c r="G1427" s="67"/>
      <c r="H1427" s="67"/>
      <c r="I1427" s="6" t="s">
        <v>2051</v>
      </c>
      <c r="J1427" s="9">
        <v>8038702219</v>
      </c>
      <c r="K1427" s="68">
        <v>45260</v>
      </c>
      <c r="L1427" s="68">
        <v>46022</v>
      </c>
      <c r="M1427" s="68">
        <v>46203</v>
      </c>
      <c r="N1427" s="69">
        <f t="shared" si="65"/>
        <v>-1</v>
      </c>
      <c r="O1427" s="69">
        <f t="shared" si="66"/>
        <v>1</v>
      </c>
      <c r="P1427" s="70">
        <v>3</v>
      </c>
      <c r="Q1427" s="70">
        <v>1</v>
      </c>
      <c r="R1427" s="70">
        <v>2</v>
      </c>
      <c r="S1427" s="68" t="str">
        <f t="shared" si="67"/>
        <v/>
      </c>
      <c r="T1427" s="68"/>
      <c r="U1427" s="95"/>
      <c r="V1427" s="68"/>
      <c r="W1427" s="9"/>
      <c r="X1427" s="10"/>
      <c r="Y1427" s="71">
        <f t="shared" si="68"/>
        <v>1</v>
      </c>
      <c r="Z1427" s="73">
        <f t="shared" si="69"/>
        <v>2</v>
      </c>
      <c r="AA1427" s="73">
        <f t="shared" si="70"/>
        <v>-1</v>
      </c>
      <c r="AB1427" s="11" t="str">
        <f t="shared" si="71"/>
        <v/>
      </c>
      <c r="AC1427" s="73">
        <f t="shared" si="72"/>
        <v>1</v>
      </c>
      <c r="AD1427" s="11" t="str">
        <f t="shared" si="73"/>
        <v/>
      </c>
      <c r="AE1427" s="73">
        <f t="shared" si="74"/>
        <v>-0.99857300000000004</v>
      </c>
      <c r="AF1427" s="11" t="str">
        <f t="shared" si="75"/>
        <v/>
      </c>
      <c r="AG1427" s="73">
        <f t="shared" si="76"/>
        <v>1.0014270000000001</v>
      </c>
      <c r="AH1427" s="11" t="str">
        <f t="shared" si="77"/>
        <v/>
      </c>
    </row>
    <row r="1428" spans="1:34" ht="14.25" customHeight="1">
      <c r="A1428" s="11">
        <v>1413</v>
      </c>
      <c r="B1428" s="66"/>
      <c r="C1428" s="67"/>
      <c r="D1428" s="67"/>
      <c r="E1428" s="67"/>
      <c r="F1428" s="67"/>
      <c r="G1428" s="67" t="s">
        <v>35</v>
      </c>
      <c r="H1428" s="67">
        <v>45471</v>
      </c>
      <c r="I1428" s="6" t="s">
        <v>2052</v>
      </c>
      <c r="J1428" s="9">
        <v>8048101036</v>
      </c>
      <c r="K1428" s="68">
        <v>45443</v>
      </c>
      <c r="L1428" s="68">
        <v>46022</v>
      </c>
      <c r="M1428" s="68">
        <v>46203</v>
      </c>
      <c r="N1428" s="69">
        <f t="shared" si="65"/>
        <v>6</v>
      </c>
      <c r="O1428" s="69">
        <f t="shared" si="66"/>
        <v>-4</v>
      </c>
      <c r="P1428" s="70">
        <v>9</v>
      </c>
      <c r="Q1428" s="70">
        <v>19</v>
      </c>
      <c r="R1428" s="70">
        <v>15</v>
      </c>
      <c r="S1428" s="68" t="str">
        <f t="shared" si="67"/>
        <v/>
      </c>
      <c r="T1428" s="68"/>
      <c r="U1428" s="95"/>
      <c r="V1428" s="68"/>
      <c r="W1428" s="9"/>
      <c r="X1428" s="10"/>
      <c r="Y1428" s="71">
        <f t="shared" si="68"/>
        <v>19</v>
      </c>
      <c r="Z1428" s="73">
        <f t="shared" si="69"/>
        <v>15</v>
      </c>
      <c r="AA1428" s="11" t="str">
        <f t="shared" si="70"/>
        <v/>
      </c>
      <c r="AB1428" s="73">
        <f t="shared" si="71"/>
        <v>6</v>
      </c>
      <c r="AC1428" s="11" t="str">
        <f t="shared" si="72"/>
        <v/>
      </c>
      <c r="AD1428" s="73">
        <f t="shared" si="73"/>
        <v>-4</v>
      </c>
      <c r="AE1428" s="11" t="str">
        <f t="shared" si="74"/>
        <v/>
      </c>
      <c r="AF1428" s="73">
        <f t="shared" si="75"/>
        <v>6.0014279999999998</v>
      </c>
      <c r="AG1428" s="11" t="str">
        <f t="shared" si="76"/>
        <v/>
      </c>
      <c r="AH1428" s="73">
        <f t="shared" si="77"/>
        <v>-3.9985719999999998</v>
      </c>
    </row>
    <row r="1429" spans="1:34" ht="14.25" customHeight="1">
      <c r="A1429" s="11">
        <v>1414</v>
      </c>
      <c r="B1429" s="66" t="s">
        <v>35</v>
      </c>
      <c r="C1429" s="67"/>
      <c r="D1429" s="67">
        <v>45281</v>
      </c>
      <c r="E1429" s="67"/>
      <c r="F1429" s="67"/>
      <c r="G1429" s="67"/>
      <c r="H1429" s="67"/>
      <c r="I1429" s="6" t="s">
        <v>2053</v>
      </c>
      <c r="J1429" s="9">
        <v>8058802060</v>
      </c>
      <c r="K1429" s="68">
        <v>45260</v>
      </c>
      <c r="L1429" s="68">
        <v>46022</v>
      </c>
      <c r="M1429" s="68">
        <v>46203</v>
      </c>
      <c r="N1429" s="69">
        <f t="shared" si="65"/>
        <v>12</v>
      </c>
      <c r="O1429" s="69">
        <f t="shared" si="66"/>
        <v>2</v>
      </c>
      <c r="P1429" s="70">
        <v>19</v>
      </c>
      <c r="Q1429" s="70">
        <v>29</v>
      </c>
      <c r="R1429" s="70">
        <v>31</v>
      </c>
      <c r="S1429" s="68" t="str">
        <f t="shared" si="67"/>
        <v/>
      </c>
      <c r="T1429" s="68"/>
      <c r="U1429" s="95"/>
      <c r="V1429" s="68"/>
      <c r="W1429" s="9"/>
      <c r="X1429" s="10"/>
      <c r="Y1429" s="71">
        <f t="shared" si="68"/>
        <v>29</v>
      </c>
      <c r="Z1429" s="73">
        <f t="shared" si="69"/>
        <v>31</v>
      </c>
      <c r="AA1429" s="73">
        <f t="shared" si="70"/>
        <v>12</v>
      </c>
      <c r="AB1429" s="11" t="str">
        <f t="shared" si="71"/>
        <v/>
      </c>
      <c r="AC1429" s="73">
        <f t="shared" si="72"/>
        <v>2</v>
      </c>
      <c r="AD1429" s="11" t="str">
        <f t="shared" si="73"/>
        <v/>
      </c>
      <c r="AE1429" s="73">
        <f t="shared" si="74"/>
        <v>12.001429</v>
      </c>
      <c r="AF1429" s="11" t="str">
        <f t="shared" si="75"/>
        <v/>
      </c>
      <c r="AG1429" s="73">
        <f t="shared" si="76"/>
        <v>2.0014289999999999</v>
      </c>
      <c r="AH1429" s="11" t="str">
        <f t="shared" si="77"/>
        <v/>
      </c>
    </row>
    <row r="1430" spans="1:34" ht="14.25" customHeight="1">
      <c r="A1430" s="11">
        <v>1415</v>
      </c>
      <c r="B1430" s="66"/>
      <c r="C1430" s="67"/>
      <c r="D1430" s="67"/>
      <c r="E1430" s="67"/>
      <c r="F1430" s="67"/>
      <c r="G1430" s="67" t="s">
        <v>35</v>
      </c>
      <c r="H1430" s="67">
        <v>44281</v>
      </c>
      <c r="I1430" s="6" t="s">
        <v>2054</v>
      </c>
      <c r="J1430" s="9">
        <v>8068101537</v>
      </c>
      <c r="K1430" s="68">
        <v>44255</v>
      </c>
      <c r="L1430" s="68">
        <v>46022</v>
      </c>
      <c r="M1430" s="68">
        <v>46203</v>
      </c>
      <c r="N1430" s="69">
        <f t="shared" si="65"/>
        <v>10</v>
      </c>
      <c r="O1430" s="69">
        <f t="shared" si="66"/>
        <v>-4</v>
      </c>
      <c r="P1430" s="70">
        <v>11</v>
      </c>
      <c r="Q1430" s="70">
        <v>25</v>
      </c>
      <c r="R1430" s="70">
        <v>21</v>
      </c>
      <c r="S1430" s="68" t="str">
        <f t="shared" si="67"/>
        <v/>
      </c>
      <c r="T1430" s="68"/>
      <c r="U1430" s="95"/>
      <c r="V1430" s="68"/>
      <c r="W1430" s="9"/>
      <c r="X1430" s="10"/>
      <c r="Y1430" s="71">
        <f t="shared" si="68"/>
        <v>25</v>
      </c>
      <c r="Z1430" s="73">
        <f t="shared" si="69"/>
        <v>21</v>
      </c>
      <c r="AA1430" s="11" t="str">
        <f t="shared" si="70"/>
        <v/>
      </c>
      <c r="AB1430" s="73">
        <f t="shared" si="71"/>
        <v>10</v>
      </c>
      <c r="AC1430" s="11" t="str">
        <f t="shared" si="72"/>
        <v/>
      </c>
      <c r="AD1430" s="73">
        <f t="shared" si="73"/>
        <v>-4</v>
      </c>
      <c r="AE1430" s="11" t="str">
        <f t="shared" si="74"/>
        <v/>
      </c>
      <c r="AF1430" s="73">
        <f t="shared" si="75"/>
        <v>10.001429999999999</v>
      </c>
      <c r="AG1430" s="11" t="str">
        <f t="shared" si="76"/>
        <v/>
      </c>
      <c r="AH1430" s="73">
        <f t="shared" si="77"/>
        <v>-3.99857</v>
      </c>
    </row>
    <row r="1431" spans="1:34" ht="14.25" customHeight="1">
      <c r="A1431" s="11">
        <v>1416</v>
      </c>
      <c r="B1431" s="66"/>
      <c r="C1431" s="67"/>
      <c r="D1431" s="67"/>
      <c r="E1431" s="67"/>
      <c r="F1431" s="67"/>
      <c r="G1431" s="67" t="s">
        <v>35</v>
      </c>
      <c r="H1431" s="67">
        <v>45007</v>
      </c>
      <c r="I1431" s="6" t="s">
        <v>2055</v>
      </c>
      <c r="J1431" s="9">
        <v>8068700694</v>
      </c>
      <c r="K1431" s="68">
        <v>44985</v>
      </c>
      <c r="L1431" s="68">
        <v>46022</v>
      </c>
      <c r="M1431" s="68">
        <v>46203</v>
      </c>
      <c r="N1431" s="69">
        <f t="shared" si="65"/>
        <v>57</v>
      </c>
      <c r="O1431" s="69">
        <f t="shared" si="66"/>
        <v>2</v>
      </c>
      <c r="P1431" s="70">
        <v>25</v>
      </c>
      <c r="Q1431" s="70">
        <v>80</v>
      </c>
      <c r="R1431" s="70">
        <v>82</v>
      </c>
      <c r="S1431" s="68" t="str">
        <f t="shared" si="67"/>
        <v/>
      </c>
      <c r="T1431" s="68"/>
      <c r="U1431" s="95"/>
      <c r="V1431" s="68"/>
      <c r="W1431" s="9"/>
      <c r="X1431" s="10"/>
      <c r="Y1431" s="71">
        <f t="shared" si="68"/>
        <v>80</v>
      </c>
      <c r="Z1431" s="73">
        <f t="shared" si="69"/>
        <v>82</v>
      </c>
      <c r="AA1431" s="11" t="str">
        <f t="shared" si="70"/>
        <v/>
      </c>
      <c r="AB1431" s="73">
        <f t="shared" si="71"/>
        <v>57</v>
      </c>
      <c r="AC1431" s="11" t="str">
        <f t="shared" si="72"/>
        <v/>
      </c>
      <c r="AD1431" s="73">
        <f t="shared" si="73"/>
        <v>2</v>
      </c>
      <c r="AE1431" s="11" t="str">
        <f t="shared" si="74"/>
        <v/>
      </c>
      <c r="AF1431" s="73">
        <f t="shared" si="75"/>
        <v>57.001430999999997</v>
      </c>
      <c r="AG1431" s="11" t="str">
        <f t="shared" si="76"/>
        <v/>
      </c>
      <c r="AH1431" s="73">
        <f t="shared" si="77"/>
        <v>2.0014310000000002</v>
      </c>
    </row>
    <row r="1432" spans="1:34" ht="14.25" customHeight="1">
      <c r="A1432" s="11">
        <v>1417</v>
      </c>
      <c r="B1432" s="66" t="s">
        <v>35</v>
      </c>
      <c r="C1432" s="67">
        <v>45078</v>
      </c>
      <c r="D1432" s="67"/>
      <c r="E1432" s="67"/>
      <c r="F1432" s="67"/>
      <c r="G1432" s="67" t="s">
        <v>35</v>
      </c>
      <c r="H1432" s="67">
        <v>45240</v>
      </c>
      <c r="I1432" s="6" t="s">
        <v>2056</v>
      </c>
      <c r="J1432" s="9">
        <v>8078703184</v>
      </c>
      <c r="K1432" s="68">
        <v>45077</v>
      </c>
      <c r="L1432" s="68">
        <v>46022</v>
      </c>
      <c r="M1432" s="68">
        <v>46203</v>
      </c>
      <c r="N1432" s="69">
        <f t="shared" si="65"/>
        <v>6</v>
      </c>
      <c r="O1432" s="69">
        <f t="shared" si="66"/>
        <v>0</v>
      </c>
      <c r="P1432" s="70">
        <v>0</v>
      </c>
      <c r="Q1432" s="70">
        <v>6</v>
      </c>
      <c r="R1432" s="70">
        <v>6</v>
      </c>
      <c r="S1432" s="68" t="str">
        <f t="shared" si="67"/>
        <v/>
      </c>
      <c r="T1432" s="68"/>
      <c r="U1432" s="95"/>
      <c r="V1432" s="68"/>
      <c r="W1432" s="9"/>
      <c r="X1432" s="10"/>
      <c r="Y1432" s="71">
        <f t="shared" si="68"/>
        <v>6</v>
      </c>
      <c r="Z1432" s="73">
        <f t="shared" si="69"/>
        <v>6</v>
      </c>
      <c r="AA1432" s="73">
        <f t="shared" si="70"/>
        <v>6</v>
      </c>
      <c r="AB1432" s="73">
        <f t="shared" si="71"/>
        <v>6</v>
      </c>
      <c r="AC1432" s="73">
        <f t="shared" si="72"/>
        <v>0</v>
      </c>
      <c r="AD1432" s="73">
        <f t="shared" si="73"/>
        <v>0</v>
      </c>
      <c r="AE1432" s="73">
        <f t="shared" si="74"/>
        <v>6.0014320000000003</v>
      </c>
      <c r="AF1432" s="73">
        <f t="shared" si="75"/>
        <v>6.0014320000000003</v>
      </c>
      <c r="AG1432" s="73">
        <f t="shared" si="76"/>
        <v>1.4319999999999999E-3</v>
      </c>
      <c r="AH1432" s="73">
        <f t="shared" si="77"/>
        <v>1.4319999999999999E-3</v>
      </c>
    </row>
    <row r="1433" spans="1:34" ht="14.25" customHeight="1">
      <c r="A1433" s="11">
        <v>1418</v>
      </c>
      <c r="B1433" s="66" t="s">
        <v>35</v>
      </c>
      <c r="C1433" s="67">
        <v>45658</v>
      </c>
      <c r="D1433" s="67"/>
      <c r="E1433" s="67">
        <v>45658</v>
      </c>
      <c r="F1433" s="67"/>
      <c r="G1433" s="67" t="s">
        <v>35</v>
      </c>
      <c r="H1433" s="67">
        <v>45303</v>
      </c>
      <c r="I1433" s="6" t="s">
        <v>2057</v>
      </c>
      <c r="J1433" s="9">
        <v>8088602293</v>
      </c>
      <c r="K1433" s="68">
        <v>45291</v>
      </c>
      <c r="L1433" s="68">
        <v>46022</v>
      </c>
      <c r="M1433" s="68">
        <v>46203</v>
      </c>
      <c r="N1433" s="69">
        <f t="shared" si="65"/>
        <v>-2</v>
      </c>
      <c r="O1433" s="69">
        <f t="shared" si="66"/>
        <v>-2</v>
      </c>
      <c r="P1433" s="70">
        <v>7</v>
      </c>
      <c r="Q1433" s="70">
        <v>7</v>
      </c>
      <c r="R1433" s="70">
        <v>5</v>
      </c>
      <c r="S1433" s="68" t="str">
        <f t="shared" si="67"/>
        <v/>
      </c>
      <c r="T1433" s="68"/>
      <c r="U1433" s="95"/>
      <c r="V1433" s="68"/>
      <c r="W1433" s="9"/>
      <c r="X1433" s="10"/>
      <c r="Y1433" s="71">
        <f t="shared" si="68"/>
        <v>7</v>
      </c>
      <c r="Z1433" s="73">
        <f t="shared" si="69"/>
        <v>5</v>
      </c>
      <c r="AA1433" s="73">
        <f t="shared" si="70"/>
        <v>-2</v>
      </c>
      <c r="AB1433" s="73">
        <f t="shared" si="71"/>
        <v>-2</v>
      </c>
      <c r="AC1433" s="73">
        <f t="shared" si="72"/>
        <v>-2</v>
      </c>
      <c r="AD1433" s="73">
        <f t="shared" si="73"/>
        <v>-2</v>
      </c>
      <c r="AE1433" s="73">
        <f t="shared" si="74"/>
        <v>-1.998567</v>
      </c>
      <c r="AF1433" s="73">
        <f t="shared" si="75"/>
        <v>-1.998567</v>
      </c>
      <c r="AG1433" s="73">
        <f t="shared" si="76"/>
        <v>-1.998567</v>
      </c>
      <c r="AH1433" s="73">
        <f t="shared" si="77"/>
        <v>-1.998567</v>
      </c>
    </row>
    <row r="1434" spans="1:34" ht="14.25" customHeight="1">
      <c r="A1434" s="11">
        <v>1419</v>
      </c>
      <c r="B1434" s="66" t="s">
        <v>35</v>
      </c>
      <c r="C1434" s="67">
        <v>44805</v>
      </c>
      <c r="D1434" s="67"/>
      <c r="E1434" s="67"/>
      <c r="F1434" s="67"/>
      <c r="G1434" s="67"/>
      <c r="H1434" s="67"/>
      <c r="I1434" s="6" t="s">
        <v>2058</v>
      </c>
      <c r="J1434" s="9">
        <v>8098101268</v>
      </c>
      <c r="K1434" s="68">
        <v>44804</v>
      </c>
      <c r="L1434" s="68">
        <v>46022</v>
      </c>
      <c r="M1434" s="68">
        <v>46203</v>
      </c>
      <c r="N1434" s="69">
        <f t="shared" si="65"/>
        <v>-4</v>
      </c>
      <c r="O1434" s="69">
        <f t="shared" si="66"/>
        <v>0</v>
      </c>
      <c r="P1434" s="70">
        <v>11</v>
      </c>
      <c r="Q1434" s="70">
        <v>7</v>
      </c>
      <c r="R1434" s="70">
        <v>7</v>
      </c>
      <c r="S1434" s="68" t="str">
        <f t="shared" si="67"/>
        <v/>
      </c>
      <c r="T1434" s="68"/>
      <c r="U1434" s="95"/>
      <c r="V1434" s="68"/>
      <c r="W1434" s="9"/>
      <c r="X1434" s="10"/>
      <c r="Y1434" s="71">
        <f t="shared" si="68"/>
        <v>7</v>
      </c>
      <c r="Z1434" s="73">
        <f t="shared" si="69"/>
        <v>7</v>
      </c>
      <c r="AA1434" s="73">
        <f t="shared" si="70"/>
        <v>-4</v>
      </c>
      <c r="AB1434" s="11" t="str">
        <f t="shared" si="71"/>
        <v/>
      </c>
      <c r="AC1434" s="73">
        <f t="shared" si="72"/>
        <v>0</v>
      </c>
      <c r="AD1434" s="11" t="str">
        <f t="shared" si="73"/>
        <v/>
      </c>
      <c r="AE1434" s="73">
        <f t="shared" si="74"/>
        <v>-3.9985659999999998</v>
      </c>
      <c r="AF1434" s="11" t="str">
        <f t="shared" si="75"/>
        <v/>
      </c>
      <c r="AG1434" s="73">
        <f t="shared" si="76"/>
        <v>1.4339999999999999E-3</v>
      </c>
      <c r="AH1434" s="11" t="str">
        <f t="shared" si="77"/>
        <v/>
      </c>
    </row>
    <row r="1435" spans="1:34" ht="14.25" customHeight="1">
      <c r="A1435" s="11">
        <v>1420</v>
      </c>
      <c r="B1435" s="66"/>
      <c r="C1435" s="67"/>
      <c r="D1435" s="67"/>
      <c r="E1435" s="67"/>
      <c r="F1435" s="67"/>
      <c r="G1435" s="67" t="s">
        <v>35</v>
      </c>
      <c r="H1435" s="67">
        <v>45630</v>
      </c>
      <c r="I1435" s="6" t="s">
        <v>2059</v>
      </c>
      <c r="J1435" s="9">
        <v>8098103005</v>
      </c>
      <c r="K1435" s="68">
        <v>45626</v>
      </c>
      <c r="L1435" s="68">
        <v>46022</v>
      </c>
      <c r="M1435" s="68">
        <v>46203</v>
      </c>
      <c r="N1435" s="69">
        <f t="shared" si="65"/>
        <v>2</v>
      </c>
      <c r="O1435" s="69">
        <f t="shared" si="66"/>
        <v>1</v>
      </c>
      <c r="P1435" s="70">
        <v>8</v>
      </c>
      <c r="Q1435" s="70">
        <v>9</v>
      </c>
      <c r="R1435" s="70">
        <v>10</v>
      </c>
      <c r="S1435" s="68" t="str">
        <f t="shared" si="67"/>
        <v/>
      </c>
      <c r="T1435" s="68"/>
      <c r="U1435" s="95"/>
      <c r="V1435" s="68"/>
      <c r="W1435" s="9"/>
      <c r="X1435" s="10"/>
      <c r="Y1435" s="71">
        <f t="shared" si="68"/>
        <v>9</v>
      </c>
      <c r="Z1435" s="73">
        <f t="shared" si="69"/>
        <v>10</v>
      </c>
      <c r="AA1435" s="11" t="str">
        <f t="shared" si="70"/>
        <v/>
      </c>
      <c r="AB1435" s="73">
        <f t="shared" si="71"/>
        <v>2</v>
      </c>
      <c r="AC1435" s="11" t="str">
        <f t="shared" si="72"/>
        <v/>
      </c>
      <c r="AD1435" s="73">
        <f t="shared" si="73"/>
        <v>1</v>
      </c>
      <c r="AE1435" s="11" t="str">
        <f t="shared" si="74"/>
        <v/>
      </c>
      <c r="AF1435" s="73">
        <f t="shared" si="75"/>
        <v>2.0014349999999999</v>
      </c>
      <c r="AG1435" s="11" t="str">
        <f t="shared" si="76"/>
        <v/>
      </c>
      <c r="AH1435" s="73">
        <f t="shared" si="77"/>
        <v>1.0014350000000001</v>
      </c>
    </row>
    <row r="1436" spans="1:34" ht="14.25" customHeight="1">
      <c r="A1436" s="11">
        <v>1421</v>
      </c>
      <c r="B1436" s="66"/>
      <c r="C1436" s="67"/>
      <c r="D1436" s="67"/>
      <c r="E1436" s="67"/>
      <c r="F1436" s="67"/>
      <c r="G1436" s="67" t="s">
        <v>35</v>
      </c>
      <c r="H1436" s="67">
        <v>44750</v>
      </c>
      <c r="I1436" s="6" t="s">
        <v>2060</v>
      </c>
      <c r="J1436" s="9">
        <v>8098601657</v>
      </c>
      <c r="K1436" s="68">
        <v>44742</v>
      </c>
      <c r="L1436" s="68">
        <v>46022</v>
      </c>
      <c r="M1436" s="68">
        <v>46203</v>
      </c>
      <c r="N1436" s="69">
        <f t="shared" si="65"/>
        <v>29</v>
      </c>
      <c r="O1436" s="69">
        <f t="shared" si="66"/>
        <v>1</v>
      </c>
      <c r="P1436" s="70">
        <v>11</v>
      </c>
      <c r="Q1436" s="70">
        <v>39</v>
      </c>
      <c r="R1436" s="70">
        <v>40</v>
      </c>
      <c r="S1436" s="68" t="str">
        <f t="shared" si="67"/>
        <v/>
      </c>
      <c r="T1436" s="68"/>
      <c r="U1436" s="95"/>
      <c r="V1436" s="68"/>
      <c r="W1436" s="9"/>
      <c r="X1436" s="10"/>
      <c r="Y1436" s="71">
        <f t="shared" si="68"/>
        <v>39</v>
      </c>
      <c r="Z1436" s="73">
        <f t="shared" si="69"/>
        <v>40</v>
      </c>
      <c r="AA1436" s="11" t="str">
        <f t="shared" si="70"/>
        <v/>
      </c>
      <c r="AB1436" s="73">
        <f t="shared" si="71"/>
        <v>29</v>
      </c>
      <c r="AC1436" s="11" t="str">
        <f t="shared" si="72"/>
        <v/>
      </c>
      <c r="AD1436" s="73">
        <f t="shared" si="73"/>
        <v>1</v>
      </c>
      <c r="AE1436" s="11" t="str">
        <f t="shared" si="74"/>
        <v/>
      </c>
      <c r="AF1436" s="73">
        <f t="shared" si="75"/>
        <v>29.001436000000002</v>
      </c>
      <c r="AG1436" s="11" t="str">
        <f t="shared" si="76"/>
        <v/>
      </c>
      <c r="AH1436" s="73">
        <f t="shared" si="77"/>
        <v>1.001436</v>
      </c>
    </row>
    <row r="1437" spans="1:34" ht="14.25" customHeight="1">
      <c r="A1437" s="11">
        <v>1422</v>
      </c>
      <c r="B1437" s="66"/>
      <c r="C1437" s="67"/>
      <c r="D1437" s="67"/>
      <c r="E1437" s="67"/>
      <c r="F1437" s="67"/>
      <c r="G1437" s="67" t="s">
        <v>35</v>
      </c>
      <c r="H1437" s="67">
        <v>44449</v>
      </c>
      <c r="I1437" s="6" t="s">
        <v>2061</v>
      </c>
      <c r="J1437" s="9">
        <v>8108700470</v>
      </c>
      <c r="K1437" s="68">
        <v>44439</v>
      </c>
      <c r="L1437" s="68">
        <v>46022</v>
      </c>
      <c r="M1437" s="68">
        <v>46203</v>
      </c>
      <c r="N1437" s="69">
        <f t="shared" si="65"/>
        <v>-4</v>
      </c>
      <c r="O1437" s="69">
        <f t="shared" si="66"/>
        <v>-2</v>
      </c>
      <c r="P1437" s="70">
        <v>15</v>
      </c>
      <c r="Q1437" s="70">
        <v>13</v>
      </c>
      <c r="R1437" s="70">
        <v>11</v>
      </c>
      <c r="S1437" s="68" t="str">
        <f t="shared" si="67"/>
        <v/>
      </c>
      <c r="T1437" s="68"/>
      <c r="U1437" s="95"/>
      <c r="V1437" s="68"/>
      <c r="W1437" s="9"/>
      <c r="X1437" s="10"/>
      <c r="Y1437" s="71">
        <f t="shared" si="68"/>
        <v>13</v>
      </c>
      <c r="Z1437" s="73">
        <f t="shared" si="69"/>
        <v>11</v>
      </c>
      <c r="AA1437" s="11" t="str">
        <f t="shared" si="70"/>
        <v/>
      </c>
      <c r="AB1437" s="73">
        <f t="shared" si="71"/>
        <v>-4</v>
      </c>
      <c r="AC1437" s="11" t="str">
        <f t="shared" si="72"/>
        <v/>
      </c>
      <c r="AD1437" s="73">
        <f t="shared" si="73"/>
        <v>-2</v>
      </c>
      <c r="AE1437" s="11" t="str">
        <f t="shared" si="74"/>
        <v/>
      </c>
      <c r="AF1437" s="73">
        <f t="shared" si="75"/>
        <v>-3.9985629999999999</v>
      </c>
      <c r="AG1437" s="11" t="str">
        <f t="shared" si="76"/>
        <v/>
      </c>
      <c r="AH1437" s="73">
        <f t="shared" si="77"/>
        <v>-1.9985630000000001</v>
      </c>
    </row>
    <row r="1438" spans="1:34" ht="14.25" customHeight="1">
      <c r="A1438" s="11">
        <v>1423</v>
      </c>
      <c r="B1438" s="66"/>
      <c r="C1438" s="67"/>
      <c r="D1438" s="67"/>
      <c r="E1438" s="67"/>
      <c r="F1438" s="67"/>
      <c r="G1438" s="67" t="s">
        <v>35</v>
      </c>
      <c r="H1438" s="67">
        <v>45329</v>
      </c>
      <c r="I1438" s="6" t="s">
        <v>2062</v>
      </c>
      <c r="J1438" s="9">
        <v>8108801423</v>
      </c>
      <c r="K1438" s="68">
        <v>45322</v>
      </c>
      <c r="L1438" s="68">
        <v>46022</v>
      </c>
      <c r="M1438" s="68">
        <v>46203</v>
      </c>
      <c r="N1438" s="69">
        <f t="shared" si="65"/>
        <v>6</v>
      </c>
      <c r="O1438" s="69">
        <f t="shared" si="66"/>
        <v>-1</v>
      </c>
      <c r="P1438" s="70">
        <v>0</v>
      </c>
      <c r="Q1438" s="70">
        <v>7</v>
      </c>
      <c r="R1438" s="70">
        <v>6</v>
      </c>
      <c r="S1438" s="68" t="str">
        <f t="shared" si="67"/>
        <v/>
      </c>
      <c r="T1438" s="68"/>
      <c r="U1438" s="95"/>
      <c r="V1438" s="68"/>
      <c r="W1438" s="9"/>
      <c r="X1438" s="10"/>
      <c r="Y1438" s="71">
        <f t="shared" si="68"/>
        <v>7</v>
      </c>
      <c r="Z1438" s="73">
        <f t="shared" si="69"/>
        <v>6</v>
      </c>
      <c r="AA1438" s="11" t="str">
        <f t="shared" si="70"/>
        <v/>
      </c>
      <c r="AB1438" s="73">
        <f t="shared" si="71"/>
        <v>6</v>
      </c>
      <c r="AC1438" s="11" t="str">
        <f t="shared" si="72"/>
        <v/>
      </c>
      <c r="AD1438" s="73">
        <f t="shared" si="73"/>
        <v>-1</v>
      </c>
      <c r="AE1438" s="11" t="str">
        <f t="shared" si="74"/>
        <v/>
      </c>
      <c r="AF1438" s="73">
        <f t="shared" si="75"/>
        <v>6.0014380000000003</v>
      </c>
      <c r="AG1438" s="11" t="str">
        <f t="shared" si="76"/>
        <v/>
      </c>
      <c r="AH1438" s="73">
        <f t="shared" si="77"/>
        <v>-0.99856199999999995</v>
      </c>
    </row>
    <row r="1439" spans="1:34" ht="14.25" customHeight="1">
      <c r="A1439" s="11">
        <v>1424</v>
      </c>
      <c r="B1439" s="66" t="s">
        <v>35</v>
      </c>
      <c r="C1439" s="67"/>
      <c r="D1439" s="67">
        <v>45226</v>
      </c>
      <c r="E1439" s="67"/>
      <c r="F1439" s="67"/>
      <c r="G1439" s="67" t="s">
        <v>35</v>
      </c>
      <c r="H1439" s="67">
        <v>44448</v>
      </c>
      <c r="I1439" s="6" t="s">
        <v>2063</v>
      </c>
      <c r="J1439" s="9">
        <v>8118100786</v>
      </c>
      <c r="K1439" s="68">
        <v>44439</v>
      </c>
      <c r="L1439" s="68">
        <v>46022</v>
      </c>
      <c r="M1439" s="68">
        <v>46203</v>
      </c>
      <c r="N1439" s="69">
        <f t="shared" si="65"/>
        <v>25</v>
      </c>
      <c r="O1439" s="69">
        <f t="shared" si="66"/>
        <v>8</v>
      </c>
      <c r="P1439" s="70">
        <v>6</v>
      </c>
      <c r="Q1439" s="70">
        <v>23</v>
      </c>
      <c r="R1439" s="70">
        <v>31</v>
      </c>
      <c r="S1439" s="68" t="str">
        <f t="shared" si="67"/>
        <v/>
      </c>
      <c r="T1439" s="68"/>
      <c r="U1439" s="95"/>
      <c r="V1439" s="68"/>
      <c r="W1439" s="9"/>
      <c r="X1439" s="10"/>
      <c r="Y1439" s="71">
        <f t="shared" si="68"/>
        <v>23</v>
      </c>
      <c r="Z1439" s="73">
        <f t="shared" si="69"/>
        <v>31</v>
      </c>
      <c r="AA1439" s="73">
        <f t="shared" si="70"/>
        <v>25</v>
      </c>
      <c r="AB1439" s="73">
        <f t="shared" si="71"/>
        <v>25</v>
      </c>
      <c r="AC1439" s="73">
        <f t="shared" si="72"/>
        <v>8</v>
      </c>
      <c r="AD1439" s="73">
        <f t="shared" si="73"/>
        <v>8</v>
      </c>
      <c r="AE1439" s="73">
        <f t="shared" si="74"/>
        <v>25.001439000000001</v>
      </c>
      <c r="AF1439" s="73">
        <f t="shared" si="75"/>
        <v>25.001439000000001</v>
      </c>
      <c r="AG1439" s="73">
        <f t="shared" si="76"/>
        <v>8.0014389999999995</v>
      </c>
      <c r="AH1439" s="73">
        <f t="shared" si="77"/>
        <v>8.0014389999999995</v>
      </c>
    </row>
    <row r="1440" spans="1:34" ht="14.25" customHeight="1">
      <c r="A1440" s="11">
        <v>1425</v>
      </c>
      <c r="B1440" s="66" t="s">
        <v>24</v>
      </c>
      <c r="C1440" s="67">
        <v>43105</v>
      </c>
      <c r="D1440" s="67"/>
      <c r="E1440" s="67"/>
      <c r="F1440" s="67"/>
      <c r="G1440" s="67"/>
      <c r="H1440" s="67"/>
      <c r="I1440" s="6" t="s">
        <v>2064</v>
      </c>
      <c r="J1440" s="9">
        <v>8128700364</v>
      </c>
      <c r="K1440" s="68">
        <v>43100</v>
      </c>
      <c r="L1440" s="68" t="s">
        <v>230</v>
      </c>
      <c r="M1440" s="68">
        <v>45016</v>
      </c>
      <c r="N1440" s="69">
        <f t="shared" si="65"/>
        <v>0</v>
      </c>
      <c r="O1440" s="69" t="str">
        <f t="shared" si="66"/>
        <v>N/A</v>
      </c>
      <c r="P1440" s="70">
        <v>0</v>
      </c>
      <c r="Q1440" s="70"/>
      <c r="R1440" s="70">
        <v>0</v>
      </c>
      <c r="S1440" s="68">
        <f t="shared" si="67"/>
        <v>45016</v>
      </c>
      <c r="T1440" s="68">
        <v>45016</v>
      </c>
      <c r="U1440" s="95"/>
      <c r="V1440" s="68"/>
      <c r="W1440" s="9"/>
      <c r="X1440" s="10"/>
      <c r="Y1440" s="65" t="str">
        <f t="shared" si="68"/>
        <v/>
      </c>
      <c r="Z1440" s="11" t="str">
        <f t="shared" si="69"/>
        <v/>
      </c>
      <c r="AA1440" s="73">
        <f t="shared" si="70"/>
        <v>0</v>
      </c>
      <c r="AB1440" s="11" t="str">
        <f t="shared" si="71"/>
        <v/>
      </c>
      <c r="AC1440" s="11" t="str">
        <f t="shared" si="72"/>
        <v/>
      </c>
      <c r="AD1440" s="11" t="str">
        <f t="shared" si="73"/>
        <v/>
      </c>
      <c r="AE1440" s="73">
        <f t="shared" si="74"/>
        <v>1.4400000000000001E-3</v>
      </c>
      <c r="AF1440" s="11" t="str">
        <f t="shared" si="75"/>
        <v/>
      </c>
      <c r="AG1440" s="11" t="str">
        <f t="shared" si="76"/>
        <v/>
      </c>
      <c r="AH1440" s="11" t="str">
        <f t="shared" si="77"/>
        <v/>
      </c>
    </row>
    <row r="1441" spans="1:34" ht="14.25" customHeight="1">
      <c r="A1441" s="11">
        <v>1426</v>
      </c>
      <c r="B1441" s="66" t="s">
        <v>35</v>
      </c>
      <c r="C1441" s="67">
        <v>44986</v>
      </c>
      <c r="D1441" s="67"/>
      <c r="E1441" s="67"/>
      <c r="F1441" s="67"/>
      <c r="G1441" s="67"/>
      <c r="H1441" s="67"/>
      <c r="I1441" s="6" t="s">
        <v>2065</v>
      </c>
      <c r="J1441" s="9">
        <v>8128802637</v>
      </c>
      <c r="K1441" s="68">
        <v>44985</v>
      </c>
      <c r="L1441" s="68">
        <v>46022</v>
      </c>
      <c r="M1441" s="68">
        <v>46203</v>
      </c>
      <c r="N1441" s="69">
        <f t="shared" si="65"/>
        <v>-2</v>
      </c>
      <c r="O1441" s="69">
        <f t="shared" si="66"/>
        <v>-2</v>
      </c>
      <c r="P1441" s="70">
        <v>2</v>
      </c>
      <c r="Q1441" s="70">
        <v>2</v>
      </c>
      <c r="R1441" s="70">
        <v>0</v>
      </c>
      <c r="S1441" s="68" t="str">
        <f t="shared" si="67"/>
        <v/>
      </c>
      <c r="T1441" s="68"/>
      <c r="U1441" s="95"/>
      <c r="V1441" s="68"/>
      <c r="W1441" s="9"/>
      <c r="X1441" s="10"/>
      <c r="Y1441" s="71">
        <f t="shared" si="68"/>
        <v>2</v>
      </c>
      <c r="Z1441" s="73">
        <f t="shared" si="69"/>
        <v>0</v>
      </c>
      <c r="AA1441" s="73">
        <f t="shared" si="70"/>
        <v>-2</v>
      </c>
      <c r="AB1441" s="11" t="str">
        <f t="shared" si="71"/>
        <v/>
      </c>
      <c r="AC1441" s="73">
        <f t="shared" si="72"/>
        <v>-2</v>
      </c>
      <c r="AD1441" s="11" t="str">
        <f t="shared" si="73"/>
        <v/>
      </c>
      <c r="AE1441" s="73">
        <f t="shared" si="74"/>
        <v>-1.998559</v>
      </c>
      <c r="AF1441" s="11" t="str">
        <f t="shared" si="75"/>
        <v/>
      </c>
      <c r="AG1441" s="73">
        <f t="shared" si="76"/>
        <v>-1.998559</v>
      </c>
      <c r="AH1441" s="11" t="str">
        <f t="shared" si="77"/>
        <v/>
      </c>
    </row>
    <row r="1442" spans="1:34" ht="14.25" customHeight="1">
      <c r="A1442" s="11">
        <v>1427</v>
      </c>
      <c r="B1442" s="66"/>
      <c r="C1442" s="67"/>
      <c r="D1442" s="67"/>
      <c r="E1442" s="67"/>
      <c r="F1442" s="67"/>
      <c r="G1442" s="67" t="s">
        <v>35</v>
      </c>
      <c r="H1442" s="67">
        <v>44448</v>
      </c>
      <c r="I1442" s="6" t="s">
        <v>2066</v>
      </c>
      <c r="J1442" s="9">
        <v>8138101272</v>
      </c>
      <c r="K1442" s="68">
        <v>44439</v>
      </c>
      <c r="L1442" s="68">
        <v>46022</v>
      </c>
      <c r="M1442" s="68">
        <v>46203</v>
      </c>
      <c r="N1442" s="69">
        <f t="shared" si="65"/>
        <v>26</v>
      </c>
      <c r="O1442" s="69">
        <f t="shared" si="66"/>
        <v>3</v>
      </c>
      <c r="P1442" s="70">
        <v>19</v>
      </c>
      <c r="Q1442" s="70">
        <v>42</v>
      </c>
      <c r="R1442" s="70">
        <v>45</v>
      </c>
      <c r="S1442" s="68" t="str">
        <f t="shared" si="67"/>
        <v/>
      </c>
      <c r="T1442" s="68"/>
      <c r="U1442" s="95"/>
      <c r="V1442" s="68"/>
      <c r="W1442" s="9"/>
      <c r="X1442" s="10"/>
      <c r="Y1442" s="71">
        <f t="shared" si="68"/>
        <v>42</v>
      </c>
      <c r="Z1442" s="73">
        <f t="shared" si="69"/>
        <v>45</v>
      </c>
      <c r="AA1442" s="11" t="str">
        <f t="shared" si="70"/>
        <v/>
      </c>
      <c r="AB1442" s="73">
        <f t="shared" si="71"/>
        <v>26</v>
      </c>
      <c r="AC1442" s="11" t="str">
        <f t="shared" si="72"/>
        <v/>
      </c>
      <c r="AD1442" s="73">
        <f t="shared" si="73"/>
        <v>3</v>
      </c>
      <c r="AE1442" s="11" t="str">
        <f t="shared" si="74"/>
        <v/>
      </c>
      <c r="AF1442" s="73">
        <f t="shared" si="75"/>
        <v>26.001442000000001</v>
      </c>
      <c r="AG1442" s="11" t="str">
        <f t="shared" si="76"/>
        <v/>
      </c>
      <c r="AH1442" s="73">
        <f t="shared" si="77"/>
        <v>3.0014419999999999</v>
      </c>
    </row>
    <row r="1443" spans="1:34" ht="14.25" customHeight="1">
      <c r="A1443" s="11">
        <v>1428</v>
      </c>
      <c r="B1443" s="66"/>
      <c r="C1443" s="67"/>
      <c r="D1443" s="67"/>
      <c r="E1443" s="67"/>
      <c r="F1443" s="67"/>
      <c r="G1443" s="67" t="s">
        <v>24</v>
      </c>
      <c r="H1443" s="67">
        <v>42528</v>
      </c>
      <c r="I1443" s="6" t="s">
        <v>2067</v>
      </c>
      <c r="J1443" s="9">
        <v>8148600306</v>
      </c>
      <c r="K1443" s="68">
        <v>42521</v>
      </c>
      <c r="L1443" s="68" t="s">
        <v>230</v>
      </c>
      <c r="M1443" s="68">
        <v>44742</v>
      </c>
      <c r="N1443" s="69">
        <f t="shared" si="65"/>
        <v>-3</v>
      </c>
      <c r="O1443" s="69" t="str">
        <f t="shared" si="66"/>
        <v>N/A</v>
      </c>
      <c r="P1443" s="70">
        <v>3</v>
      </c>
      <c r="Q1443" s="70"/>
      <c r="R1443" s="70">
        <v>0</v>
      </c>
      <c r="S1443" s="68">
        <f t="shared" si="67"/>
        <v>44742</v>
      </c>
      <c r="T1443" s="68">
        <v>44742</v>
      </c>
      <c r="U1443" s="95"/>
      <c r="V1443" s="68"/>
      <c r="W1443" s="9"/>
      <c r="X1443" s="10"/>
      <c r="Y1443" s="65" t="str">
        <f t="shared" si="68"/>
        <v/>
      </c>
      <c r="Z1443" s="11" t="str">
        <f t="shared" si="69"/>
        <v/>
      </c>
      <c r="AA1443" s="11" t="str">
        <f t="shared" si="70"/>
        <v/>
      </c>
      <c r="AB1443" s="73">
        <f t="shared" si="71"/>
        <v>-3</v>
      </c>
      <c r="AC1443" s="11" t="str">
        <f t="shared" si="72"/>
        <v/>
      </c>
      <c r="AD1443" s="11" t="str">
        <f t="shared" si="73"/>
        <v/>
      </c>
      <c r="AE1443" s="11" t="str">
        <f t="shared" si="74"/>
        <v/>
      </c>
      <c r="AF1443" s="73">
        <f t="shared" si="75"/>
        <v>-2.9985569999999999</v>
      </c>
      <c r="AG1443" s="11" t="str">
        <f t="shared" si="76"/>
        <v/>
      </c>
      <c r="AH1443" s="11" t="str">
        <f t="shared" si="77"/>
        <v/>
      </c>
    </row>
    <row r="1444" spans="1:34" ht="14.25" customHeight="1">
      <c r="A1444" s="11">
        <v>1429</v>
      </c>
      <c r="B1444" s="66"/>
      <c r="C1444" s="67"/>
      <c r="D1444" s="67"/>
      <c r="E1444" s="67"/>
      <c r="F1444" s="67"/>
      <c r="G1444" s="67" t="s">
        <v>35</v>
      </c>
      <c r="H1444" s="67">
        <v>45373</v>
      </c>
      <c r="I1444" s="6" t="s">
        <v>2068</v>
      </c>
      <c r="J1444" s="9">
        <v>8148602658</v>
      </c>
      <c r="K1444" s="68">
        <v>45351</v>
      </c>
      <c r="L1444" s="68">
        <v>46022</v>
      </c>
      <c r="M1444" s="68">
        <v>46203</v>
      </c>
      <c r="N1444" s="69">
        <f t="shared" si="65"/>
        <v>4</v>
      </c>
      <c r="O1444" s="69">
        <f t="shared" si="66"/>
        <v>0</v>
      </c>
      <c r="P1444" s="70">
        <v>8</v>
      </c>
      <c r="Q1444" s="70">
        <v>12</v>
      </c>
      <c r="R1444" s="70">
        <v>12</v>
      </c>
      <c r="S1444" s="68" t="str">
        <f t="shared" si="67"/>
        <v/>
      </c>
      <c r="T1444" s="68"/>
      <c r="U1444" s="95"/>
      <c r="V1444" s="68"/>
      <c r="W1444" s="9"/>
      <c r="X1444" s="10"/>
      <c r="Y1444" s="71">
        <f t="shared" si="68"/>
        <v>12</v>
      </c>
      <c r="Z1444" s="73">
        <f t="shared" si="69"/>
        <v>12</v>
      </c>
      <c r="AA1444" s="11" t="str">
        <f t="shared" si="70"/>
        <v/>
      </c>
      <c r="AB1444" s="73">
        <f t="shared" si="71"/>
        <v>4</v>
      </c>
      <c r="AC1444" s="11" t="str">
        <f t="shared" si="72"/>
        <v/>
      </c>
      <c r="AD1444" s="73">
        <f t="shared" si="73"/>
        <v>0</v>
      </c>
      <c r="AE1444" s="11" t="str">
        <f t="shared" si="74"/>
        <v/>
      </c>
      <c r="AF1444" s="73">
        <f t="shared" si="75"/>
        <v>4.0014440000000002</v>
      </c>
      <c r="AG1444" s="11" t="str">
        <f t="shared" si="76"/>
        <v/>
      </c>
      <c r="AH1444" s="73">
        <f t="shared" si="77"/>
        <v>1.444E-3</v>
      </c>
    </row>
    <row r="1445" spans="1:34" ht="14.25" customHeight="1">
      <c r="A1445" s="11">
        <v>1430</v>
      </c>
      <c r="B1445" s="66" t="s">
        <v>35</v>
      </c>
      <c r="C1445" s="67">
        <v>45170</v>
      </c>
      <c r="D1445" s="67"/>
      <c r="E1445" s="67"/>
      <c r="F1445" s="67"/>
      <c r="G1445" s="67"/>
      <c r="H1445" s="67"/>
      <c r="I1445" s="6" t="s">
        <v>2069</v>
      </c>
      <c r="J1445" s="9">
        <v>8158103223</v>
      </c>
      <c r="K1445" s="68">
        <v>45169</v>
      </c>
      <c r="L1445" s="68">
        <v>46022</v>
      </c>
      <c r="M1445" s="68">
        <v>46203</v>
      </c>
      <c r="N1445" s="69">
        <f t="shared" si="65"/>
        <v>5</v>
      </c>
      <c r="O1445" s="69">
        <f t="shared" si="66"/>
        <v>1</v>
      </c>
      <c r="P1445" s="70">
        <v>4</v>
      </c>
      <c r="Q1445" s="70">
        <v>8</v>
      </c>
      <c r="R1445" s="70">
        <v>9</v>
      </c>
      <c r="S1445" s="68" t="str">
        <f t="shared" si="67"/>
        <v/>
      </c>
      <c r="T1445" s="68"/>
      <c r="U1445" s="95"/>
      <c r="V1445" s="68"/>
      <c r="W1445" s="9"/>
      <c r="X1445" s="10"/>
      <c r="Y1445" s="71">
        <f t="shared" si="68"/>
        <v>8</v>
      </c>
      <c r="Z1445" s="73">
        <f t="shared" si="69"/>
        <v>9</v>
      </c>
      <c r="AA1445" s="73">
        <f t="shared" si="70"/>
        <v>5</v>
      </c>
      <c r="AB1445" s="11" t="str">
        <f t="shared" si="71"/>
        <v/>
      </c>
      <c r="AC1445" s="73">
        <f t="shared" si="72"/>
        <v>1</v>
      </c>
      <c r="AD1445" s="11" t="str">
        <f t="shared" si="73"/>
        <v/>
      </c>
      <c r="AE1445" s="73">
        <f t="shared" si="74"/>
        <v>5.0014450000000004</v>
      </c>
      <c r="AF1445" s="11" t="str">
        <f t="shared" si="75"/>
        <v/>
      </c>
      <c r="AG1445" s="73">
        <f t="shared" si="76"/>
        <v>1.0014449999999999</v>
      </c>
      <c r="AH1445" s="11" t="str">
        <f t="shared" si="77"/>
        <v/>
      </c>
    </row>
    <row r="1446" spans="1:34" ht="14.25" customHeight="1">
      <c r="A1446" s="11">
        <v>1431</v>
      </c>
      <c r="B1446" s="66"/>
      <c r="C1446" s="67"/>
      <c r="D1446" s="67"/>
      <c r="E1446" s="67"/>
      <c r="F1446" s="67"/>
      <c r="G1446" s="67" t="s">
        <v>35</v>
      </c>
      <c r="H1446" s="67">
        <v>43287</v>
      </c>
      <c r="I1446" s="6" t="s">
        <v>2070</v>
      </c>
      <c r="J1446" s="9">
        <v>8158600482</v>
      </c>
      <c r="K1446" s="68">
        <v>43281</v>
      </c>
      <c r="L1446" s="68">
        <v>46022</v>
      </c>
      <c r="M1446" s="68">
        <v>46203</v>
      </c>
      <c r="N1446" s="69">
        <f t="shared" si="65"/>
        <v>21</v>
      </c>
      <c r="O1446" s="69">
        <f t="shared" si="66"/>
        <v>-2</v>
      </c>
      <c r="P1446" s="70">
        <v>4</v>
      </c>
      <c r="Q1446" s="70">
        <v>27</v>
      </c>
      <c r="R1446" s="70">
        <v>25</v>
      </c>
      <c r="S1446" s="68" t="str">
        <f t="shared" si="67"/>
        <v/>
      </c>
      <c r="T1446" s="68"/>
      <c r="U1446" s="95"/>
      <c r="V1446" s="68"/>
      <c r="W1446" s="9"/>
      <c r="X1446" s="10"/>
      <c r="Y1446" s="71">
        <f t="shared" si="68"/>
        <v>27</v>
      </c>
      <c r="Z1446" s="73">
        <f t="shared" si="69"/>
        <v>25</v>
      </c>
      <c r="AA1446" s="11" t="str">
        <f t="shared" si="70"/>
        <v/>
      </c>
      <c r="AB1446" s="73">
        <f t="shared" si="71"/>
        <v>21</v>
      </c>
      <c r="AC1446" s="11" t="str">
        <f t="shared" si="72"/>
        <v/>
      </c>
      <c r="AD1446" s="73">
        <f t="shared" si="73"/>
        <v>-2</v>
      </c>
      <c r="AE1446" s="11" t="str">
        <f t="shared" si="74"/>
        <v/>
      </c>
      <c r="AF1446" s="73">
        <f t="shared" si="75"/>
        <v>21.001446000000001</v>
      </c>
      <c r="AG1446" s="11" t="str">
        <f t="shared" si="76"/>
        <v/>
      </c>
      <c r="AH1446" s="73">
        <f t="shared" si="77"/>
        <v>-1.9985539999999999</v>
      </c>
    </row>
    <row r="1447" spans="1:34" ht="14.25" customHeight="1">
      <c r="A1447" s="11">
        <v>1432</v>
      </c>
      <c r="B1447" s="66"/>
      <c r="C1447" s="67"/>
      <c r="D1447" s="67"/>
      <c r="E1447" s="67"/>
      <c r="F1447" s="67"/>
      <c r="G1447" s="67" t="s">
        <v>35</v>
      </c>
      <c r="H1447" s="67">
        <v>45572</v>
      </c>
      <c r="I1447" s="6" t="s">
        <v>2071</v>
      </c>
      <c r="J1447" s="9">
        <v>8158603096</v>
      </c>
      <c r="K1447" s="68">
        <v>45565</v>
      </c>
      <c r="L1447" s="68">
        <v>46022</v>
      </c>
      <c r="M1447" s="68">
        <v>46203</v>
      </c>
      <c r="N1447" s="69">
        <f t="shared" si="65"/>
        <v>18</v>
      </c>
      <c r="O1447" s="69">
        <f t="shared" si="66"/>
        <v>6</v>
      </c>
      <c r="P1447" s="70">
        <v>24</v>
      </c>
      <c r="Q1447" s="70">
        <v>36</v>
      </c>
      <c r="R1447" s="70">
        <v>42</v>
      </c>
      <c r="S1447" s="68" t="str">
        <f t="shared" si="67"/>
        <v/>
      </c>
      <c r="T1447" s="68"/>
      <c r="U1447" s="95"/>
      <c r="V1447" s="68"/>
      <c r="W1447" s="9"/>
      <c r="X1447" s="10"/>
      <c r="Y1447" s="71">
        <f t="shared" si="68"/>
        <v>36</v>
      </c>
      <c r="Z1447" s="73">
        <f t="shared" si="69"/>
        <v>42</v>
      </c>
      <c r="AA1447" s="11" t="str">
        <f t="shared" si="70"/>
        <v/>
      </c>
      <c r="AB1447" s="73">
        <f t="shared" si="71"/>
        <v>18</v>
      </c>
      <c r="AC1447" s="11" t="str">
        <f t="shared" si="72"/>
        <v/>
      </c>
      <c r="AD1447" s="73">
        <f t="shared" si="73"/>
        <v>6</v>
      </c>
      <c r="AE1447" s="11" t="str">
        <f t="shared" si="74"/>
        <v/>
      </c>
      <c r="AF1447" s="73">
        <f t="shared" si="75"/>
        <v>18.001446999999999</v>
      </c>
      <c r="AG1447" s="11" t="str">
        <f t="shared" si="76"/>
        <v/>
      </c>
      <c r="AH1447" s="73">
        <f t="shared" si="77"/>
        <v>6.0014469999999998</v>
      </c>
    </row>
    <row r="1448" spans="1:34" ht="14.25" customHeight="1">
      <c r="A1448" s="11">
        <v>1433</v>
      </c>
      <c r="B1448" s="66"/>
      <c r="C1448" s="67"/>
      <c r="D1448" s="67"/>
      <c r="E1448" s="67"/>
      <c r="F1448" s="67"/>
      <c r="G1448" s="67" t="s">
        <v>35</v>
      </c>
      <c r="H1448" s="67">
        <v>44375</v>
      </c>
      <c r="I1448" s="6" t="s">
        <v>2072</v>
      </c>
      <c r="J1448" s="9">
        <v>8168601941</v>
      </c>
      <c r="K1448" s="68">
        <v>44347</v>
      </c>
      <c r="L1448" s="68">
        <v>46022</v>
      </c>
      <c r="M1448" s="68">
        <v>46203</v>
      </c>
      <c r="N1448" s="69">
        <f t="shared" si="65"/>
        <v>12</v>
      </c>
      <c r="O1448" s="69">
        <f t="shared" si="66"/>
        <v>2</v>
      </c>
      <c r="P1448" s="70">
        <v>0</v>
      </c>
      <c r="Q1448" s="70">
        <v>10</v>
      </c>
      <c r="R1448" s="70">
        <v>12</v>
      </c>
      <c r="S1448" s="68" t="str">
        <f t="shared" si="67"/>
        <v/>
      </c>
      <c r="T1448" s="68"/>
      <c r="U1448" s="95"/>
      <c r="V1448" s="68"/>
      <c r="W1448" s="9"/>
      <c r="X1448" s="10"/>
      <c r="Y1448" s="71">
        <f t="shared" si="68"/>
        <v>10</v>
      </c>
      <c r="Z1448" s="73">
        <f t="shared" si="69"/>
        <v>12</v>
      </c>
      <c r="AA1448" s="11" t="str">
        <f t="shared" si="70"/>
        <v/>
      </c>
      <c r="AB1448" s="73">
        <f t="shared" si="71"/>
        <v>12</v>
      </c>
      <c r="AC1448" s="11" t="str">
        <f t="shared" si="72"/>
        <v/>
      </c>
      <c r="AD1448" s="73">
        <f t="shared" si="73"/>
        <v>2</v>
      </c>
      <c r="AE1448" s="11" t="str">
        <f t="shared" si="74"/>
        <v/>
      </c>
      <c r="AF1448" s="73">
        <f t="shared" si="75"/>
        <v>12.001448</v>
      </c>
      <c r="AG1448" s="11" t="str">
        <f t="shared" si="76"/>
        <v/>
      </c>
      <c r="AH1448" s="73">
        <f t="shared" si="77"/>
        <v>2.0014479999999999</v>
      </c>
    </row>
    <row r="1449" spans="1:34" ht="14.25" customHeight="1">
      <c r="A1449" s="11">
        <v>1434</v>
      </c>
      <c r="B1449" s="66"/>
      <c r="C1449" s="67"/>
      <c r="D1449" s="67"/>
      <c r="E1449" s="67"/>
      <c r="F1449" s="67"/>
      <c r="G1449" s="67" t="s">
        <v>35</v>
      </c>
      <c r="H1449" s="67">
        <v>45156</v>
      </c>
      <c r="I1449" s="6" t="s">
        <v>2073</v>
      </c>
      <c r="J1449" s="9">
        <v>8168702670</v>
      </c>
      <c r="K1449" s="68">
        <v>45138</v>
      </c>
      <c r="L1449" s="68">
        <v>46022</v>
      </c>
      <c r="M1449" s="68">
        <v>46203</v>
      </c>
      <c r="N1449" s="69">
        <f t="shared" si="65"/>
        <v>20</v>
      </c>
      <c r="O1449" s="69">
        <f t="shared" si="66"/>
        <v>4</v>
      </c>
      <c r="P1449" s="70">
        <v>3</v>
      </c>
      <c r="Q1449" s="70">
        <v>19</v>
      </c>
      <c r="R1449" s="70">
        <v>23</v>
      </c>
      <c r="S1449" s="68" t="str">
        <f t="shared" si="67"/>
        <v/>
      </c>
      <c r="T1449" s="68"/>
      <c r="U1449" s="95"/>
      <c r="V1449" s="68"/>
      <c r="W1449" s="9"/>
      <c r="X1449" s="10"/>
      <c r="Y1449" s="71">
        <f t="shared" si="68"/>
        <v>19</v>
      </c>
      <c r="Z1449" s="73">
        <f t="shared" si="69"/>
        <v>23</v>
      </c>
      <c r="AA1449" s="11" t="str">
        <f t="shared" si="70"/>
        <v/>
      </c>
      <c r="AB1449" s="73">
        <f t="shared" si="71"/>
        <v>20</v>
      </c>
      <c r="AC1449" s="11" t="str">
        <f t="shared" si="72"/>
        <v/>
      </c>
      <c r="AD1449" s="73">
        <f t="shared" si="73"/>
        <v>4</v>
      </c>
      <c r="AE1449" s="11" t="str">
        <f t="shared" si="74"/>
        <v/>
      </c>
      <c r="AF1449" s="73">
        <f t="shared" si="75"/>
        <v>20.001449000000001</v>
      </c>
      <c r="AG1449" s="11" t="str">
        <f t="shared" si="76"/>
        <v/>
      </c>
      <c r="AH1449" s="73">
        <f t="shared" si="77"/>
        <v>4.001449</v>
      </c>
    </row>
    <row r="1450" spans="1:34" ht="14.25" customHeight="1">
      <c r="A1450" s="11">
        <v>1435</v>
      </c>
      <c r="B1450" s="66" t="s">
        <v>35</v>
      </c>
      <c r="C1450" s="67">
        <v>44621</v>
      </c>
      <c r="D1450" s="67"/>
      <c r="E1450" s="67"/>
      <c r="F1450" s="67"/>
      <c r="G1450" s="67" t="s">
        <v>35</v>
      </c>
      <c r="H1450" s="67">
        <v>44705</v>
      </c>
      <c r="I1450" s="6" t="s">
        <v>2074</v>
      </c>
      <c r="J1450" s="9">
        <v>8188802407</v>
      </c>
      <c r="K1450" s="68">
        <v>44620</v>
      </c>
      <c r="L1450" s="68">
        <v>46022</v>
      </c>
      <c r="M1450" s="68">
        <v>46203</v>
      </c>
      <c r="N1450" s="69">
        <f t="shared" si="65"/>
        <v>18</v>
      </c>
      <c r="O1450" s="69">
        <f t="shared" si="66"/>
        <v>3</v>
      </c>
      <c r="P1450" s="70">
        <v>3</v>
      </c>
      <c r="Q1450" s="70">
        <v>18</v>
      </c>
      <c r="R1450" s="70">
        <v>21</v>
      </c>
      <c r="S1450" s="68" t="str">
        <f t="shared" si="67"/>
        <v/>
      </c>
      <c r="T1450" s="68"/>
      <c r="U1450" s="95"/>
      <c r="V1450" s="68"/>
      <c r="W1450" s="9"/>
      <c r="X1450" s="10"/>
      <c r="Y1450" s="71">
        <f t="shared" si="68"/>
        <v>18</v>
      </c>
      <c r="Z1450" s="73">
        <f t="shared" si="69"/>
        <v>21</v>
      </c>
      <c r="AA1450" s="73">
        <f t="shared" si="70"/>
        <v>18</v>
      </c>
      <c r="AB1450" s="73">
        <f t="shared" si="71"/>
        <v>18</v>
      </c>
      <c r="AC1450" s="73">
        <f t="shared" si="72"/>
        <v>3</v>
      </c>
      <c r="AD1450" s="73">
        <f t="shared" si="73"/>
        <v>3</v>
      </c>
      <c r="AE1450" s="73">
        <f t="shared" si="74"/>
        <v>18.001449999999998</v>
      </c>
      <c r="AF1450" s="73">
        <f t="shared" si="75"/>
        <v>18.001449999999998</v>
      </c>
      <c r="AG1450" s="73">
        <f t="shared" si="76"/>
        <v>3.0014500000000002</v>
      </c>
      <c r="AH1450" s="73">
        <f t="shared" si="77"/>
        <v>3.0014500000000002</v>
      </c>
    </row>
    <row r="1451" spans="1:34" ht="14.25" customHeight="1">
      <c r="A1451" s="11">
        <v>1436</v>
      </c>
      <c r="B1451" s="66" t="s">
        <v>35</v>
      </c>
      <c r="C1451" s="67">
        <v>43937</v>
      </c>
      <c r="D1451" s="67"/>
      <c r="E1451" s="67"/>
      <c r="F1451" s="67"/>
      <c r="G1451" s="67"/>
      <c r="H1451" s="67"/>
      <c r="I1451" s="6" t="s">
        <v>2075</v>
      </c>
      <c r="J1451" s="9">
        <v>8198801959</v>
      </c>
      <c r="K1451" s="68">
        <v>43921</v>
      </c>
      <c r="L1451" s="68">
        <v>46022</v>
      </c>
      <c r="M1451" s="68">
        <v>46203</v>
      </c>
      <c r="N1451" s="69">
        <f t="shared" si="65"/>
        <v>3</v>
      </c>
      <c r="O1451" s="69">
        <f t="shared" si="66"/>
        <v>-7</v>
      </c>
      <c r="P1451" s="70">
        <v>0</v>
      </c>
      <c r="Q1451" s="70">
        <v>10</v>
      </c>
      <c r="R1451" s="70">
        <v>3</v>
      </c>
      <c r="S1451" s="68" t="str">
        <f t="shared" si="67"/>
        <v/>
      </c>
      <c r="T1451" s="68"/>
      <c r="U1451" s="95"/>
      <c r="V1451" s="68"/>
      <c r="W1451" s="9"/>
      <c r="X1451" s="10"/>
      <c r="Y1451" s="71">
        <f t="shared" si="68"/>
        <v>10</v>
      </c>
      <c r="Z1451" s="73">
        <f t="shared" si="69"/>
        <v>3</v>
      </c>
      <c r="AA1451" s="73">
        <f t="shared" si="70"/>
        <v>3</v>
      </c>
      <c r="AB1451" s="11" t="str">
        <f t="shared" si="71"/>
        <v/>
      </c>
      <c r="AC1451" s="73">
        <f t="shared" si="72"/>
        <v>-7</v>
      </c>
      <c r="AD1451" s="11" t="str">
        <f t="shared" si="73"/>
        <v/>
      </c>
      <c r="AE1451" s="73">
        <f t="shared" si="74"/>
        <v>3.0014509999999999</v>
      </c>
      <c r="AF1451" s="11" t="str">
        <f t="shared" si="75"/>
        <v/>
      </c>
      <c r="AG1451" s="73">
        <f t="shared" si="76"/>
        <v>-6.9985489999999997</v>
      </c>
      <c r="AH1451" s="11" t="str">
        <f t="shared" si="77"/>
        <v/>
      </c>
    </row>
    <row r="1452" spans="1:34" ht="14.25" customHeight="1">
      <c r="A1452" s="11">
        <v>1437</v>
      </c>
      <c r="B1452" s="66" t="s">
        <v>35</v>
      </c>
      <c r="C1452" s="67"/>
      <c r="D1452" s="67">
        <v>45026</v>
      </c>
      <c r="E1452" s="67"/>
      <c r="F1452" s="67"/>
      <c r="G1452" s="67" t="s">
        <v>35</v>
      </c>
      <c r="H1452" s="67">
        <v>44526</v>
      </c>
      <c r="I1452" s="6" t="s">
        <v>2076</v>
      </c>
      <c r="J1452" s="9">
        <v>8218602087</v>
      </c>
      <c r="K1452" s="68">
        <v>44500</v>
      </c>
      <c r="L1452" s="68">
        <v>46022</v>
      </c>
      <c r="M1452" s="68">
        <v>46203</v>
      </c>
      <c r="N1452" s="69">
        <f t="shared" si="65"/>
        <v>30</v>
      </c>
      <c r="O1452" s="69">
        <f t="shared" si="66"/>
        <v>30</v>
      </c>
      <c r="P1452" s="70">
        <v>0</v>
      </c>
      <c r="Q1452" s="70">
        <v>0</v>
      </c>
      <c r="R1452" s="70">
        <v>30</v>
      </c>
      <c r="S1452" s="68" t="str">
        <f t="shared" si="67"/>
        <v/>
      </c>
      <c r="T1452" s="68"/>
      <c r="U1452" s="95"/>
      <c r="V1452" s="68"/>
      <c r="W1452" s="9"/>
      <c r="X1452" s="10"/>
      <c r="Y1452" s="71">
        <f t="shared" si="68"/>
        <v>0</v>
      </c>
      <c r="Z1452" s="73">
        <f t="shared" si="69"/>
        <v>30</v>
      </c>
      <c r="AA1452" s="73">
        <f t="shared" si="70"/>
        <v>30</v>
      </c>
      <c r="AB1452" s="73">
        <f t="shared" si="71"/>
        <v>30</v>
      </c>
      <c r="AC1452" s="73">
        <f t="shared" si="72"/>
        <v>30</v>
      </c>
      <c r="AD1452" s="73">
        <f t="shared" si="73"/>
        <v>30</v>
      </c>
      <c r="AE1452" s="73">
        <f t="shared" si="74"/>
        <v>30.001452</v>
      </c>
      <c r="AF1452" s="73">
        <f t="shared" si="75"/>
        <v>30.001452</v>
      </c>
      <c r="AG1452" s="73">
        <f t="shared" si="76"/>
        <v>30.001452</v>
      </c>
      <c r="AH1452" s="73">
        <f t="shared" si="77"/>
        <v>30.001452</v>
      </c>
    </row>
    <row r="1453" spans="1:34" ht="14.25" customHeight="1">
      <c r="A1453" s="11">
        <v>1438</v>
      </c>
      <c r="B1453" s="66"/>
      <c r="C1453" s="67"/>
      <c r="D1453" s="67"/>
      <c r="E1453" s="67"/>
      <c r="F1453" s="67"/>
      <c r="G1453" s="67" t="s">
        <v>35</v>
      </c>
      <c r="H1453" s="67">
        <v>45044</v>
      </c>
      <c r="I1453" s="6" t="s">
        <v>2077</v>
      </c>
      <c r="J1453" s="9">
        <v>8228802823</v>
      </c>
      <c r="K1453" s="68">
        <v>45016</v>
      </c>
      <c r="L1453" s="68">
        <v>46022</v>
      </c>
      <c r="M1453" s="68">
        <v>46203</v>
      </c>
      <c r="N1453" s="69">
        <f t="shared" si="65"/>
        <v>24</v>
      </c>
      <c r="O1453" s="69">
        <f t="shared" si="66"/>
        <v>-18</v>
      </c>
      <c r="P1453" s="70">
        <v>0</v>
      </c>
      <c r="Q1453" s="70">
        <v>42</v>
      </c>
      <c r="R1453" s="70">
        <v>24</v>
      </c>
      <c r="S1453" s="68" t="str">
        <f t="shared" si="67"/>
        <v/>
      </c>
      <c r="T1453" s="68"/>
      <c r="U1453" s="95"/>
      <c r="V1453" s="68"/>
      <c r="W1453" s="9"/>
      <c r="X1453" s="10"/>
      <c r="Y1453" s="71">
        <f t="shared" si="68"/>
        <v>42</v>
      </c>
      <c r="Z1453" s="73">
        <f t="shared" si="69"/>
        <v>24</v>
      </c>
      <c r="AA1453" s="11" t="str">
        <f t="shared" si="70"/>
        <v/>
      </c>
      <c r="AB1453" s="73">
        <f t="shared" si="71"/>
        <v>24</v>
      </c>
      <c r="AC1453" s="11" t="str">
        <f t="shared" si="72"/>
        <v/>
      </c>
      <c r="AD1453" s="73">
        <f t="shared" si="73"/>
        <v>-18</v>
      </c>
      <c r="AE1453" s="11" t="str">
        <f t="shared" si="74"/>
        <v/>
      </c>
      <c r="AF1453" s="73">
        <f t="shared" si="75"/>
        <v>24.001453000000001</v>
      </c>
      <c r="AG1453" s="11" t="str">
        <f t="shared" si="76"/>
        <v/>
      </c>
      <c r="AH1453" s="73">
        <f t="shared" si="77"/>
        <v>-17.998546999999999</v>
      </c>
    </row>
    <row r="1454" spans="1:34" ht="14.25" customHeight="1">
      <c r="A1454" s="11">
        <v>1439</v>
      </c>
      <c r="B1454" s="66"/>
      <c r="C1454" s="67"/>
      <c r="D1454" s="67"/>
      <c r="E1454" s="67"/>
      <c r="F1454" s="67"/>
      <c r="G1454" s="67" t="s">
        <v>35</v>
      </c>
      <c r="H1454" s="67">
        <v>44967</v>
      </c>
      <c r="I1454" s="6" t="s">
        <v>2078</v>
      </c>
      <c r="J1454" s="9">
        <v>8238602119</v>
      </c>
      <c r="K1454" s="68">
        <v>44957</v>
      </c>
      <c r="L1454" s="68">
        <v>46022</v>
      </c>
      <c r="M1454" s="68">
        <v>46203</v>
      </c>
      <c r="N1454" s="69">
        <f t="shared" si="65"/>
        <v>4</v>
      </c>
      <c r="O1454" s="69">
        <f t="shared" si="66"/>
        <v>0</v>
      </c>
      <c r="P1454" s="70">
        <v>4</v>
      </c>
      <c r="Q1454" s="70">
        <v>8</v>
      </c>
      <c r="R1454" s="70">
        <v>8</v>
      </c>
      <c r="S1454" s="68" t="str">
        <f t="shared" si="67"/>
        <v/>
      </c>
      <c r="T1454" s="68"/>
      <c r="U1454" s="95"/>
      <c r="V1454" s="68"/>
      <c r="W1454" s="9"/>
      <c r="X1454" s="10"/>
      <c r="Y1454" s="71">
        <f t="shared" si="68"/>
        <v>8</v>
      </c>
      <c r="Z1454" s="73">
        <f t="shared" si="69"/>
        <v>8</v>
      </c>
      <c r="AA1454" s="11" t="str">
        <f t="shared" si="70"/>
        <v/>
      </c>
      <c r="AB1454" s="73">
        <f t="shared" si="71"/>
        <v>4</v>
      </c>
      <c r="AC1454" s="11" t="str">
        <f t="shared" si="72"/>
        <v/>
      </c>
      <c r="AD1454" s="73">
        <f t="shared" si="73"/>
        <v>0</v>
      </c>
      <c r="AE1454" s="11" t="str">
        <f t="shared" si="74"/>
        <v/>
      </c>
      <c r="AF1454" s="73">
        <f t="shared" si="75"/>
        <v>4.0014539999999998</v>
      </c>
      <c r="AG1454" s="11" t="str">
        <f t="shared" si="76"/>
        <v/>
      </c>
      <c r="AH1454" s="73">
        <f t="shared" si="77"/>
        <v>1.454E-3</v>
      </c>
    </row>
    <row r="1455" spans="1:34" ht="14.25" customHeight="1">
      <c r="A1455" s="11">
        <v>1440</v>
      </c>
      <c r="B1455" s="66"/>
      <c r="C1455" s="67"/>
      <c r="D1455" s="67"/>
      <c r="E1455" s="67"/>
      <c r="F1455" s="67"/>
      <c r="G1455" s="67" t="s">
        <v>24</v>
      </c>
      <c r="H1455" s="67">
        <v>44446</v>
      </c>
      <c r="I1455" s="6" t="s">
        <v>2079</v>
      </c>
      <c r="J1455" s="9">
        <v>8238800361</v>
      </c>
      <c r="K1455" s="68">
        <v>44439</v>
      </c>
      <c r="L1455" s="68" t="s">
        <v>230</v>
      </c>
      <c r="M1455" s="68">
        <v>45535</v>
      </c>
      <c r="N1455" s="69">
        <f t="shared" si="65"/>
        <v>-4</v>
      </c>
      <c r="O1455" s="69" t="str">
        <f t="shared" si="66"/>
        <v>N/A</v>
      </c>
      <c r="P1455" s="70">
        <v>4</v>
      </c>
      <c r="Q1455" s="70"/>
      <c r="R1455" s="70">
        <v>0</v>
      </c>
      <c r="S1455" s="68">
        <f t="shared" si="67"/>
        <v>45535</v>
      </c>
      <c r="T1455" s="68">
        <v>45535</v>
      </c>
      <c r="U1455" s="95"/>
      <c r="V1455" s="68"/>
      <c r="W1455" s="9"/>
      <c r="X1455" s="10" t="s">
        <v>2080</v>
      </c>
      <c r="Y1455" s="65" t="str">
        <f t="shared" si="68"/>
        <v/>
      </c>
      <c r="Z1455" s="11" t="str">
        <f t="shared" si="69"/>
        <v/>
      </c>
      <c r="AA1455" s="11" t="str">
        <f t="shared" si="70"/>
        <v/>
      </c>
      <c r="AB1455" s="73">
        <f t="shared" si="71"/>
        <v>-4</v>
      </c>
      <c r="AC1455" s="11" t="str">
        <f t="shared" si="72"/>
        <v/>
      </c>
      <c r="AD1455" s="11" t="str">
        <f t="shared" si="73"/>
        <v/>
      </c>
      <c r="AE1455" s="11" t="str">
        <f t="shared" si="74"/>
        <v/>
      </c>
      <c r="AF1455" s="73">
        <f t="shared" si="75"/>
        <v>-3.998545</v>
      </c>
      <c r="AG1455" s="11" t="str">
        <f t="shared" si="76"/>
        <v/>
      </c>
      <c r="AH1455" s="11" t="str">
        <f t="shared" si="77"/>
        <v/>
      </c>
    </row>
    <row r="1456" spans="1:34" ht="14.25" customHeight="1">
      <c r="A1456" s="11">
        <v>1441</v>
      </c>
      <c r="B1456" s="66" t="s">
        <v>35</v>
      </c>
      <c r="C1456" s="67"/>
      <c r="D1456" s="67"/>
      <c r="E1456" s="67"/>
      <c r="F1456" s="67">
        <v>45911</v>
      </c>
      <c r="G1456" s="67"/>
      <c r="H1456" s="67"/>
      <c r="I1456" s="6" t="s">
        <v>2081</v>
      </c>
      <c r="J1456" s="37">
        <v>8248101928</v>
      </c>
      <c r="K1456" s="68">
        <v>45900</v>
      </c>
      <c r="L1456" s="68">
        <v>46022</v>
      </c>
      <c r="M1456" s="68">
        <v>46203</v>
      </c>
      <c r="N1456" s="69">
        <f t="shared" si="65"/>
        <v>11</v>
      </c>
      <c r="O1456" s="69">
        <f t="shared" si="66"/>
        <v>4</v>
      </c>
      <c r="P1456" s="70">
        <v>108</v>
      </c>
      <c r="Q1456" s="70">
        <v>115</v>
      </c>
      <c r="R1456" s="70">
        <v>119</v>
      </c>
      <c r="S1456" s="68" t="str">
        <f t="shared" si="67"/>
        <v/>
      </c>
      <c r="T1456" s="68"/>
      <c r="U1456" s="95"/>
      <c r="V1456" s="68"/>
      <c r="W1456" s="6"/>
      <c r="X1456" s="93"/>
      <c r="Y1456" s="71">
        <f t="shared" si="68"/>
        <v>115</v>
      </c>
      <c r="Z1456" s="73">
        <f t="shared" si="69"/>
        <v>119</v>
      </c>
      <c r="AA1456" s="73">
        <f t="shared" si="70"/>
        <v>11</v>
      </c>
      <c r="AB1456" s="11" t="str">
        <f t="shared" si="71"/>
        <v/>
      </c>
      <c r="AC1456" s="73">
        <f t="shared" si="72"/>
        <v>4</v>
      </c>
      <c r="AD1456" s="11" t="str">
        <f t="shared" si="73"/>
        <v/>
      </c>
      <c r="AE1456" s="73">
        <f t="shared" si="74"/>
        <v>11.001455999999999</v>
      </c>
      <c r="AF1456" s="11" t="str">
        <f t="shared" si="75"/>
        <v/>
      </c>
      <c r="AG1456" s="73">
        <f t="shared" si="76"/>
        <v>4.0014560000000001</v>
      </c>
      <c r="AH1456" s="11" t="str">
        <f t="shared" si="77"/>
        <v/>
      </c>
    </row>
    <row r="1457" spans="1:34" ht="14.25" customHeight="1">
      <c r="A1457" s="11">
        <v>1442</v>
      </c>
      <c r="B1457" s="66"/>
      <c r="C1457" s="67"/>
      <c r="D1457" s="67"/>
      <c r="E1457" s="67"/>
      <c r="F1457" s="67"/>
      <c r="G1457" s="67" t="s">
        <v>35</v>
      </c>
      <c r="H1457" s="67">
        <v>44699</v>
      </c>
      <c r="I1457" s="6" t="s">
        <v>2082</v>
      </c>
      <c r="J1457" s="9">
        <v>8258701729</v>
      </c>
      <c r="K1457" s="68">
        <v>44681</v>
      </c>
      <c r="L1457" s="68">
        <v>46022</v>
      </c>
      <c r="M1457" s="68">
        <v>46203</v>
      </c>
      <c r="N1457" s="69">
        <f t="shared" si="65"/>
        <v>0</v>
      </c>
      <c r="O1457" s="69">
        <f t="shared" si="66"/>
        <v>0</v>
      </c>
      <c r="P1457" s="70">
        <v>5</v>
      </c>
      <c r="Q1457" s="70">
        <v>5</v>
      </c>
      <c r="R1457" s="70">
        <v>5</v>
      </c>
      <c r="S1457" s="68" t="str">
        <f t="shared" si="67"/>
        <v/>
      </c>
      <c r="T1457" s="68"/>
      <c r="U1457" s="95"/>
      <c r="V1457" s="68"/>
      <c r="W1457" s="9"/>
      <c r="X1457" s="10"/>
      <c r="Y1457" s="71">
        <f t="shared" si="68"/>
        <v>5</v>
      </c>
      <c r="Z1457" s="73">
        <f t="shared" si="69"/>
        <v>5</v>
      </c>
      <c r="AA1457" s="11" t="str">
        <f t="shared" si="70"/>
        <v/>
      </c>
      <c r="AB1457" s="73">
        <f t="shared" si="71"/>
        <v>0</v>
      </c>
      <c r="AC1457" s="11" t="str">
        <f t="shared" si="72"/>
        <v/>
      </c>
      <c r="AD1457" s="73">
        <f t="shared" si="73"/>
        <v>0</v>
      </c>
      <c r="AE1457" s="11" t="str">
        <f t="shared" si="74"/>
        <v/>
      </c>
      <c r="AF1457" s="73">
        <f t="shared" si="75"/>
        <v>1.457E-3</v>
      </c>
      <c r="AG1457" s="11" t="str">
        <f t="shared" si="76"/>
        <v/>
      </c>
      <c r="AH1457" s="73">
        <f t="shared" si="77"/>
        <v>1.457E-3</v>
      </c>
    </row>
    <row r="1458" spans="1:34" ht="14.25" customHeight="1">
      <c r="A1458" s="11">
        <v>1443</v>
      </c>
      <c r="B1458" s="66"/>
      <c r="C1458" s="67"/>
      <c r="D1458" s="67"/>
      <c r="E1458" s="67"/>
      <c r="F1458" s="67"/>
      <c r="G1458" s="67" t="s">
        <v>35</v>
      </c>
      <c r="H1458" s="67">
        <v>45033</v>
      </c>
      <c r="I1458" s="6" t="s">
        <v>2083</v>
      </c>
      <c r="J1458" s="9">
        <v>8268101749</v>
      </c>
      <c r="K1458" s="68">
        <v>45016</v>
      </c>
      <c r="L1458" s="68">
        <v>46022</v>
      </c>
      <c r="M1458" s="68">
        <v>46203</v>
      </c>
      <c r="N1458" s="69">
        <f t="shared" si="65"/>
        <v>20</v>
      </c>
      <c r="O1458" s="69">
        <f t="shared" si="66"/>
        <v>3</v>
      </c>
      <c r="P1458" s="70">
        <v>7</v>
      </c>
      <c r="Q1458" s="70">
        <v>24</v>
      </c>
      <c r="R1458" s="70">
        <v>27</v>
      </c>
      <c r="S1458" s="68" t="str">
        <f t="shared" si="67"/>
        <v/>
      </c>
      <c r="T1458" s="68"/>
      <c r="U1458" s="95"/>
      <c r="V1458" s="68"/>
      <c r="W1458" s="9"/>
      <c r="X1458" s="10"/>
      <c r="Y1458" s="71">
        <f t="shared" si="68"/>
        <v>24</v>
      </c>
      <c r="Z1458" s="73">
        <f t="shared" si="69"/>
        <v>27</v>
      </c>
      <c r="AA1458" s="11" t="str">
        <f t="shared" si="70"/>
        <v/>
      </c>
      <c r="AB1458" s="73">
        <f t="shared" si="71"/>
        <v>20</v>
      </c>
      <c r="AC1458" s="11" t="str">
        <f t="shared" si="72"/>
        <v/>
      </c>
      <c r="AD1458" s="73">
        <f t="shared" si="73"/>
        <v>3</v>
      </c>
      <c r="AE1458" s="11" t="str">
        <f t="shared" si="74"/>
        <v/>
      </c>
      <c r="AF1458" s="73">
        <f t="shared" si="75"/>
        <v>20.001458</v>
      </c>
      <c r="AG1458" s="11" t="str">
        <f t="shared" si="76"/>
        <v/>
      </c>
      <c r="AH1458" s="73">
        <f t="shared" si="77"/>
        <v>3.001458</v>
      </c>
    </row>
    <row r="1459" spans="1:34" ht="14.25" customHeight="1">
      <c r="A1459" s="11">
        <v>1444</v>
      </c>
      <c r="B1459" s="66" t="s">
        <v>35</v>
      </c>
      <c r="C1459" s="67">
        <v>45658</v>
      </c>
      <c r="D1459" s="67">
        <v>45086</v>
      </c>
      <c r="E1459" s="67">
        <v>45658</v>
      </c>
      <c r="F1459" s="67"/>
      <c r="G1459" s="67"/>
      <c r="H1459" s="67"/>
      <c r="I1459" s="6" t="s">
        <v>2084</v>
      </c>
      <c r="J1459" s="9">
        <v>8268102563</v>
      </c>
      <c r="K1459" s="68">
        <v>45077</v>
      </c>
      <c r="L1459" s="68">
        <v>46022</v>
      </c>
      <c r="M1459" s="68">
        <v>46203</v>
      </c>
      <c r="N1459" s="69">
        <f t="shared" si="65"/>
        <v>30</v>
      </c>
      <c r="O1459" s="69">
        <f t="shared" si="66"/>
        <v>-2</v>
      </c>
      <c r="P1459" s="70">
        <v>5</v>
      </c>
      <c r="Q1459" s="70">
        <v>37</v>
      </c>
      <c r="R1459" s="70">
        <v>35</v>
      </c>
      <c r="S1459" s="68" t="str">
        <f t="shared" si="67"/>
        <v/>
      </c>
      <c r="T1459" s="68"/>
      <c r="U1459" s="95"/>
      <c r="V1459" s="68"/>
      <c r="W1459" s="9"/>
      <c r="X1459" s="10"/>
      <c r="Y1459" s="71">
        <f t="shared" si="68"/>
        <v>37</v>
      </c>
      <c r="Z1459" s="73">
        <f t="shared" si="69"/>
        <v>35</v>
      </c>
      <c r="AA1459" s="73">
        <f t="shared" si="70"/>
        <v>30</v>
      </c>
      <c r="AB1459" s="11" t="str">
        <f t="shared" si="71"/>
        <v/>
      </c>
      <c r="AC1459" s="73">
        <f t="shared" si="72"/>
        <v>-2</v>
      </c>
      <c r="AD1459" s="11" t="str">
        <f t="shared" si="73"/>
        <v/>
      </c>
      <c r="AE1459" s="73">
        <f t="shared" si="74"/>
        <v>30.001459000000001</v>
      </c>
      <c r="AF1459" s="11" t="str">
        <f t="shared" si="75"/>
        <v/>
      </c>
      <c r="AG1459" s="73">
        <f t="shared" si="76"/>
        <v>-1.9985409999999999</v>
      </c>
      <c r="AH1459" s="11" t="str">
        <f t="shared" si="77"/>
        <v/>
      </c>
    </row>
    <row r="1460" spans="1:34" ht="14.25" customHeight="1">
      <c r="A1460" s="11">
        <v>1445</v>
      </c>
      <c r="B1460" s="66"/>
      <c r="C1460" s="67"/>
      <c r="D1460" s="67"/>
      <c r="E1460" s="67"/>
      <c r="F1460" s="67"/>
      <c r="G1460" s="67" t="s">
        <v>35</v>
      </c>
      <c r="H1460" s="67">
        <v>45538</v>
      </c>
      <c r="I1460" s="6" t="s">
        <v>2085</v>
      </c>
      <c r="J1460" s="9">
        <v>8268702852</v>
      </c>
      <c r="K1460" s="68">
        <v>45535</v>
      </c>
      <c r="L1460" s="68">
        <v>46022</v>
      </c>
      <c r="M1460" s="68">
        <v>46203</v>
      </c>
      <c r="N1460" s="69">
        <f t="shared" si="65"/>
        <v>5</v>
      </c>
      <c r="O1460" s="69">
        <f t="shared" si="66"/>
        <v>0</v>
      </c>
      <c r="P1460" s="70">
        <v>4</v>
      </c>
      <c r="Q1460" s="70">
        <v>9</v>
      </c>
      <c r="R1460" s="70">
        <v>9</v>
      </c>
      <c r="S1460" s="68" t="str">
        <f t="shared" si="67"/>
        <v/>
      </c>
      <c r="T1460" s="68"/>
      <c r="U1460" s="95"/>
      <c r="V1460" s="68"/>
      <c r="W1460" s="9"/>
      <c r="X1460" s="10"/>
      <c r="Y1460" s="71">
        <f t="shared" si="68"/>
        <v>9</v>
      </c>
      <c r="Z1460" s="73">
        <f t="shared" si="69"/>
        <v>9</v>
      </c>
      <c r="AA1460" s="11" t="str">
        <f t="shared" si="70"/>
        <v/>
      </c>
      <c r="AB1460" s="73">
        <f t="shared" si="71"/>
        <v>5</v>
      </c>
      <c r="AC1460" s="11" t="str">
        <f t="shared" si="72"/>
        <v/>
      </c>
      <c r="AD1460" s="73">
        <f t="shared" si="73"/>
        <v>0</v>
      </c>
      <c r="AE1460" s="11" t="str">
        <f t="shared" si="74"/>
        <v/>
      </c>
      <c r="AF1460" s="73">
        <f t="shared" si="75"/>
        <v>5.0014599999999998</v>
      </c>
      <c r="AG1460" s="11" t="str">
        <f t="shared" si="76"/>
        <v/>
      </c>
      <c r="AH1460" s="73">
        <f t="shared" si="77"/>
        <v>1.4599999999999999E-3</v>
      </c>
    </row>
    <row r="1461" spans="1:34" ht="14.25" customHeight="1">
      <c r="A1461" s="11">
        <v>1446</v>
      </c>
      <c r="B1461" s="66"/>
      <c r="C1461" s="67"/>
      <c r="D1461" s="67"/>
      <c r="E1461" s="67"/>
      <c r="F1461" s="67"/>
      <c r="G1461" s="67" t="s">
        <v>35</v>
      </c>
      <c r="H1461" s="67">
        <v>45238</v>
      </c>
      <c r="I1461" s="6" t="s">
        <v>2086</v>
      </c>
      <c r="J1461" s="9">
        <v>8268801938</v>
      </c>
      <c r="K1461" s="68">
        <v>45230</v>
      </c>
      <c r="L1461" s="68">
        <v>46022</v>
      </c>
      <c r="M1461" s="68">
        <v>46203</v>
      </c>
      <c r="N1461" s="69">
        <f t="shared" si="65"/>
        <v>22</v>
      </c>
      <c r="O1461" s="69">
        <f t="shared" si="66"/>
        <v>4</v>
      </c>
      <c r="P1461" s="70">
        <v>25</v>
      </c>
      <c r="Q1461" s="70">
        <v>43</v>
      </c>
      <c r="R1461" s="70">
        <v>47</v>
      </c>
      <c r="S1461" s="68" t="str">
        <f t="shared" si="67"/>
        <v/>
      </c>
      <c r="T1461" s="68"/>
      <c r="U1461" s="95"/>
      <c r="V1461" s="68"/>
      <c r="W1461" s="9"/>
      <c r="X1461" s="10"/>
      <c r="Y1461" s="71">
        <f t="shared" si="68"/>
        <v>43</v>
      </c>
      <c r="Z1461" s="73">
        <f t="shared" si="69"/>
        <v>47</v>
      </c>
      <c r="AA1461" s="11" t="str">
        <f t="shared" si="70"/>
        <v/>
      </c>
      <c r="AB1461" s="73">
        <f t="shared" si="71"/>
        <v>22</v>
      </c>
      <c r="AC1461" s="11" t="str">
        <f t="shared" si="72"/>
        <v/>
      </c>
      <c r="AD1461" s="73">
        <f t="shared" si="73"/>
        <v>4</v>
      </c>
      <c r="AE1461" s="11" t="str">
        <f t="shared" si="74"/>
        <v/>
      </c>
      <c r="AF1461" s="73">
        <f t="shared" si="75"/>
        <v>22.001460999999999</v>
      </c>
      <c r="AG1461" s="11" t="str">
        <f t="shared" si="76"/>
        <v/>
      </c>
      <c r="AH1461" s="73">
        <f t="shared" si="77"/>
        <v>4.0014609999999999</v>
      </c>
    </row>
    <row r="1462" spans="1:34" ht="14.25" customHeight="1">
      <c r="A1462" s="11">
        <v>1447</v>
      </c>
      <c r="B1462" s="66"/>
      <c r="C1462" s="67"/>
      <c r="D1462" s="67"/>
      <c r="E1462" s="67"/>
      <c r="F1462" s="67"/>
      <c r="G1462" s="67" t="s">
        <v>35</v>
      </c>
      <c r="H1462" s="67">
        <v>44286</v>
      </c>
      <c r="I1462" s="6" t="s">
        <v>2087</v>
      </c>
      <c r="J1462" s="9">
        <v>8278700240</v>
      </c>
      <c r="K1462" s="68">
        <v>44255</v>
      </c>
      <c r="L1462" s="68">
        <v>46022</v>
      </c>
      <c r="M1462" s="68">
        <v>46203</v>
      </c>
      <c r="N1462" s="69">
        <f t="shared" si="65"/>
        <v>0</v>
      </c>
      <c r="O1462" s="69">
        <f t="shared" si="66"/>
        <v>-43</v>
      </c>
      <c r="P1462" s="70">
        <v>17</v>
      </c>
      <c r="Q1462" s="70">
        <v>60</v>
      </c>
      <c r="R1462" s="70">
        <v>17</v>
      </c>
      <c r="S1462" s="68" t="str">
        <f t="shared" si="67"/>
        <v/>
      </c>
      <c r="T1462" s="68"/>
      <c r="U1462" s="95"/>
      <c r="V1462" s="68"/>
      <c r="W1462" s="9"/>
      <c r="X1462" s="10"/>
      <c r="Y1462" s="71">
        <f t="shared" si="68"/>
        <v>60</v>
      </c>
      <c r="Z1462" s="73">
        <f t="shared" si="69"/>
        <v>17</v>
      </c>
      <c r="AA1462" s="11" t="str">
        <f t="shared" si="70"/>
        <v/>
      </c>
      <c r="AB1462" s="73">
        <f t="shared" si="71"/>
        <v>0</v>
      </c>
      <c r="AC1462" s="11" t="str">
        <f t="shared" si="72"/>
        <v/>
      </c>
      <c r="AD1462" s="73">
        <f t="shared" si="73"/>
        <v>-43</v>
      </c>
      <c r="AE1462" s="11" t="str">
        <f t="shared" si="74"/>
        <v/>
      </c>
      <c r="AF1462" s="73">
        <f t="shared" si="75"/>
        <v>1.462E-3</v>
      </c>
      <c r="AG1462" s="11" t="str">
        <f t="shared" si="76"/>
        <v/>
      </c>
      <c r="AH1462" s="73">
        <f t="shared" si="77"/>
        <v>-42.998538000000003</v>
      </c>
    </row>
    <row r="1463" spans="1:34" ht="14.25" customHeight="1">
      <c r="A1463" s="11">
        <v>1448</v>
      </c>
      <c r="B1463" s="66"/>
      <c r="C1463" s="67"/>
      <c r="D1463" s="67"/>
      <c r="E1463" s="67"/>
      <c r="F1463" s="67"/>
      <c r="G1463" s="67" t="s">
        <v>35</v>
      </c>
      <c r="H1463" s="67">
        <v>44979</v>
      </c>
      <c r="I1463" s="6" t="s">
        <v>2088</v>
      </c>
      <c r="J1463" s="9">
        <v>8278702651</v>
      </c>
      <c r="K1463" s="68">
        <v>44957</v>
      </c>
      <c r="L1463" s="68">
        <v>46022</v>
      </c>
      <c r="M1463" s="68">
        <v>46203</v>
      </c>
      <c r="N1463" s="69">
        <f t="shared" si="65"/>
        <v>9</v>
      </c>
      <c r="O1463" s="69">
        <f t="shared" si="66"/>
        <v>0</v>
      </c>
      <c r="P1463" s="70">
        <v>0</v>
      </c>
      <c r="Q1463" s="70">
        <v>9</v>
      </c>
      <c r="R1463" s="70">
        <v>9</v>
      </c>
      <c r="S1463" s="68" t="str">
        <f t="shared" si="67"/>
        <v/>
      </c>
      <c r="T1463" s="68"/>
      <c r="U1463" s="95"/>
      <c r="V1463" s="68"/>
      <c r="W1463" s="9"/>
      <c r="X1463" s="10"/>
      <c r="Y1463" s="71">
        <f t="shared" si="68"/>
        <v>9</v>
      </c>
      <c r="Z1463" s="73">
        <f t="shared" si="69"/>
        <v>9</v>
      </c>
      <c r="AA1463" s="11" t="str">
        <f t="shared" si="70"/>
        <v/>
      </c>
      <c r="AB1463" s="73">
        <f t="shared" si="71"/>
        <v>9</v>
      </c>
      <c r="AC1463" s="11" t="str">
        <f t="shared" si="72"/>
        <v/>
      </c>
      <c r="AD1463" s="73">
        <f t="shared" si="73"/>
        <v>0</v>
      </c>
      <c r="AE1463" s="11" t="str">
        <f t="shared" si="74"/>
        <v/>
      </c>
      <c r="AF1463" s="73">
        <f t="shared" si="75"/>
        <v>9.0014629999999993</v>
      </c>
      <c r="AG1463" s="11" t="str">
        <f t="shared" si="76"/>
        <v/>
      </c>
      <c r="AH1463" s="73">
        <f t="shared" si="77"/>
        <v>1.4630000000000001E-3</v>
      </c>
    </row>
    <row r="1464" spans="1:34" ht="14.25" customHeight="1">
      <c r="A1464" s="11">
        <v>1449</v>
      </c>
      <c r="B1464" s="66"/>
      <c r="C1464" s="67"/>
      <c r="D1464" s="67"/>
      <c r="E1464" s="67"/>
      <c r="F1464" s="67"/>
      <c r="G1464" s="67" t="s">
        <v>35</v>
      </c>
      <c r="H1464" s="67">
        <v>45322</v>
      </c>
      <c r="I1464" s="6" t="s">
        <v>2089</v>
      </c>
      <c r="J1464" s="9">
        <v>8288101653</v>
      </c>
      <c r="K1464" s="68">
        <v>45291</v>
      </c>
      <c r="L1464" s="68">
        <v>46022</v>
      </c>
      <c r="M1464" s="68">
        <v>46203</v>
      </c>
      <c r="N1464" s="69">
        <f t="shared" si="65"/>
        <v>-2</v>
      </c>
      <c r="O1464" s="69">
        <f t="shared" si="66"/>
        <v>0</v>
      </c>
      <c r="P1464" s="70">
        <v>8</v>
      </c>
      <c r="Q1464" s="70">
        <v>6</v>
      </c>
      <c r="R1464" s="70">
        <v>6</v>
      </c>
      <c r="S1464" s="68" t="str">
        <f t="shared" si="67"/>
        <v/>
      </c>
      <c r="T1464" s="68"/>
      <c r="U1464" s="95"/>
      <c r="V1464" s="68"/>
      <c r="W1464" s="9"/>
      <c r="X1464" s="10"/>
      <c r="Y1464" s="71">
        <f t="shared" si="68"/>
        <v>6</v>
      </c>
      <c r="Z1464" s="73">
        <f t="shared" si="69"/>
        <v>6</v>
      </c>
      <c r="AA1464" s="11" t="str">
        <f t="shared" si="70"/>
        <v/>
      </c>
      <c r="AB1464" s="73">
        <f t="shared" si="71"/>
        <v>-2</v>
      </c>
      <c r="AC1464" s="11" t="str">
        <f t="shared" si="72"/>
        <v/>
      </c>
      <c r="AD1464" s="73">
        <f t="shared" si="73"/>
        <v>0</v>
      </c>
      <c r="AE1464" s="11" t="str">
        <f t="shared" si="74"/>
        <v/>
      </c>
      <c r="AF1464" s="73">
        <f t="shared" si="75"/>
        <v>-1.9985360000000001</v>
      </c>
      <c r="AG1464" s="11" t="str">
        <f t="shared" si="76"/>
        <v/>
      </c>
      <c r="AH1464" s="73">
        <f t="shared" si="77"/>
        <v>1.464E-3</v>
      </c>
    </row>
    <row r="1465" spans="1:34" ht="14.25" customHeight="1">
      <c r="A1465" s="11">
        <v>1450</v>
      </c>
      <c r="B1465" s="66"/>
      <c r="C1465" s="67"/>
      <c r="D1465" s="67"/>
      <c r="E1465" s="67"/>
      <c r="F1465" s="67"/>
      <c r="G1465" s="67" t="s">
        <v>35</v>
      </c>
      <c r="H1465" s="67">
        <v>45114</v>
      </c>
      <c r="I1465" s="6" t="s">
        <v>2090</v>
      </c>
      <c r="J1465" s="9">
        <v>8298701885</v>
      </c>
      <c r="K1465" s="68">
        <v>45107</v>
      </c>
      <c r="L1465" s="68">
        <v>46022</v>
      </c>
      <c r="M1465" s="68">
        <v>46203</v>
      </c>
      <c r="N1465" s="69">
        <f t="shared" si="65"/>
        <v>8</v>
      </c>
      <c r="O1465" s="69">
        <f t="shared" si="66"/>
        <v>1</v>
      </c>
      <c r="P1465" s="70">
        <v>3</v>
      </c>
      <c r="Q1465" s="70">
        <v>10</v>
      </c>
      <c r="R1465" s="70">
        <v>11</v>
      </c>
      <c r="S1465" s="68" t="str">
        <f t="shared" si="67"/>
        <v/>
      </c>
      <c r="T1465" s="68"/>
      <c r="U1465" s="95"/>
      <c r="V1465" s="68"/>
      <c r="W1465" s="9"/>
      <c r="X1465" s="10"/>
      <c r="Y1465" s="71">
        <f t="shared" si="68"/>
        <v>10</v>
      </c>
      <c r="Z1465" s="73">
        <f t="shared" si="69"/>
        <v>11</v>
      </c>
      <c r="AA1465" s="11" t="str">
        <f t="shared" si="70"/>
        <v/>
      </c>
      <c r="AB1465" s="73">
        <f t="shared" si="71"/>
        <v>8</v>
      </c>
      <c r="AC1465" s="11" t="str">
        <f t="shared" si="72"/>
        <v/>
      </c>
      <c r="AD1465" s="73">
        <f t="shared" si="73"/>
        <v>1</v>
      </c>
      <c r="AE1465" s="11" t="str">
        <f t="shared" si="74"/>
        <v/>
      </c>
      <c r="AF1465" s="73">
        <f t="shared" si="75"/>
        <v>8.0014649999999996</v>
      </c>
      <c r="AG1465" s="11" t="str">
        <f t="shared" si="76"/>
        <v/>
      </c>
      <c r="AH1465" s="73">
        <f t="shared" si="77"/>
        <v>1.001465</v>
      </c>
    </row>
    <row r="1466" spans="1:34" ht="14.25" customHeight="1">
      <c r="A1466" s="11">
        <v>1451</v>
      </c>
      <c r="B1466" s="66"/>
      <c r="C1466" s="67"/>
      <c r="D1466" s="67"/>
      <c r="E1466" s="67"/>
      <c r="F1466" s="67"/>
      <c r="G1466" s="67" t="s">
        <v>35</v>
      </c>
      <c r="H1466" s="67">
        <v>45812</v>
      </c>
      <c r="I1466" s="6" t="s">
        <v>2091</v>
      </c>
      <c r="J1466" s="9">
        <v>8298702166</v>
      </c>
      <c r="K1466" s="68">
        <v>45808</v>
      </c>
      <c r="L1466" s="68">
        <v>46022</v>
      </c>
      <c r="M1466" s="68">
        <v>46203</v>
      </c>
      <c r="N1466" s="69">
        <f t="shared" si="65"/>
        <v>-2</v>
      </c>
      <c r="O1466" s="69">
        <f t="shared" si="66"/>
        <v>0</v>
      </c>
      <c r="P1466" s="70">
        <v>9</v>
      </c>
      <c r="Q1466" s="70">
        <v>7</v>
      </c>
      <c r="R1466" s="70">
        <v>7</v>
      </c>
      <c r="S1466" s="68" t="str">
        <f t="shared" si="67"/>
        <v/>
      </c>
      <c r="T1466" s="68"/>
      <c r="U1466" s="95"/>
      <c r="V1466" s="68"/>
      <c r="W1466" s="9"/>
      <c r="X1466" s="10"/>
      <c r="Y1466" s="71">
        <f t="shared" si="68"/>
        <v>7</v>
      </c>
      <c r="Z1466" s="73">
        <f t="shared" si="69"/>
        <v>7</v>
      </c>
      <c r="AA1466" s="11" t="str">
        <f t="shared" si="70"/>
        <v/>
      </c>
      <c r="AB1466" s="73">
        <f t="shared" si="71"/>
        <v>-2</v>
      </c>
      <c r="AC1466" s="11" t="str">
        <f t="shared" si="72"/>
        <v/>
      </c>
      <c r="AD1466" s="73">
        <f t="shared" si="73"/>
        <v>0</v>
      </c>
      <c r="AE1466" s="11" t="str">
        <f t="shared" si="74"/>
        <v/>
      </c>
      <c r="AF1466" s="73">
        <f t="shared" si="75"/>
        <v>-1.998534</v>
      </c>
      <c r="AG1466" s="11" t="str">
        <f t="shared" si="76"/>
        <v/>
      </c>
      <c r="AH1466" s="73">
        <f t="shared" si="77"/>
        <v>1.4660000000000001E-3</v>
      </c>
    </row>
    <row r="1467" spans="1:34" ht="14.25" customHeight="1">
      <c r="A1467" s="11">
        <v>1452</v>
      </c>
      <c r="B1467" s="66" t="s">
        <v>35</v>
      </c>
      <c r="C1467" s="67">
        <v>45352</v>
      </c>
      <c r="D1467" s="67"/>
      <c r="E1467" s="67"/>
      <c r="F1467" s="67"/>
      <c r="G1467" s="67" t="s">
        <v>35</v>
      </c>
      <c r="H1467" s="67">
        <v>45329</v>
      </c>
      <c r="I1467" s="6" t="s">
        <v>2092</v>
      </c>
      <c r="J1467" s="9">
        <v>8308102882</v>
      </c>
      <c r="K1467" s="68">
        <v>45322</v>
      </c>
      <c r="L1467" s="68">
        <v>46022</v>
      </c>
      <c r="M1467" s="68">
        <v>46203</v>
      </c>
      <c r="N1467" s="69">
        <f t="shared" si="65"/>
        <v>5</v>
      </c>
      <c r="O1467" s="69">
        <f t="shared" si="66"/>
        <v>-1</v>
      </c>
      <c r="P1467" s="70">
        <v>5</v>
      </c>
      <c r="Q1467" s="70">
        <v>11</v>
      </c>
      <c r="R1467" s="70">
        <v>10</v>
      </c>
      <c r="S1467" s="68" t="str">
        <f t="shared" si="67"/>
        <v/>
      </c>
      <c r="T1467" s="68"/>
      <c r="U1467" s="95"/>
      <c r="V1467" s="68"/>
      <c r="W1467" s="9"/>
      <c r="X1467" s="10"/>
      <c r="Y1467" s="71">
        <f t="shared" si="68"/>
        <v>11</v>
      </c>
      <c r="Z1467" s="73">
        <f t="shared" si="69"/>
        <v>10</v>
      </c>
      <c r="AA1467" s="73">
        <f t="shared" si="70"/>
        <v>5</v>
      </c>
      <c r="AB1467" s="73">
        <f t="shared" si="71"/>
        <v>5</v>
      </c>
      <c r="AC1467" s="73">
        <f t="shared" si="72"/>
        <v>-1</v>
      </c>
      <c r="AD1467" s="73">
        <f t="shared" si="73"/>
        <v>-1</v>
      </c>
      <c r="AE1467" s="73">
        <f t="shared" si="74"/>
        <v>5.0014669999999999</v>
      </c>
      <c r="AF1467" s="73">
        <f t="shared" si="75"/>
        <v>5.0014669999999999</v>
      </c>
      <c r="AG1467" s="73">
        <f t="shared" si="76"/>
        <v>-0.998533</v>
      </c>
      <c r="AH1467" s="73">
        <f t="shared" si="77"/>
        <v>-0.998533</v>
      </c>
    </row>
    <row r="1468" spans="1:34" ht="14.25" customHeight="1">
      <c r="A1468" s="11">
        <v>1453</v>
      </c>
      <c r="B1468" s="66"/>
      <c r="C1468" s="67"/>
      <c r="D1468" s="67"/>
      <c r="E1468" s="67"/>
      <c r="F1468" s="67"/>
      <c r="G1468" s="67" t="s">
        <v>283</v>
      </c>
      <c r="H1468" s="67">
        <v>44118</v>
      </c>
      <c r="I1468" s="6" t="s">
        <v>2093</v>
      </c>
      <c r="J1468" s="9">
        <v>8308801918</v>
      </c>
      <c r="K1468" s="68">
        <v>44104</v>
      </c>
      <c r="L1468" s="68" t="s">
        <v>230</v>
      </c>
      <c r="M1468" s="68">
        <v>45747</v>
      </c>
      <c r="N1468" s="69">
        <f t="shared" si="65"/>
        <v>144</v>
      </c>
      <c r="O1468" s="69" t="str">
        <f t="shared" si="66"/>
        <v>N/A</v>
      </c>
      <c r="P1468" s="70">
        <v>0</v>
      </c>
      <c r="Q1468" s="70"/>
      <c r="R1468" s="70">
        <v>144</v>
      </c>
      <c r="S1468" s="68">
        <f t="shared" si="67"/>
        <v>45721</v>
      </c>
      <c r="T1468" s="68"/>
      <c r="U1468" s="95"/>
      <c r="V1468" s="68"/>
      <c r="W1468" s="68">
        <v>45721</v>
      </c>
      <c r="X1468" s="10"/>
      <c r="Y1468" s="65" t="str">
        <f t="shared" si="68"/>
        <v/>
      </c>
      <c r="Z1468" s="11" t="str">
        <f t="shared" si="69"/>
        <v/>
      </c>
      <c r="AA1468" s="11" t="str">
        <f t="shared" si="70"/>
        <v/>
      </c>
      <c r="AB1468" s="73">
        <f t="shared" si="71"/>
        <v>144</v>
      </c>
      <c r="AC1468" s="11" t="str">
        <f t="shared" si="72"/>
        <v/>
      </c>
      <c r="AD1468" s="11" t="str">
        <f t="shared" si="73"/>
        <v/>
      </c>
      <c r="AE1468" s="11" t="str">
        <f t="shared" si="74"/>
        <v/>
      </c>
      <c r="AF1468" s="73">
        <f t="shared" si="75"/>
        <v>144.00146799999999</v>
      </c>
      <c r="AG1468" s="11" t="str">
        <f t="shared" si="76"/>
        <v/>
      </c>
      <c r="AH1468" s="11" t="str">
        <f t="shared" si="77"/>
        <v/>
      </c>
    </row>
    <row r="1469" spans="1:34" ht="14.25" customHeight="1">
      <c r="A1469" s="11">
        <v>1454</v>
      </c>
      <c r="B1469" s="66"/>
      <c r="C1469" s="67"/>
      <c r="D1469" s="67"/>
      <c r="E1469" s="67"/>
      <c r="F1469" s="67"/>
      <c r="G1469" s="67" t="s">
        <v>35</v>
      </c>
      <c r="H1469" s="67">
        <v>44979</v>
      </c>
      <c r="I1469" s="6" t="s">
        <v>2094</v>
      </c>
      <c r="J1469" s="9">
        <v>8318102226</v>
      </c>
      <c r="K1469" s="68">
        <v>44957</v>
      </c>
      <c r="L1469" s="68">
        <v>46022</v>
      </c>
      <c r="M1469" s="68">
        <v>46203</v>
      </c>
      <c r="N1469" s="69">
        <f t="shared" si="65"/>
        <v>4</v>
      </c>
      <c r="O1469" s="69">
        <f t="shared" si="66"/>
        <v>1</v>
      </c>
      <c r="P1469" s="70">
        <v>6</v>
      </c>
      <c r="Q1469" s="70">
        <v>9</v>
      </c>
      <c r="R1469" s="70">
        <v>10</v>
      </c>
      <c r="S1469" s="68" t="str">
        <f t="shared" si="67"/>
        <v/>
      </c>
      <c r="T1469" s="68"/>
      <c r="U1469" s="95"/>
      <c r="V1469" s="68"/>
      <c r="W1469" s="9"/>
      <c r="X1469" s="10"/>
      <c r="Y1469" s="71">
        <f t="shared" si="68"/>
        <v>9</v>
      </c>
      <c r="Z1469" s="73">
        <f t="shared" si="69"/>
        <v>10</v>
      </c>
      <c r="AA1469" s="11" t="str">
        <f t="shared" si="70"/>
        <v/>
      </c>
      <c r="AB1469" s="73">
        <f t="shared" si="71"/>
        <v>4</v>
      </c>
      <c r="AC1469" s="11" t="str">
        <f t="shared" si="72"/>
        <v/>
      </c>
      <c r="AD1469" s="73">
        <f t="shared" si="73"/>
        <v>1</v>
      </c>
      <c r="AE1469" s="11" t="str">
        <f t="shared" si="74"/>
        <v/>
      </c>
      <c r="AF1469" s="73">
        <f t="shared" si="75"/>
        <v>4.0014690000000002</v>
      </c>
      <c r="AG1469" s="11" t="str">
        <f t="shared" si="76"/>
        <v/>
      </c>
      <c r="AH1469" s="73">
        <f t="shared" si="77"/>
        <v>1.0014689999999999</v>
      </c>
    </row>
    <row r="1470" spans="1:34" ht="14.25" customHeight="1">
      <c r="A1470" s="11">
        <v>1455</v>
      </c>
      <c r="B1470" s="66" t="s">
        <v>35</v>
      </c>
      <c r="C1470" s="67"/>
      <c r="D1470" s="67">
        <v>45982</v>
      </c>
      <c r="E1470" s="67">
        <v>46023</v>
      </c>
      <c r="F1470" s="67"/>
      <c r="G1470" s="67" t="s">
        <v>35</v>
      </c>
      <c r="H1470" s="67">
        <v>44448</v>
      </c>
      <c r="I1470" s="6" t="s">
        <v>2095</v>
      </c>
      <c r="J1470" s="9">
        <v>8318701971</v>
      </c>
      <c r="K1470" s="68">
        <v>44439</v>
      </c>
      <c r="L1470" s="68">
        <v>46022</v>
      </c>
      <c r="M1470" s="68">
        <v>46203</v>
      </c>
      <c r="N1470" s="69">
        <f t="shared" si="65"/>
        <v>31</v>
      </c>
      <c r="O1470" s="69">
        <f t="shared" si="66"/>
        <v>0</v>
      </c>
      <c r="P1470" s="70">
        <v>0</v>
      </c>
      <c r="Q1470" s="70">
        <v>31</v>
      </c>
      <c r="R1470" s="70">
        <v>31</v>
      </c>
      <c r="S1470" s="68" t="str">
        <f t="shared" si="67"/>
        <v/>
      </c>
      <c r="T1470" s="68"/>
      <c r="U1470" s="95"/>
      <c r="V1470" s="68"/>
      <c r="W1470" s="9"/>
      <c r="X1470" s="10" t="s">
        <v>2096</v>
      </c>
      <c r="Y1470" s="71">
        <f t="shared" si="68"/>
        <v>31</v>
      </c>
      <c r="Z1470" s="73">
        <f t="shared" si="69"/>
        <v>31</v>
      </c>
      <c r="AA1470" s="73">
        <f t="shared" si="70"/>
        <v>31</v>
      </c>
      <c r="AB1470" s="73">
        <f t="shared" si="71"/>
        <v>31</v>
      </c>
      <c r="AC1470" s="73">
        <f t="shared" si="72"/>
        <v>0</v>
      </c>
      <c r="AD1470" s="73">
        <f t="shared" si="73"/>
        <v>0</v>
      </c>
      <c r="AE1470" s="73">
        <f t="shared" si="74"/>
        <v>31.001470000000001</v>
      </c>
      <c r="AF1470" s="73">
        <f t="shared" si="75"/>
        <v>31.001470000000001</v>
      </c>
      <c r="AG1470" s="73">
        <f t="shared" si="76"/>
        <v>1.47E-3</v>
      </c>
      <c r="AH1470" s="73">
        <f t="shared" si="77"/>
        <v>1.47E-3</v>
      </c>
    </row>
    <row r="1471" spans="1:34" ht="14.25" customHeight="1">
      <c r="A1471" s="11">
        <v>1456</v>
      </c>
      <c r="B1471" s="66"/>
      <c r="C1471" s="67"/>
      <c r="D1471" s="67"/>
      <c r="E1471" s="67"/>
      <c r="F1471" s="67"/>
      <c r="G1471" s="67" t="s">
        <v>35</v>
      </c>
      <c r="H1471" s="67">
        <v>44848</v>
      </c>
      <c r="I1471" s="6" t="s">
        <v>2097</v>
      </c>
      <c r="J1471" s="9">
        <v>8328701178</v>
      </c>
      <c r="K1471" s="68">
        <v>44834</v>
      </c>
      <c r="L1471" s="68">
        <v>46022</v>
      </c>
      <c r="M1471" s="68">
        <v>46203</v>
      </c>
      <c r="N1471" s="69">
        <f t="shared" si="65"/>
        <v>16</v>
      </c>
      <c r="O1471" s="69">
        <f t="shared" si="66"/>
        <v>9</v>
      </c>
      <c r="P1471" s="70">
        <v>33</v>
      </c>
      <c r="Q1471" s="70">
        <v>40</v>
      </c>
      <c r="R1471" s="70">
        <v>49</v>
      </c>
      <c r="S1471" s="68" t="str">
        <f t="shared" si="67"/>
        <v/>
      </c>
      <c r="T1471" s="68"/>
      <c r="U1471" s="95"/>
      <c r="V1471" s="68"/>
      <c r="W1471" s="9"/>
      <c r="X1471" s="10"/>
      <c r="Y1471" s="71">
        <f t="shared" si="68"/>
        <v>40</v>
      </c>
      <c r="Z1471" s="73">
        <f t="shared" si="69"/>
        <v>49</v>
      </c>
      <c r="AA1471" s="11" t="str">
        <f t="shared" si="70"/>
        <v/>
      </c>
      <c r="AB1471" s="73">
        <f t="shared" si="71"/>
        <v>16</v>
      </c>
      <c r="AC1471" s="11" t="str">
        <f t="shared" si="72"/>
        <v/>
      </c>
      <c r="AD1471" s="73">
        <f t="shared" si="73"/>
        <v>9</v>
      </c>
      <c r="AE1471" s="11" t="str">
        <f t="shared" si="74"/>
        <v/>
      </c>
      <c r="AF1471" s="73">
        <f t="shared" si="75"/>
        <v>16.001470999999999</v>
      </c>
      <c r="AG1471" s="11" t="str">
        <f t="shared" si="76"/>
        <v/>
      </c>
      <c r="AH1471" s="73">
        <f t="shared" si="77"/>
        <v>9.0014710000000004</v>
      </c>
    </row>
    <row r="1472" spans="1:34" ht="14.25" customHeight="1">
      <c r="A1472" s="11">
        <v>1457</v>
      </c>
      <c r="B1472" s="66"/>
      <c r="C1472" s="67"/>
      <c r="D1472" s="67"/>
      <c r="E1472" s="67"/>
      <c r="F1472" s="67"/>
      <c r="G1472" s="67" t="s">
        <v>35</v>
      </c>
      <c r="H1472" s="67">
        <v>45575</v>
      </c>
      <c r="I1472" s="6" t="s">
        <v>2098</v>
      </c>
      <c r="J1472" s="9">
        <v>8328702522</v>
      </c>
      <c r="K1472" s="68">
        <v>45565</v>
      </c>
      <c r="L1472" s="68">
        <v>46022</v>
      </c>
      <c r="M1472" s="68">
        <v>46203</v>
      </c>
      <c r="N1472" s="69">
        <f t="shared" si="65"/>
        <v>5</v>
      </c>
      <c r="O1472" s="69">
        <f t="shared" si="66"/>
        <v>1</v>
      </c>
      <c r="P1472" s="70">
        <v>8</v>
      </c>
      <c r="Q1472" s="70">
        <v>12</v>
      </c>
      <c r="R1472" s="70">
        <v>13</v>
      </c>
      <c r="S1472" s="68" t="str">
        <f t="shared" si="67"/>
        <v/>
      </c>
      <c r="T1472" s="68"/>
      <c r="U1472" s="95"/>
      <c r="V1472" s="68"/>
      <c r="W1472" s="9"/>
      <c r="X1472" s="10"/>
      <c r="Y1472" s="71">
        <f t="shared" si="68"/>
        <v>12</v>
      </c>
      <c r="Z1472" s="73">
        <f t="shared" si="69"/>
        <v>13</v>
      </c>
      <c r="AA1472" s="11" t="str">
        <f t="shared" si="70"/>
        <v/>
      </c>
      <c r="AB1472" s="73">
        <f t="shared" si="71"/>
        <v>5</v>
      </c>
      <c r="AC1472" s="11" t="str">
        <f t="shared" si="72"/>
        <v/>
      </c>
      <c r="AD1472" s="73">
        <f t="shared" si="73"/>
        <v>1</v>
      </c>
      <c r="AE1472" s="11" t="str">
        <f t="shared" si="74"/>
        <v/>
      </c>
      <c r="AF1472" s="73">
        <f t="shared" si="75"/>
        <v>5.0014719999999997</v>
      </c>
      <c r="AG1472" s="11" t="str">
        <f t="shared" si="76"/>
        <v/>
      </c>
      <c r="AH1472" s="73">
        <f t="shared" si="77"/>
        <v>1.0014719999999999</v>
      </c>
    </row>
    <row r="1473" spans="1:34" ht="14.25" customHeight="1">
      <c r="A1473" s="11">
        <v>1458</v>
      </c>
      <c r="B1473" s="66"/>
      <c r="C1473" s="67"/>
      <c r="D1473" s="67"/>
      <c r="E1473" s="67"/>
      <c r="F1473" s="67"/>
      <c r="G1473" s="67" t="s">
        <v>35</v>
      </c>
      <c r="H1473" s="67">
        <v>44364</v>
      </c>
      <c r="I1473" s="6" t="s">
        <v>2099</v>
      </c>
      <c r="J1473" s="9">
        <v>8338101261</v>
      </c>
      <c r="K1473" s="68">
        <v>44347</v>
      </c>
      <c r="L1473" s="68">
        <v>46022</v>
      </c>
      <c r="M1473" s="68">
        <v>46203</v>
      </c>
      <c r="N1473" s="69">
        <f t="shared" si="65"/>
        <v>14</v>
      </c>
      <c r="O1473" s="69">
        <f t="shared" si="66"/>
        <v>-3</v>
      </c>
      <c r="P1473" s="70">
        <v>12</v>
      </c>
      <c r="Q1473" s="70">
        <v>29</v>
      </c>
      <c r="R1473" s="70">
        <v>26</v>
      </c>
      <c r="S1473" s="68" t="str">
        <f t="shared" si="67"/>
        <v/>
      </c>
      <c r="T1473" s="68"/>
      <c r="U1473" s="95"/>
      <c r="V1473" s="68"/>
      <c r="W1473" s="9"/>
      <c r="X1473" s="10"/>
      <c r="Y1473" s="71">
        <f t="shared" si="68"/>
        <v>29</v>
      </c>
      <c r="Z1473" s="73">
        <f t="shared" si="69"/>
        <v>26</v>
      </c>
      <c r="AA1473" s="11" t="str">
        <f t="shared" si="70"/>
        <v/>
      </c>
      <c r="AB1473" s="73">
        <f t="shared" si="71"/>
        <v>14</v>
      </c>
      <c r="AC1473" s="11" t="str">
        <f t="shared" si="72"/>
        <v/>
      </c>
      <c r="AD1473" s="73">
        <f t="shared" si="73"/>
        <v>-3</v>
      </c>
      <c r="AE1473" s="11" t="str">
        <f t="shared" si="74"/>
        <v/>
      </c>
      <c r="AF1473" s="73">
        <f t="shared" si="75"/>
        <v>14.001473000000001</v>
      </c>
      <c r="AG1473" s="11" t="str">
        <f t="shared" si="76"/>
        <v/>
      </c>
      <c r="AH1473" s="73">
        <f t="shared" si="77"/>
        <v>-2.9985270000000002</v>
      </c>
    </row>
    <row r="1474" spans="1:34" ht="14.25" customHeight="1">
      <c r="A1474" s="11">
        <v>1459</v>
      </c>
      <c r="B1474" s="66"/>
      <c r="C1474" s="67"/>
      <c r="D1474" s="67"/>
      <c r="E1474" s="67"/>
      <c r="F1474" s="67"/>
      <c r="G1474" s="67" t="s">
        <v>35</v>
      </c>
      <c r="H1474" s="67">
        <v>45834</v>
      </c>
      <c r="I1474" s="6" t="s">
        <v>2100</v>
      </c>
      <c r="J1474" s="9">
        <v>8338101903</v>
      </c>
      <c r="K1474" s="68">
        <v>45808</v>
      </c>
      <c r="L1474" s="68">
        <v>46022</v>
      </c>
      <c r="M1474" s="68">
        <v>46203</v>
      </c>
      <c r="N1474" s="69">
        <f t="shared" si="65"/>
        <v>14</v>
      </c>
      <c r="O1474" s="69">
        <f t="shared" si="66"/>
        <v>-6</v>
      </c>
      <c r="P1474" s="70">
        <v>87</v>
      </c>
      <c r="Q1474" s="70">
        <v>107</v>
      </c>
      <c r="R1474" s="70">
        <v>101</v>
      </c>
      <c r="S1474" s="68" t="str">
        <f t="shared" si="67"/>
        <v/>
      </c>
      <c r="T1474" s="68"/>
      <c r="U1474" s="95"/>
      <c r="V1474" s="68"/>
      <c r="W1474" s="9"/>
      <c r="X1474" s="10"/>
      <c r="Y1474" s="71">
        <f t="shared" si="68"/>
        <v>107</v>
      </c>
      <c r="Z1474" s="73">
        <f t="shared" si="69"/>
        <v>101</v>
      </c>
      <c r="AA1474" s="11" t="str">
        <f t="shared" si="70"/>
        <v/>
      </c>
      <c r="AB1474" s="73">
        <f t="shared" si="71"/>
        <v>14</v>
      </c>
      <c r="AC1474" s="11" t="str">
        <f t="shared" si="72"/>
        <v/>
      </c>
      <c r="AD1474" s="73">
        <f t="shared" si="73"/>
        <v>-6</v>
      </c>
      <c r="AE1474" s="11" t="str">
        <f t="shared" si="74"/>
        <v/>
      </c>
      <c r="AF1474" s="73">
        <f t="shared" si="75"/>
        <v>14.001474</v>
      </c>
      <c r="AG1474" s="11" t="str">
        <f t="shared" si="76"/>
        <v/>
      </c>
      <c r="AH1474" s="73">
        <f t="shared" si="77"/>
        <v>-5.998526</v>
      </c>
    </row>
    <row r="1475" spans="1:34" ht="14.25" customHeight="1">
      <c r="A1475" s="11">
        <v>1460</v>
      </c>
      <c r="B1475" s="66"/>
      <c r="C1475" s="67"/>
      <c r="D1475" s="67"/>
      <c r="E1475" s="67"/>
      <c r="F1475" s="67"/>
      <c r="G1475" s="67" t="s">
        <v>35</v>
      </c>
      <c r="H1475" s="67">
        <v>45131</v>
      </c>
      <c r="I1475" s="6" t="s">
        <v>2101</v>
      </c>
      <c r="J1475" s="9">
        <v>8358602596</v>
      </c>
      <c r="K1475" s="68">
        <v>45107</v>
      </c>
      <c r="L1475" s="68">
        <v>46022</v>
      </c>
      <c r="M1475" s="68">
        <v>46203</v>
      </c>
      <c r="N1475" s="69">
        <f t="shared" si="65"/>
        <v>1</v>
      </c>
      <c r="O1475" s="69">
        <f t="shared" si="66"/>
        <v>-3</v>
      </c>
      <c r="P1475" s="70">
        <v>3</v>
      </c>
      <c r="Q1475" s="70">
        <v>7</v>
      </c>
      <c r="R1475" s="70">
        <v>4</v>
      </c>
      <c r="S1475" s="68" t="str">
        <f t="shared" si="67"/>
        <v/>
      </c>
      <c r="T1475" s="68"/>
      <c r="U1475" s="95"/>
      <c r="V1475" s="68"/>
      <c r="W1475" s="9"/>
      <c r="X1475" s="10"/>
      <c r="Y1475" s="71">
        <f t="shared" si="68"/>
        <v>7</v>
      </c>
      <c r="Z1475" s="73">
        <f t="shared" si="69"/>
        <v>4</v>
      </c>
      <c r="AA1475" s="11" t="str">
        <f t="shared" si="70"/>
        <v/>
      </c>
      <c r="AB1475" s="73">
        <f t="shared" si="71"/>
        <v>1</v>
      </c>
      <c r="AC1475" s="11" t="str">
        <f t="shared" si="72"/>
        <v/>
      </c>
      <c r="AD1475" s="73">
        <f t="shared" si="73"/>
        <v>-3</v>
      </c>
      <c r="AE1475" s="11" t="str">
        <f t="shared" si="74"/>
        <v/>
      </c>
      <c r="AF1475" s="73">
        <f t="shared" si="75"/>
        <v>1.0014749999999999</v>
      </c>
      <c r="AG1475" s="11" t="str">
        <f t="shared" si="76"/>
        <v/>
      </c>
      <c r="AH1475" s="73">
        <f t="shared" si="77"/>
        <v>-2.9985249999999999</v>
      </c>
    </row>
    <row r="1476" spans="1:34" ht="14.25" customHeight="1">
      <c r="A1476" s="11">
        <v>1461</v>
      </c>
      <c r="B1476" s="66"/>
      <c r="C1476" s="67"/>
      <c r="D1476" s="67"/>
      <c r="E1476" s="67"/>
      <c r="F1476" s="67"/>
      <c r="G1476" s="67" t="s">
        <v>35</v>
      </c>
      <c r="H1476" s="67">
        <v>45356</v>
      </c>
      <c r="I1476" s="6" t="s">
        <v>2102</v>
      </c>
      <c r="J1476" s="9">
        <v>8358701992</v>
      </c>
      <c r="K1476" s="68">
        <v>45351</v>
      </c>
      <c r="L1476" s="68">
        <v>46022</v>
      </c>
      <c r="M1476" s="68">
        <v>46203</v>
      </c>
      <c r="N1476" s="69">
        <f t="shared" si="65"/>
        <v>125</v>
      </c>
      <c r="O1476" s="69">
        <f t="shared" si="66"/>
        <v>24</v>
      </c>
      <c r="P1476" s="70">
        <v>19</v>
      </c>
      <c r="Q1476" s="70">
        <v>120</v>
      </c>
      <c r="R1476" s="70">
        <v>144</v>
      </c>
      <c r="S1476" s="68" t="str">
        <f t="shared" si="67"/>
        <v/>
      </c>
      <c r="T1476" s="68"/>
      <c r="U1476" s="95"/>
      <c r="V1476" s="68"/>
      <c r="W1476" s="9"/>
      <c r="X1476" s="10"/>
      <c r="Y1476" s="71">
        <f t="shared" si="68"/>
        <v>120</v>
      </c>
      <c r="Z1476" s="73">
        <f t="shared" si="69"/>
        <v>144</v>
      </c>
      <c r="AA1476" s="11" t="str">
        <f t="shared" si="70"/>
        <v/>
      </c>
      <c r="AB1476" s="73">
        <f t="shared" si="71"/>
        <v>125</v>
      </c>
      <c r="AC1476" s="11" t="str">
        <f t="shared" si="72"/>
        <v/>
      </c>
      <c r="AD1476" s="73">
        <f t="shared" si="73"/>
        <v>24</v>
      </c>
      <c r="AE1476" s="11" t="str">
        <f t="shared" si="74"/>
        <v/>
      </c>
      <c r="AF1476" s="73">
        <f t="shared" si="75"/>
        <v>125.001476</v>
      </c>
      <c r="AG1476" s="11" t="str">
        <f t="shared" si="76"/>
        <v/>
      </c>
      <c r="AH1476" s="73">
        <f t="shared" si="77"/>
        <v>24.001476</v>
      </c>
    </row>
    <row r="1477" spans="1:34" ht="14.25" customHeight="1">
      <c r="A1477" s="11">
        <v>1462</v>
      </c>
      <c r="B1477" s="66"/>
      <c r="C1477" s="67"/>
      <c r="D1477" s="67"/>
      <c r="E1477" s="67"/>
      <c r="F1477" s="67"/>
      <c r="G1477" s="67" t="s">
        <v>24</v>
      </c>
      <c r="H1477" s="67">
        <v>44952</v>
      </c>
      <c r="I1477" s="6" t="s">
        <v>2103</v>
      </c>
      <c r="J1477" s="9">
        <v>8368602605</v>
      </c>
      <c r="K1477" s="68">
        <v>44926</v>
      </c>
      <c r="L1477" s="68" t="s">
        <v>230</v>
      </c>
      <c r="M1477" s="68">
        <v>45838</v>
      </c>
      <c r="N1477" s="69">
        <f t="shared" si="65"/>
        <v>-5</v>
      </c>
      <c r="O1477" s="69" t="str">
        <f t="shared" si="66"/>
        <v>N/A</v>
      </c>
      <c r="P1477" s="70">
        <v>5</v>
      </c>
      <c r="Q1477" s="70"/>
      <c r="R1477" s="70">
        <v>0</v>
      </c>
      <c r="S1477" s="68">
        <f t="shared" si="67"/>
        <v>45813</v>
      </c>
      <c r="T1477" s="68">
        <v>45813</v>
      </c>
      <c r="U1477" s="95"/>
      <c r="V1477" s="68"/>
      <c r="W1477" s="9"/>
      <c r="X1477" s="10"/>
      <c r="Y1477" s="65" t="str">
        <f t="shared" si="68"/>
        <v/>
      </c>
      <c r="Z1477" s="11" t="str">
        <f t="shared" si="69"/>
        <v/>
      </c>
      <c r="AA1477" s="11" t="str">
        <f t="shared" si="70"/>
        <v/>
      </c>
      <c r="AB1477" s="73">
        <f t="shared" si="71"/>
        <v>-5</v>
      </c>
      <c r="AC1477" s="11" t="str">
        <f t="shared" si="72"/>
        <v/>
      </c>
      <c r="AD1477" s="11" t="str">
        <f t="shared" si="73"/>
        <v/>
      </c>
      <c r="AE1477" s="11" t="str">
        <f t="shared" si="74"/>
        <v/>
      </c>
      <c r="AF1477" s="73">
        <f t="shared" si="75"/>
        <v>-4.9985229999999996</v>
      </c>
      <c r="AG1477" s="11" t="str">
        <f t="shared" si="76"/>
        <v/>
      </c>
      <c r="AH1477" s="11" t="str">
        <f t="shared" si="77"/>
        <v/>
      </c>
    </row>
    <row r="1478" spans="1:34" ht="14.25" customHeight="1">
      <c r="A1478" s="11">
        <v>1463</v>
      </c>
      <c r="B1478" s="66"/>
      <c r="C1478" s="67"/>
      <c r="D1478" s="67"/>
      <c r="E1478" s="67"/>
      <c r="F1478" s="67"/>
      <c r="G1478" s="67" t="s">
        <v>35</v>
      </c>
      <c r="H1478" s="67">
        <v>43949</v>
      </c>
      <c r="I1478" s="6" t="s">
        <v>2104</v>
      </c>
      <c r="J1478" s="9">
        <v>8368700851</v>
      </c>
      <c r="K1478" s="68">
        <v>43921</v>
      </c>
      <c r="L1478" s="68">
        <v>46022</v>
      </c>
      <c r="M1478" s="68">
        <v>46203</v>
      </c>
      <c r="N1478" s="69">
        <f t="shared" si="65"/>
        <v>-10</v>
      </c>
      <c r="O1478" s="69">
        <f t="shared" si="66"/>
        <v>0</v>
      </c>
      <c r="P1478" s="70">
        <v>10</v>
      </c>
      <c r="Q1478" s="70">
        <v>0</v>
      </c>
      <c r="R1478" s="70">
        <v>0</v>
      </c>
      <c r="S1478" s="68" t="str">
        <f t="shared" si="67"/>
        <v/>
      </c>
      <c r="T1478" s="68"/>
      <c r="U1478" s="95"/>
      <c r="V1478" s="68"/>
      <c r="W1478" s="9"/>
      <c r="X1478" s="10"/>
      <c r="Y1478" s="71">
        <f t="shared" si="68"/>
        <v>0</v>
      </c>
      <c r="Z1478" s="73">
        <f t="shared" si="69"/>
        <v>0</v>
      </c>
      <c r="AA1478" s="11" t="str">
        <f t="shared" si="70"/>
        <v/>
      </c>
      <c r="AB1478" s="73">
        <f t="shared" si="71"/>
        <v>-10</v>
      </c>
      <c r="AC1478" s="11" t="str">
        <f t="shared" si="72"/>
        <v/>
      </c>
      <c r="AD1478" s="73">
        <f t="shared" si="73"/>
        <v>0</v>
      </c>
      <c r="AE1478" s="11" t="str">
        <f t="shared" si="74"/>
        <v/>
      </c>
      <c r="AF1478" s="73">
        <f t="shared" si="75"/>
        <v>-9.9985219999999995</v>
      </c>
      <c r="AG1478" s="11" t="str">
        <f t="shared" si="76"/>
        <v/>
      </c>
      <c r="AH1478" s="73">
        <f t="shared" si="77"/>
        <v>1.4779999999999999E-3</v>
      </c>
    </row>
    <row r="1479" spans="1:34" ht="14.25" customHeight="1">
      <c r="A1479" s="11">
        <v>1464</v>
      </c>
      <c r="B1479" s="66"/>
      <c r="C1479" s="67"/>
      <c r="D1479" s="67"/>
      <c r="E1479" s="67"/>
      <c r="F1479" s="67"/>
      <c r="G1479" s="67" t="s">
        <v>35</v>
      </c>
      <c r="H1479" s="67">
        <v>45777</v>
      </c>
      <c r="I1479" s="6" t="s">
        <v>2105</v>
      </c>
      <c r="J1479" s="9">
        <v>8368801987</v>
      </c>
      <c r="K1479" s="68">
        <v>45747</v>
      </c>
      <c r="L1479" s="68">
        <v>46022</v>
      </c>
      <c r="M1479" s="68">
        <v>46203</v>
      </c>
      <c r="N1479" s="69">
        <f t="shared" si="65"/>
        <v>9</v>
      </c>
      <c r="O1479" s="69">
        <f t="shared" si="66"/>
        <v>5</v>
      </c>
      <c r="P1479" s="70">
        <v>32</v>
      </c>
      <c r="Q1479" s="70">
        <v>36</v>
      </c>
      <c r="R1479" s="70">
        <v>41</v>
      </c>
      <c r="S1479" s="68" t="str">
        <f t="shared" si="67"/>
        <v/>
      </c>
      <c r="T1479" s="68"/>
      <c r="U1479" s="95"/>
      <c r="V1479" s="68"/>
      <c r="W1479" s="9"/>
      <c r="X1479" s="10"/>
      <c r="Y1479" s="71">
        <f t="shared" si="68"/>
        <v>36</v>
      </c>
      <c r="Z1479" s="73">
        <f t="shared" si="69"/>
        <v>41</v>
      </c>
      <c r="AA1479" s="11" t="str">
        <f t="shared" si="70"/>
        <v/>
      </c>
      <c r="AB1479" s="73">
        <f t="shared" si="71"/>
        <v>9</v>
      </c>
      <c r="AC1479" s="11" t="str">
        <f t="shared" si="72"/>
        <v/>
      </c>
      <c r="AD1479" s="73">
        <f t="shared" si="73"/>
        <v>5</v>
      </c>
      <c r="AE1479" s="11" t="str">
        <f t="shared" si="74"/>
        <v/>
      </c>
      <c r="AF1479" s="73">
        <f t="shared" si="75"/>
        <v>9.0014789999999998</v>
      </c>
      <c r="AG1479" s="11" t="str">
        <f t="shared" si="76"/>
        <v/>
      </c>
      <c r="AH1479" s="73">
        <f t="shared" si="77"/>
        <v>5.0014789999999998</v>
      </c>
    </row>
    <row r="1480" spans="1:34" ht="14.25" customHeight="1">
      <c r="A1480" s="11">
        <v>1465</v>
      </c>
      <c r="B1480" s="66"/>
      <c r="C1480" s="67"/>
      <c r="D1480" s="67"/>
      <c r="E1480" s="67"/>
      <c r="F1480" s="67"/>
      <c r="G1480" s="67" t="s">
        <v>35</v>
      </c>
      <c r="H1480" s="67">
        <v>42849</v>
      </c>
      <c r="I1480" s="6" t="s">
        <v>2106</v>
      </c>
      <c r="J1480" s="9">
        <v>8378700683</v>
      </c>
      <c r="K1480" s="68">
        <v>42825</v>
      </c>
      <c r="L1480" s="68">
        <v>46022</v>
      </c>
      <c r="M1480" s="68">
        <v>46203</v>
      </c>
      <c r="N1480" s="69">
        <f t="shared" si="65"/>
        <v>91</v>
      </c>
      <c r="O1480" s="69">
        <f t="shared" si="66"/>
        <v>-4</v>
      </c>
      <c r="P1480" s="70">
        <v>6</v>
      </c>
      <c r="Q1480" s="70">
        <v>101</v>
      </c>
      <c r="R1480" s="70">
        <v>97</v>
      </c>
      <c r="S1480" s="68" t="str">
        <f t="shared" si="67"/>
        <v/>
      </c>
      <c r="T1480" s="68"/>
      <c r="U1480" s="95"/>
      <c r="V1480" s="68"/>
      <c r="W1480" s="9"/>
      <c r="X1480" s="10"/>
      <c r="Y1480" s="71">
        <f t="shared" si="68"/>
        <v>101</v>
      </c>
      <c r="Z1480" s="73">
        <f t="shared" si="69"/>
        <v>97</v>
      </c>
      <c r="AA1480" s="11" t="str">
        <f t="shared" si="70"/>
        <v/>
      </c>
      <c r="AB1480" s="73">
        <f t="shared" si="71"/>
        <v>91</v>
      </c>
      <c r="AC1480" s="11" t="str">
        <f t="shared" si="72"/>
        <v/>
      </c>
      <c r="AD1480" s="73">
        <f t="shared" si="73"/>
        <v>-4</v>
      </c>
      <c r="AE1480" s="11" t="str">
        <f t="shared" si="74"/>
        <v/>
      </c>
      <c r="AF1480" s="73">
        <f t="shared" si="75"/>
        <v>91.001480000000001</v>
      </c>
      <c r="AG1480" s="11" t="str">
        <f t="shared" si="76"/>
        <v/>
      </c>
      <c r="AH1480" s="73">
        <f t="shared" si="77"/>
        <v>-3.9985200000000001</v>
      </c>
    </row>
    <row r="1481" spans="1:34" ht="14.25" customHeight="1">
      <c r="A1481" s="11">
        <v>1466</v>
      </c>
      <c r="B1481" s="66" t="s">
        <v>35</v>
      </c>
      <c r="C1481" s="67">
        <v>45352</v>
      </c>
      <c r="D1481" s="67"/>
      <c r="E1481" s="67"/>
      <c r="F1481" s="67"/>
      <c r="G1481" s="67"/>
      <c r="H1481" s="67"/>
      <c r="I1481" s="6" t="s">
        <v>2107</v>
      </c>
      <c r="J1481" s="9">
        <v>8388700750</v>
      </c>
      <c r="K1481" s="68">
        <v>45351</v>
      </c>
      <c r="L1481" s="68">
        <v>46022</v>
      </c>
      <c r="M1481" s="68">
        <v>46203</v>
      </c>
      <c r="N1481" s="69">
        <f t="shared" si="65"/>
        <v>-14</v>
      </c>
      <c r="O1481" s="69">
        <f t="shared" si="66"/>
        <v>-9</v>
      </c>
      <c r="P1481" s="70">
        <v>15</v>
      </c>
      <c r="Q1481" s="70">
        <v>10</v>
      </c>
      <c r="R1481" s="70">
        <v>1</v>
      </c>
      <c r="S1481" s="68" t="str">
        <f t="shared" si="67"/>
        <v/>
      </c>
      <c r="T1481" s="68"/>
      <c r="U1481" s="95"/>
      <c r="V1481" s="68"/>
      <c r="W1481" s="9"/>
      <c r="X1481" s="10"/>
      <c r="Y1481" s="71">
        <f t="shared" si="68"/>
        <v>10</v>
      </c>
      <c r="Z1481" s="73">
        <f t="shared" si="69"/>
        <v>1</v>
      </c>
      <c r="AA1481" s="73">
        <f t="shared" si="70"/>
        <v>-14</v>
      </c>
      <c r="AB1481" s="11" t="str">
        <f t="shared" si="71"/>
        <v/>
      </c>
      <c r="AC1481" s="73">
        <f t="shared" si="72"/>
        <v>-9</v>
      </c>
      <c r="AD1481" s="11" t="str">
        <f t="shared" si="73"/>
        <v/>
      </c>
      <c r="AE1481" s="73">
        <f t="shared" si="74"/>
        <v>-13.998519</v>
      </c>
      <c r="AF1481" s="11" t="str">
        <f t="shared" si="75"/>
        <v/>
      </c>
      <c r="AG1481" s="73">
        <f t="shared" si="76"/>
        <v>-8.9985189999999999</v>
      </c>
      <c r="AH1481" s="11" t="str">
        <f t="shared" si="77"/>
        <v/>
      </c>
    </row>
    <row r="1482" spans="1:34" ht="14.25" customHeight="1">
      <c r="A1482" s="11">
        <v>1467</v>
      </c>
      <c r="B1482" s="66"/>
      <c r="C1482" s="67"/>
      <c r="D1482" s="67"/>
      <c r="E1482" s="67"/>
      <c r="F1482" s="67"/>
      <c r="G1482" s="67" t="s">
        <v>24</v>
      </c>
      <c r="H1482" s="67">
        <v>45041</v>
      </c>
      <c r="I1482" s="6" t="s">
        <v>2108</v>
      </c>
      <c r="J1482" s="9">
        <v>8388702272</v>
      </c>
      <c r="K1482" s="68">
        <v>45016</v>
      </c>
      <c r="L1482" s="68" t="s">
        <v>230</v>
      </c>
      <c r="M1482" s="68">
        <v>45412</v>
      </c>
      <c r="N1482" s="69">
        <f t="shared" si="65"/>
        <v>-5</v>
      </c>
      <c r="O1482" s="69" t="str">
        <f t="shared" si="66"/>
        <v>N/A</v>
      </c>
      <c r="P1482" s="70">
        <v>5</v>
      </c>
      <c r="Q1482" s="70"/>
      <c r="R1482" s="70">
        <v>0</v>
      </c>
      <c r="S1482" s="68">
        <f t="shared" si="67"/>
        <v>45400</v>
      </c>
      <c r="T1482" s="68">
        <v>45400</v>
      </c>
      <c r="U1482" s="95"/>
      <c r="V1482" s="68"/>
      <c r="W1482" s="9"/>
      <c r="X1482" s="10"/>
      <c r="Y1482" s="65" t="str">
        <f t="shared" si="68"/>
        <v/>
      </c>
      <c r="Z1482" s="11" t="str">
        <f t="shared" si="69"/>
        <v/>
      </c>
      <c r="AA1482" s="11" t="str">
        <f t="shared" si="70"/>
        <v/>
      </c>
      <c r="AB1482" s="73">
        <f t="shared" si="71"/>
        <v>-5</v>
      </c>
      <c r="AC1482" s="11" t="str">
        <f t="shared" si="72"/>
        <v/>
      </c>
      <c r="AD1482" s="11" t="str">
        <f t="shared" si="73"/>
        <v/>
      </c>
      <c r="AE1482" s="11" t="str">
        <f t="shared" si="74"/>
        <v/>
      </c>
      <c r="AF1482" s="73">
        <f t="shared" si="75"/>
        <v>-4.9985179999999998</v>
      </c>
      <c r="AG1482" s="11" t="str">
        <f t="shared" si="76"/>
        <v/>
      </c>
      <c r="AH1482" s="11" t="str">
        <f t="shared" si="77"/>
        <v/>
      </c>
    </row>
    <row r="1483" spans="1:34" ht="14.25" customHeight="1">
      <c r="A1483" s="11">
        <v>1468</v>
      </c>
      <c r="B1483" s="66"/>
      <c r="C1483" s="67"/>
      <c r="D1483" s="67"/>
      <c r="E1483" s="67"/>
      <c r="F1483" s="67"/>
      <c r="G1483" s="67" t="s">
        <v>35</v>
      </c>
      <c r="H1483" s="67">
        <v>45835</v>
      </c>
      <c r="I1483" s="6" t="s">
        <v>2109</v>
      </c>
      <c r="J1483" s="9">
        <v>8398101726</v>
      </c>
      <c r="K1483" s="68">
        <v>45808</v>
      </c>
      <c r="L1483" s="68">
        <v>46022</v>
      </c>
      <c r="M1483" s="68">
        <v>46203</v>
      </c>
      <c r="N1483" s="69">
        <f t="shared" si="65"/>
        <v>-19</v>
      </c>
      <c r="O1483" s="69">
        <f t="shared" si="66"/>
        <v>-1</v>
      </c>
      <c r="P1483" s="70">
        <v>88</v>
      </c>
      <c r="Q1483" s="70">
        <v>70</v>
      </c>
      <c r="R1483" s="70">
        <v>69</v>
      </c>
      <c r="S1483" s="68" t="str">
        <f t="shared" si="67"/>
        <v/>
      </c>
      <c r="T1483" s="68"/>
      <c r="U1483" s="95"/>
      <c r="V1483" s="68"/>
      <c r="W1483" s="9"/>
      <c r="X1483" s="10"/>
      <c r="Y1483" s="71">
        <f t="shared" si="68"/>
        <v>70</v>
      </c>
      <c r="Z1483" s="73">
        <f t="shared" si="69"/>
        <v>69</v>
      </c>
      <c r="AA1483" s="11" t="str">
        <f t="shared" si="70"/>
        <v/>
      </c>
      <c r="AB1483" s="73">
        <f t="shared" si="71"/>
        <v>-19</v>
      </c>
      <c r="AC1483" s="11" t="str">
        <f t="shared" si="72"/>
        <v/>
      </c>
      <c r="AD1483" s="73">
        <f t="shared" si="73"/>
        <v>-1</v>
      </c>
      <c r="AE1483" s="11" t="str">
        <f t="shared" si="74"/>
        <v/>
      </c>
      <c r="AF1483" s="73">
        <f t="shared" si="75"/>
        <v>-18.998517</v>
      </c>
      <c r="AG1483" s="11" t="str">
        <f t="shared" si="76"/>
        <v/>
      </c>
      <c r="AH1483" s="73">
        <f t="shared" si="77"/>
        <v>-0.99851699999999999</v>
      </c>
    </row>
    <row r="1484" spans="1:34" ht="14.25" customHeight="1">
      <c r="A1484" s="11">
        <v>1469</v>
      </c>
      <c r="B1484" s="66" t="s">
        <v>35</v>
      </c>
      <c r="C1484" s="67">
        <v>44427</v>
      </c>
      <c r="D1484" s="67"/>
      <c r="E1484" s="67"/>
      <c r="F1484" s="67"/>
      <c r="G1484" s="67" t="s">
        <v>35</v>
      </c>
      <c r="H1484" s="67">
        <v>44539</v>
      </c>
      <c r="I1484" s="6" t="s">
        <v>2110</v>
      </c>
      <c r="J1484" s="9">
        <v>8398601508</v>
      </c>
      <c r="K1484" s="68">
        <v>44408</v>
      </c>
      <c r="L1484" s="68">
        <v>46022</v>
      </c>
      <c r="M1484" s="68">
        <v>46203</v>
      </c>
      <c r="N1484" s="69">
        <f t="shared" si="65"/>
        <v>4</v>
      </c>
      <c r="O1484" s="69">
        <f t="shared" si="66"/>
        <v>1</v>
      </c>
      <c r="P1484" s="70">
        <v>3</v>
      </c>
      <c r="Q1484" s="70">
        <v>6</v>
      </c>
      <c r="R1484" s="70">
        <v>7</v>
      </c>
      <c r="S1484" s="68" t="str">
        <f t="shared" si="67"/>
        <v/>
      </c>
      <c r="T1484" s="68"/>
      <c r="U1484" s="95"/>
      <c r="V1484" s="68"/>
      <c r="W1484" s="9"/>
      <c r="X1484" s="10"/>
      <c r="Y1484" s="71">
        <f t="shared" si="68"/>
        <v>6</v>
      </c>
      <c r="Z1484" s="73">
        <f t="shared" si="69"/>
        <v>7</v>
      </c>
      <c r="AA1484" s="73">
        <f t="shared" si="70"/>
        <v>4</v>
      </c>
      <c r="AB1484" s="73">
        <f t="shared" si="71"/>
        <v>4</v>
      </c>
      <c r="AC1484" s="73">
        <f t="shared" si="72"/>
        <v>1</v>
      </c>
      <c r="AD1484" s="73">
        <f t="shared" si="73"/>
        <v>1</v>
      </c>
      <c r="AE1484" s="73">
        <f t="shared" si="74"/>
        <v>4.0014839999999996</v>
      </c>
      <c r="AF1484" s="73">
        <f t="shared" si="75"/>
        <v>4.0014839999999996</v>
      </c>
      <c r="AG1484" s="73">
        <f t="shared" si="76"/>
        <v>1.001484</v>
      </c>
      <c r="AH1484" s="73">
        <f t="shared" si="77"/>
        <v>1.001484</v>
      </c>
    </row>
    <row r="1485" spans="1:34" ht="14.25" customHeight="1">
      <c r="A1485" s="11">
        <v>1470</v>
      </c>
      <c r="B1485" s="66"/>
      <c r="C1485" s="67"/>
      <c r="D1485" s="67"/>
      <c r="E1485" s="67"/>
      <c r="F1485" s="67"/>
      <c r="G1485" s="67" t="s">
        <v>35</v>
      </c>
      <c r="H1485" s="67">
        <v>44126</v>
      </c>
      <c r="I1485" s="6" t="s">
        <v>2111</v>
      </c>
      <c r="J1485" s="9">
        <v>8408102142</v>
      </c>
      <c r="K1485" s="68">
        <v>44104</v>
      </c>
      <c r="L1485" s="68">
        <v>46022</v>
      </c>
      <c r="M1485" s="68">
        <v>46203</v>
      </c>
      <c r="N1485" s="69">
        <f t="shared" si="65"/>
        <v>22</v>
      </c>
      <c r="O1485" s="69">
        <f t="shared" si="66"/>
        <v>1</v>
      </c>
      <c r="P1485" s="70">
        <v>6</v>
      </c>
      <c r="Q1485" s="70">
        <v>27</v>
      </c>
      <c r="R1485" s="70">
        <v>28</v>
      </c>
      <c r="S1485" s="68" t="str">
        <f t="shared" si="67"/>
        <v/>
      </c>
      <c r="T1485" s="68"/>
      <c r="U1485" s="95"/>
      <c r="V1485" s="68"/>
      <c r="W1485" s="9"/>
      <c r="X1485" s="10"/>
      <c r="Y1485" s="71">
        <f t="shared" si="68"/>
        <v>27</v>
      </c>
      <c r="Z1485" s="73">
        <f t="shared" si="69"/>
        <v>28</v>
      </c>
      <c r="AA1485" s="11" t="str">
        <f t="shared" si="70"/>
        <v/>
      </c>
      <c r="AB1485" s="73">
        <f t="shared" si="71"/>
        <v>22</v>
      </c>
      <c r="AC1485" s="11" t="str">
        <f t="shared" si="72"/>
        <v/>
      </c>
      <c r="AD1485" s="73">
        <f t="shared" si="73"/>
        <v>1</v>
      </c>
      <c r="AE1485" s="11" t="str">
        <f t="shared" si="74"/>
        <v/>
      </c>
      <c r="AF1485" s="73">
        <f t="shared" si="75"/>
        <v>22.001484999999999</v>
      </c>
      <c r="AG1485" s="11" t="str">
        <f t="shared" si="76"/>
        <v/>
      </c>
      <c r="AH1485" s="73">
        <f t="shared" si="77"/>
        <v>1.001485</v>
      </c>
    </row>
    <row r="1486" spans="1:34" ht="14.25" customHeight="1">
      <c r="A1486" s="11">
        <v>1471</v>
      </c>
      <c r="B1486" s="66" t="s">
        <v>35</v>
      </c>
      <c r="C1486" s="67">
        <v>44896</v>
      </c>
      <c r="D1486" s="67"/>
      <c r="E1486" s="67"/>
      <c r="F1486" s="67"/>
      <c r="G1486" s="67"/>
      <c r="H1486" s="67"/>
      <c r="I1486" s="6" t="s">
        <v>2112</v>
      </c>
      <c r="J1486" s="9">
        <v>8418801897</v>
      </c>
      <c r="K1486" s="68">
        <v>44895</v>
      </c>
      <c r="L1486" s="68">
        <v>46022</v>
      </c>
      <c r="M1486" s="68">
        <v>46203</v>
      </c>
      <c r="N1486" s="69">
        <f t="shared" si="65"/>
        <v>-5</v>
      </c>
      <c r="O1486" s="69">
        <f t="shared" si="66"/>
        <v>1</v>
      </c>
      <c r="P1486" s="70">
        <v>11</v>
      </c>
      <c r="Q1486" s="70">
        <v>5</v>
      </c>
      <c r="R1486" s="70">
        <v>6</v>
      </c>
      <c r="S1486" s="68" t="str">
        <f t="shared" si="67"/>
        <v/>
      </c>
      <c r="T1486" s="68"/>
      <c r="U1486" s="95"/>
      <c r="V1486" s="68"/>
      <c r="W1486" s="9"/>
      <c r="X1486" s="10"/>
      <c r="Y1486" s="71">
        <f t="shared" si="68"/>
        <v>5</v>
      </c>
      <c r="Z1486" s="73">
        <f t="shared" si="69"/>
        <v>6</v>
      </c>
      <c r="AA1486" s="73">
        <f t="shared" si="70"/>
        <v>-5</v>
      </c>
      <c r="AB1486" s="11" t="str">
        <f t="shared" si="71"/>
        <v/>
      </c>
      <c r="AC1486" s="73">
        <f t="shared" si="72"/>
        <v>1</v>
      </c>
      <c r="AD1486" s="11" t="str">
        <f t="shared" si="73"/>
        <v/>
      </c>
      <c r="AE1486" s="73">
        <f t="shared" si="74"/>
        <v>-4.9985140000000001</v>
      </c>
      <c r="AF1486" s="11" t="str">
        <f t="shared" si="75"/>
        <v/>
      </c>
      <c r="AG1486" s="73">
        <f t="shared" si="76"/>
        <v>1.0014860000000001</v>
      </c>
      <c r="AH1486" s="11" t="str">
        <f t="shared" si="77"/>
        <v/>
      </c>
    </row>
    <row r="1487" spans="1:34" ht="14.25" customHeight="1">
      <c r="A1487" s="11">
        <v>1472</v>
      </c>
      <c r="B1487" s="66" t="s">
        <v>35</v>
      </c>
      <c r="C1487" s="67"/>
      <c r="D1487" s="67">
        <v>45146</v>
      </c>
      <c r="E1487" s="67"/>
      <c r="F1487" s="67"/>
      <c r="G1487" s="67" t="s">
        <v>35</v>
      </c>
      <c r="H1487" s="67">
        <v>45688</v>
      </c>
      <c r="I1487" s="6" t="s">
        <v>2113</v>
      </c>
      <c r="J1487" s="9">
        <v>8428601334</v>
      </c>
      <c r="K1487" s="68">
        <v>45138</v>
      </c>
      <c r="L1487" s="68">
        <v>46022</v>
      </c>
      <c r="M1487" s="68">
        <v>46203</v>
      </c>
      <c r="N1487" s="69">
        <f t="shared" si="65"/>
        <v>1</v>
      </c>
      <c r="O1487" s="69">
        <f t="shared" si="66"/>
        <v>0</v>
      </c>
      <c r="P1487" s="70">
        <v>6</v>
      </c>
      <c r="Q1487" s="70">
        <v>7</v>
      </c>
      <c r="R1487" s="70">
        <v>7</v>
      </c>
      <c r="S1487" s="68" t="str">
        <f t="shared" si="67"/>
        <v/>
      </c>
      <c r="T1487" s="68"/>
      <c r="U1487" s="95"/>
      <c r="V1487" s="68"/>
      <c r="W1487" s="9"/>
      <c r="X1487" s="10"/>
      <c r="Y1487" s="71">
        <f t="shared" si="68"/>
        <v>7</v>
      </c>
      <c r="Z1487" s="73">
        <f t="shared" si="69"/>
        <v>7</v>
      </c>
      <c r="AA1487" s="73">
        <f t="shared" si="70"/>
        <v>1</v>
      </c>
      <c r="AB1487" s="73">
        <f t="shared" si="71"/>
        <v>1</v>
      </c>
      <c r="AC1487" s="73">
        <f t="shared" si="72"/>
        <v>0</v>
      </c>
      <c r="AD1487" s="73">
        <f t="shared" si="73"/>
        <v>0</v>
      </c>
      <c r="AE1487" s="73">
        <f t="shared" si="74"/>
        <v>1.001487</v>
      </c>
      <c r="AF1487" s="73">
        <f t="shared" si="75"/>
        <v>1.001487</v>
      </c>
      <c r="AG1487" s="73">
        <f t="shared" si="76"/>
        <v>1.487E-3</v>
      </c>
      <c r="AH1487" s="73">
        <f t="shared" si="77"/>
        <v>1.487E-3</v>
      </c>
    </row>
    <row r="1488" spans="1:34" ht="14.25" customHeight="1">
      <c r="A1488" s="11">
        <v>1473</v>
      </c>
      <c r="B1488" s="66"/>
      <c r="C1488" s="67"/>
      <c r="D1488" s="67"/>
      <c r="E1488" s="67"/>
      <c r="F1488" s="67"/>
      <c r="G1488" s="67" t="s">
        <v>24</v>
      </c>
      <c r="H1488" s="67">
        <v>45084</v>
      </c>
      <c r="I1488" s="6" t="s">
        <v>2114</v>
      </c>
      <c r="J1488" s="9">
        <v>8448102673</v>
      </c>
      <c r="K1488" s="68">
        <v>45077</v>
      </c>
      <c r="L1488" s="68" t="s">
        <v>230</v>
      </c>
      <c r="M1488" s="68">
        <v>45260</v>
      </c>
      <c r="N1488" s="69">
        <f t="shared" si="65"/>
        <v>-1</v>
      </c>
      <c r="O1488" s="69" t="str">
        <f t="shared" si="66"/>
        <v>N/A</v>
      </c>
      <c r="P1488" s="70">
        <v>1</v>
      </c>
      <c r="Q1488" s="70"/>
      <c r="R1488" s="70">
        <v>0</v>
      </c>
      <c r="S1488" s="68">
        <f t="shared" si="67"/>
        <v>45260</v>
      </c>
      <c r="T1488" s="68">
        <v>45260</v>
      </c>
      <c r="U1488" s="95"/>
      <c r="V1488" s="68"/>
      <c r="W1488" s="9"/>
      <c r="X1488" s="10"/>
      <c r="Y1488" s="65" t="str">
        <f t="shared" si="68"/>
        <v/>
      </c>
      <c r="Z1488" s="11" t="str">
        <f t="shared" si="69"/>
        <v/>
      </c>
      <c r="AA1488" s="11" t="str">
        <f t="shared" si="70"/>
        <v/>
      </c>
      <c r="AB1488" s="73">
        <f t="shared" si="71"/>
        <v>-1</v>
      </c>
      <c r="AC1488" s="11" t="str">
        <f t="shared" si="72"/>
        <v/>
      </c>
      <c r="AD1488" s="11" t="str">
        <f t="shared" si="73"/>
        <v/>
      </c>
      <c r="AE1488" s="11" t="str">
        <f t="shared" si="74"/>
        <v/>
      </c>
      <c r="AF1488" s="73">
        <f t="shared" si="75"/>
        <v>-0.99851199999999996</v>
      </c>
      <c r="AG1488" s="11" t="str">
        <f t="shared" si="76"/>
        <v/>
      </c>
      <c r="AH1488" s="11" t="str">
        <f t="shared" si="77"/>
        <v/>
      </c>
    </row>
    <row r="1489" spans="1:34" ht="14.25" customHeight="1">
      <c r="A1489" s="11">
        <v>1474</v>
      </c>
      <c r="B1489" s="66"/>
      <c r="C1489" s="67"/>
      <c r="D1489" s="67"/>
      <c r="E1489" s="67"/>
      <c r="F1489" s="67"/>
      <c r="G1489" s="67" t="s">
        <v>35</v>
      </c>
      <c r="H1489" s="67">
        <v>45485</v>
      </c>
      <c r="I1489" s="6" t="s">
        <v>2115</v>
      </c>
      <c r="J1489" s="9">
        <v>8458802812</v>
      </c>
      <c r="K1489" s="68">
        <v>45473</v>
      </c>
      <c r="L1489" s="68">
        <v>46022</v>
      </c>
      <c r="M1489" s="68">
        <v>46203</v>
      </c>
      <c r="N1489" s="69">
        <f t="shared" si="65"/>
        <v>7</v>
      </c>
      <c r="O1489" s="69">
        <f t="shared" si="66"/>
        <v>3</v>
      </c>
      <c r="P1489" s="70">
        <v>3</v>
      </c>
      <c r="Q1489" s="70">
        <v>7</v>
      </c>
      <c r="R1489" s="70">
        <v>10</v>
      </c>
      <c r="S1489" s="68" t="str">
        <f t="shared" si="67"/>
        <v/>
      </c>
      <c r="T1489" s="68"/>
      <c r="U1489" s="95"/>
      <c r="V1489" s="68"/>
      <c r="W1489" s="9"/>
      <c r="X1489" s="10"/>
      <c r="Y1489" s="71">
        <f t="shared" si="68"/>
        <v>7</v>
      </c>
      <c r="Z1489" s="73">
        <f t="shared" si="69"/>
        <v>10</v>
      </c>
      <c r="AA1489" s="11" t="str">
        <f t="shared" si="70"/>
        <v/>
      </c>
      <c r="AB1489" s="73">
        <f t="shared" si="71"/>
        <v>7</v>
      </c>
      <c r="AC1489" s="11" t="str">
        <f t="shared" si="72"/>
        <v/>
      </c>
      <c r="AD1489" s="73">
        <f t="shared" si="73"/>
        <v>3</v>
      </c>
      <c r="AE1489" s="11" t="str">
        <f t="shared" si="74"/>
        <v/>
      </c>
      <c r="AF1489" s="73">
        <f t="shared" si="75"/>
        <v>7.0014890000000003</v>
      </c>
      <c r="AG1489" s="11" t="str">
        <f t="shared" si="76"/>
        <v/>
      </c>
      <c r="AH1489" s="73">
        <f t="shared" si="77"/>
        <v>3.0014889999999999</v>
      </c>
    </row>
    <row r="1490" spans="1:34" ht="14.25" customHeight="1">
      <c r="A1490" s="11">
        <v>1475</v>
      </c>
      <c r="B1490" s="66"/>
      <c r="C1490" s="67"/>
      <c r="D1490" s="67"/>
      <c r="E1490" s="67"/>
      <c r="F1490" s="67"/>
      <c r="G1490" s="67" t="s">
        <v>35</v>
      </c>
      <c r="H1490" s="67">
        <v>45698</v>
      </c>
      <c r="I1490" s="6" t="s">
        <v>2116</v>
      </c>
      <c r="J1490" s="9">
        <v>8468102378</v>
      </c>
      <c r="K1490" s="68">
        <v>45688</v>
      </c>
      <c r="L1490" s="68">
        <v>46022</v>
      </c>
      <c r="M1490" s="68">
        <v>46203</v>
      </c>
      <c r="N1490" s="69">
        <f t="shared" si="65"/>
        <v>9</v>
      </c>
      <c r="O1490" s="69">
        <f t="shared" si="66"/>
        <v>0</v>
      </c>
      <c r="P1490" s="70">
        <v>9</v>
      </c>
      <c r="Q1490" s="70">
        <v>18</v>
      </c>
      <c r="R1490" s="70">
        <v>18</v>
      </c>
      <c r="S1490" s="68" t="str">
        <f t="shared" si="67"/>
        <v/>
      </c>
      <c r="T1490" s="68"/>
      <c r="U1490" s="95"/>
      <c r="V1490" s="68"/>
      <c r="W1490" s="9"/>
      <c r="X1490" s="10"/>
      <c r="Y1490" s="71">
        <f t="shared" si="68"/>
        <v>18</v>
      </c>
      <c r="Z1490" s="73">
        <f t="shared" si="69"/>
        <v>18</v>
      </c>
      <c r="AA1490" s="11" t="str">
        <f t="shared" si="70"/>
        <v/>
      </c>
      <c r="AB1490" s="73">
        <f t="shared" si="71"/>
        <v>9</v>
      </c>
      <c r="AC1490" s="11" t="str">
        <f t="shared" si="72"/>
        <v/>
      </c>
      <c r="AD1490" s="73">
        <f t="shared" si="73"/>
        <v>0</v>
      </c>
      <c r="AE1490" s="11" t="str">
        <f t="shared" si="74"/>
        <v/>
      </c>
      <c r="AF1490" s="73">
        <f t="shared" si="75"/>
        <v>9.0014900000000004</v>
      </c>
      <c r="AG1490" s="11" t="str">
        <f t="shared" si="76"/>
        <v/>
      </c>
      <c r="AH1490" s="73">
        <f t="shared" si="77"/>
        <v>1.49E-3</v>
      </c>
    </row>
    <row r="1491" spans="1:34" ht="14.25" customHeight="1">
      <c r="A1491" s="11">
        <v>1476</v>
      </c>
      <c r="B1491" s="66"/>
      <c r="C1491" s="67"/>
      <c r="D1491" s="67"/>
      <c r="E1491" s="67"/>
      <c r="F1491" s="67"/>
      <c r="G1491" s="67" t="s">
        <v>35</v>
      </c>
      <c r="H1491" s="67">
        <v>45324</v>
      </c>
      <c r="I1491" s="6" t="s">
        <v>2117</v>
      </c>
      <c r="J1491" s="9">
        <v>8468603353</v>
      </c>
      <c r="K1491" s="68">
        <v>45322</v>
      </c>
      <c r="L1491" s="68">
        <v>46022</v>
      </c>
      <c r="M1491" s="68">
        <v>46203</v>
      </c>
      <c r="N1491" s="69">
        <f t="shared" si="65"/>
        <v>1</v>
      </c>
      <c r="O1491" s="69">
        <f t="shared" si="66"/>
        <v>0</v>
      </c>
      <c r="P1491" s="70">
        <v>0</v>
      </c>
      <c r="Q1491" s="70">
        <v>1</v>
      </c>
      <c r="R1491" s="70">
        <v>1</v>
      </c>
      <c r="S1491" s="68" t="str">
        <f t="shared" si="67"/>
        <v/>
      </c>
      <c r="T1491" s="68"/>
      <c r="U1491" s="95"/>
      <c r="V1491" s="68"/>
      <c r="W1491" s="9"/>
      <c r="X1491" s="10"/>
      <c r="Y1491" s="71">
        <f t="shared" si="68"/>
        <v>1</v>
      </c>
      <c r="Z1491" s="73">
        <f t="shared" si="69"/>
        <v>1</v>
      </c>
      <c r="AA1491" s="11" t="str">
        <f t="shared" si="70"/>
        <v/>
      </c>
      <c r="AB1491" s="73">
        <f t="shared" si="71"/>
        <v>1</v>
      </c>
      <c r="AC1491" s="11" t="str">
        <f t="shared" si="72"/>
        <v/>
      </c>
      <c r="AD1491" s="73">
        <f t="shared" si="73"/>
        <v>0</v>
      </c>
      <c r="AE1491" s="11" t="str">
        <f t="shared" si="74"/>
        <v/>
      </c>
      <c r="AF1491" s="73">
        <f t="shared" si="75"/>
        <v>1.0014909999999999</v>
      </c>
      <c r="AG1491" s="11" t="str">
        <f t="shared" si="76"/>
        <v/>
      </c>
      <c r="AH1491" s="73">
        <f t="shared" si="77"/>
        <v>1.4909999999999999E-3</v>
      </c>
    </row>
    <row r="1492" spans="1:34" ht="14.25" customHeight="1">
      <c r="A1492" s="11">
        <v>1477</v>
      </c>
      <c r="B1492" s="66"/>
      <c r="C1492" s="67"/>
      <c r="D1492" s="67"/>
      <c r="E1492" s="67"/>
      <c r="F1492" s="67"/>
      <c r="G1492" s="67" t="s">
        <v>35</v>
      </c>
      <c r="H1492" s="67">
        <v>44229</v>
      </c>
      <c r="I1492" s="6" t="s">
        <v>2118</v>
      </c>
      <c r="J1492" s="9">
        <v>8488701718</v>
      </c>
      <c r="K1492" s="68">
        <v>44227</v>
      </c>
      <c r="L1492" s="68">
        <v>46022</v>
      </c>
      <c r="M1492" s="68">
        <v>46203</v>
      </c>
      <c r="N1492" s="69">
        <f t="shared" si="65"/>
        <v>272</v>
      </c>
      <c r="O1492" s="69">
        <f t="shared" si="66"/>
        <v>14</v>
      </c>
      <c r="P1492" s="70">
        <v>9</v>
      </c>
      <c r="Q1492" s="70">
        <v>267</v>
      </c>
      <c r="R1492" s="70">
        <v>281</v>
      </c>
      <c r="S1492" s="68" t="str">
        <f t="shared" si="67"/>
        <v/>
      </c>
      <c r="T1492" s="68"/>
      <c r="U1492" s="95"/>
      <c r="V1492" s="68"/>
      <c r="W1492" s="9"/>
      <c r="X1492" s="10"/>
      <c r="Y1492" s="71">
        <f t="shared" si="68"/>
        <v>267</v>
      </c>
      <c r="Z1492" s="73">
        <f t="shared" si="69"/>
        <v>281</v>
      </c>
      <c r="AA1492" s="11" t="str">
        <f t="shared" si="70"/>
        <v/>
      </c>
      <c r="AB1492" s="73">
        <f t="shared" si="71"/>
        <v>272</v>
      </c>
      <c r="AC1492" s="11" t="str">
        <f t="shared" si="72"/>
        <v/>
      </c>
      <c r="AD1492" s="73">
        <f t="shared" si="73"/>
        <v>14</v>
      </c>
      <c r="AE1492" s="11" t="str">
        <f t="shared" si="74"/>
        <v/>
      </c>
      <c r="AF1492" s="73">
        <f t="shared" si="75"/>
        <v>272.00149199999998</v>
      </c>
      <c r="AG1492" s="11" t="str">
        <f t="shared" si="76"/>
        <v/>
      </c>
      <c r="AH1492" s="73">
        <f t="shared" si="77"/>
        <v>14.001492000000001</v>
      </c>
    </row>
    <row r="1493" spans="1:34" ht="14.25" customHeight="1">
      <c r="A1493" s="11">
        <v>1478</v>
      </c>
      <c r="B1493" s="66" t="s">
        <v>35</v>
      </c>
      <c r="C1493" s="67">
        <v>44713</v>
      </c>
      <c r="D1493" s="67"/>
      <c r="E1493" s="67"/>
      <c r="F1493" s="67"/>
      <c r="G1493" s="67"/>
      <c r="H1493" s="67"/>
      <c r="I1493" s="6" t="s">
        <v>2119</v>
      </c>
      <c r="J1493" s="9">
        <v>8498102246</v>
      </c>
      <c r="K1493" s="68">
        <v>44712</v>
      </c>
      <c r="L1493" s="68">
        <v>46022</v>
      </c>
      <c r="M1493" s="68">
        <v>46203</v>
      </c>
      <c r="N1493" s="69">
        <f t="shared" si="65"/>
        <v>1</v>
      </c>
      <c r="O1493" s="69">
        <f t="shared" si="66"/>
        <v>0</v>
      </c>
      <c r="P1493" s="70">
        <v>0</v>
      </c>
      <c r="Q1493" s="70">
        <v>1</v>
      </c>
      <c r="R1493" s="70">
        <v>1</v>
      </c>
      <c r="S1493" s="68" t="str">
        <f t="shared" si="67"/>
        <v/>
      </c>
      <c r="T1493" s="68"/>
      <c r="U1493" s="95"/>
      <c r="V1493" s="68"/>
      <c r="W1493" s="9"/>
      <c r="X1493" s="10"/>
      <c r="Y1493" s="71">
        <f t="shared" si="68"/>
        <v>1</v>
      </c>
      <c r="Z1493" s="73">
        <f t="shared" si="69"/>
        <v>1</v>
      </c>
      <c r="AA1493" s="73">
        <f t="shared" si="70"/>
        <v>1</v>
      </c>
      <c r="AB1493" s="11" t="str">
        <f t="shared" si="71"/>
        <v/>
      </c>
      <c r="AC1493" s="73">
        <f t="shared" si="72"/>
        <v>0</v>
      </c>
      <c r="AD1493" s="11" t="str">
        <f t="shared" si="73"/>
        <v/>
      </c>
      <c r="AE1493" s="73">
        <f t="shared" si="74"/>
        <v>1.001493</v>
      </c>
      <c r="AF1493" s="11" t="str">
        <f t="shared" si="75"/>
        <v/>
      </c>
      <c r="AG1493" s="73">
        <f t="shared" si="76"/>
        <v>1.493E-3</v>
      </c>
      <c r="AH1493" s="11" t="str">
        <f t="shared" si="77"/>
        <v/>
      </c>
    </row>
    <row r="1494" spans="1:34" ht="14.25" customHeight="1">
      <c r="A1494" s="11">
        <v>1479</v>
      </c>
      <c r="B1494" s="121" t="s">
        <v>24</v>
      </c>
      <c r="C1494" s="67">
        <v>45170</v>
      </c>
      <c r="D1494" s="67"/>
      <c r="E1494" s="67"/>
      <c r="F1494" s="67"/>
      <c r="G1494" s="67"/>
      <c r="H1494" s="67"/>
      <c r="I1494" s="6" t="s">
        <v>2120</v>
      </c>
      <c r="J1494" s="9">
        <v>8498601733</v>
      </c>
      <c r="K1494" s="68">
        <v>45169</v>
      </c>
      <c r="L1494" s="68">
        <v>46022</v>
      </c>
      <c r="M1494" s="68">
        <v>46112</v>
      </c>
      <c r="N1494" s="69">
        <f t="shared" si="65"/>
        <v>-7</v>
      </c>
      <c r="O1494" s="69">
        <f t="shared" si="66"/>
        <v>-1</v>
      </c>
      <c r="P1494" s="70">
        <v>7</v>
      </c>
      <c r="Q1494" s="70">
        <v>1</v>
      </c>
      <c r="R1494" s="70">
        <v>0</v>
      </c>
      <c r="S1494" s="68">
        <f t="shared" si="67"/>
        <v>46112</v>
      </c>
      <c r="T1494" s="68">
        <v>46112</v>
      </c>
      <c r="U1494" s="95"/>
      <c r="V1494" s="68"/>
      <c r="W1494" s="9"/>
      <c r="X1494" s="10"/>
      <c r="Y1494" s="71">
        <f t="shared" si="68"/>
        <v>1</v>
      </c>
      <c r="Z1494" s="73">
        <f t="shared" si="69"/>
        <v>0</v>
      </c>
      <c r="AA1494" s="73">
        <f t="shared" si="70"/>
        <v>-7</v>
      </c>
      <c r="AB1494" s="11" t="str">
        <f t="shared" si="71"/>
        <v/>
      </c>
      <c r="AC1494" s="73">
        <f t="shared" si="72"/>
        <v>-1</v>
      </c>
      <c r="AD1494" s="11" t="str">
        <f t="shared" si="73"/>
        <v/>
      </c>
      <c r="AE1494" s="73">
        <f t="shared" si="74"/>
        <v>-6.9985059999999999</v>
      </c>
      <c r="AF1494" s="11" t="str">
        <f t="shared" si="75"/>
        <v/>
      </c>
      <c r="AG1494" s="73">
        <f t="shared" si="76"/>
        <v>-0.998506</v>
      </c>
      <c r="AH1494" s="11" t="str">
        <f t="shared" si="77"/>
        <v/>
      </c>
    </row>
    <row r="1495" spans="1:34" ht="14.25" customHeight="1">
      <c r="A1495" s="11">
        <v>1480</v>
      </c>
      <c r="B1495" s="66"/>
      <c r="C1495" s="67"/>
      <c r="D1495" s="67"/>
      <c r="E1495" s="67"/>
      <c r="F1495" s="67"/>
      <c r="G1495" s="67" t="s">
        <v>35</v>
      </c>
      <c r="H1495" s="67">
        <v>45181</v>
      </c>
      <c r="I1495" s="6" t="s">
        <v>2121</v>
      </c>
      <c r="J1495" s="9">
        <v>8498702398</v>
      </c>
      <c r="K1495" s="68">
        <v>45169</v>
      </c>
      <c r="L1495" s="68">
        <v>46022</v>
      </c>
      <c r="M1495" s="68">
        <v>46203</v>
      </c>
      <c r="N1495" s="69">
        <f t="shared" si="65"/>
        <v>1</v>
      </c>
      <c r="O1495" s="69">
        <f t="shared" si="66"/>
        <v>-5</v>
      </c>
      <c r="P1495" s="70">
        <v>4</v>
      </c>
      <c r="Q1495" s="70">
        <v>10</v>
      </c>
      <c r="R1495" s="70">
        <v>5</v>
      </c>
      <c r="S1495" s="68" t="str">
        <f t="shared" si="67"/>
        <v/>
      </c>
      <c r="T1495" s="68"/>
      <c r="U1495" s="95"/>
      <c r="V1495" s="68"/>
      <c r="W1495" s="9"/>
      <c r="X1495" s="10"/>
      <c r="Y1495" s="71">
        <f t="shared" si="68"/>
        <v>10</v>
      </c>
      <c r="Z1495" s="73">
        <f t="shared" si="69"/>
        <v>5</v>
      </c>
      <c r="AA1495" s="11" t="str">
        <f t="shared" si="70"/>
        <v/>
      </c>
      <c r="AB1495" s="73">
        <f t="shared" si="71"/>
        <v>1</v>
      </c>
      <c r="AC1495" s="11" t="str">
        <f t="shared" si="72"/>
        <v/>
      </c>
      <c r="AD1495" s="73">
        <f t="shared" si="73"/>
        <v>-5</v>
      </c>
      <c r="AE1495" s="11" t="str">
        <f t="shared" si="74"/>
        <v/>
      </c>
      <c r="AF1495" s="73">
        <f t="shared" si="75"/>
        <v>1.001495</v>
      </c>
      <c r="AG1495" s="11" t="str">
        <f t="shared" si="76"/>
        <v/>
      </c>
      <c r="AH1495" s="73">
        <f t="shared" si="77"/>
        <v>-4.9985049999999998</v>
      </c>
    </row>
    <row r="1496" spans="1:34" ht="14.25" customHeight="1">
      <c r="A1496" s="11">
        <v>1481</v>
      </c>
      <c r="B1496" s="66"/>
      <c r="C1496" s="67"/>
      <c r="D1496" s="67"/>
      <c r="E1496" s="67"/>
      <c r="F1496" s="67"/>
      <c r="G1496" s="67" t="s">
        <v>35</v>
      </c>
      <c r="H1496" s="67">
        <v>44917</v>
      </c>
      <c r="I1496" s="6" t="s">
        <v>2122</v>
      </c>
      <c r="J1496" s="9">
        <v>8498802089</v>
      </c>
      <c r="K1496" s="68">
        <v>44895</v>
      </c>
      <c r="L1496" s="68">
        <v>46022</v>
      </c>
      <c r="M1496" s="68">
        <v>46203</v>
      </c>
      <c r="N1496" s="69">
        <f t="shared" si="65"/>
        <v>5</v>
      </c>
      <c r="O1496" s="69">
        <f t="shared" si="66"/>
        <v>0</v>
      </c>
      <c r="P1496" s="70">
        <v>2</v>
      </c>
      <c r="Q1496" s="70">
        <v>7</v>
      </c>
      <c r="R1496" s="70">
        <v>7</v>
      </c>
      <c r="S1496" s="68" t="str">
        <f t="shared" si="67"/>
        <v/>
      </c>
      <c r="T1496" s="68"/>
      <c r="U1496" s="95"/>
      <c r="V1496" s="68"/>
      <c r="W1496" s="9"/>
      <c r="X1496" s="10"/>
      <c r="Y1496" s="71">
        <f t="shared" si="68"/>
        <v>7</v>
      </c>
      <c r="Z1496" s="73">
        <f t="shared" si="69"/>
        <v>7</v>
      </c>
      <c r="AA1496" s="11" t="str">
        <f t="shared" si="70"/>
        <v/>
      </c>
      <c r="AB1496" s="73">
        <f t="shared" si="71"/>
        <v>5</v>
      </c>
      <c r="AC1496" s="11" t="str">
        <f t="shared" si="72"/>
        <v/>
      </c>
      <c r="AD1496" s="73">
        <f t="shared" si="73"/>
        <v>0</v>
      </c>
      <c r="AE1496" s="11" t="str">
        <f t="shared" si="74"/>
        <v/>
      </c>
      <c r="AF1496" s="73">
        <f t="shared" si="75"/>
        <v>5.0014960000000004</v>
      </c>
      <c r="AG1496" s="11" t="str">
        <f t="shared" si="76"/>
        <v/>
      </c>
      <c r="AH1496" s="73">
        <f t="shared" si="77"/>
        <v>1.4959999999999999E-3</v>
      </c>
    </row>
    <row r="1497" spans="1:34" ht="14.25" customHeight="1">
      <c r="A1497" s="11">
        <v>1482</v>
      </c>
      <c r="B1497" s="66"/>
      <c r="C1497" s="67"/>
      <c r="D1497" s="67"/>
      <c r="E1497" s="67"/>
      <c r="F1497" s="67"/>
      <c r="G1497" s="67" t="s">
        <v>35</v>
      </c>
      <c r="H1497" s="67">
        <v>42356</v>
      </c>
      <c r="I1497" s="6" t="s">
        <v>2123</v>
      </c>
      <c r="J1497" s="9">
        <v>8508100082</v>
      </c>
      <c r="K1497" s="68">
        <v>42338</v>
      </c>
      <c r="L1497" s="68">
        <v>46022</v>
      </c>
      <c r="M1497" s="68">
        <v>46203</v>
      </c>
      <c r="N1497" s="69">
        <f t="shared" si="65"/>
        <v>61</v>
      </c>
      <c r="O1497" s="69">
        <f t="shared" si="66"/>
        <v>3</v>
      </c>
      <c r="P1497" s="70">
        <v>4</v>
      </c>
      <c r="Q1497" s="70">
        <v>62</v>
      </c>
      <c r="R1497" s="70">
        <v>65</v>
      </c>
      <c r="S1497" s="68" t="str">
        <f t="shared" si="67"/>
        <v/>
      </c>
      <c r="T1497" s="68"/>
      <c r="U1497" s="95"/>
      <c r="V1497" s="68"/>
      <c r="W1497" s="9"/>
      <c r="X1497" s="10"/>
      <c r="Y1497" s="71">
        <f t="shared" si="68"/>
        <v>62</v>
      </c>
      <c r="Z1497" s="73">
        <f t="shared" si="69"/>
        <v>65</v>
      </c>
      <c r="AA1497" s="11" t="str">
        <f t="shared" si="70"/>
        <v/>
      </c>
      <c r="AB1497" s="73">
        <f t="shared" si="71"/>
        <v>61</v>
      </c>
      <c r="AC1497" s="11" t="str">
        <f t="shared" si="72"/>
        <v/>
      </c>
      <c r="AD1497" s="73">
        <f t="shared" si="73"/>
        <v>3</v>
      </c>
      <c r="AE1497" s="11" t="str">
        <f t="shared" si="74"/>
        <v/>
      </c>
      <c r="AF1497" s="73">
        <f t="shared" si="75"/>
        <v>61.001497000000001</v>
      </c>
      <c r="AG1497" s="11" t="str">
        <f t="shared" si="76"/>
        <v/>
      </c>
      <c r="AH1497" s="73">
        <f t="shared" si="77"/>
        <v>3.0014970000000001</v>
      </c>
    </row>
    <row r="1498" spans="1:34" ht="14.25" customHeight="1">
      <c r="A1498" s="11">
        <v>1483</v>
      </c>
      <c r="B1498" s="66"/>
      <c r="C1498" s="67"/>
      <c r="D1498" s="67"/>
      <c r="E1498" s="67"/>
      <c r="F1498" s="67"/>
      <c r="G1498" s="67" t="s">
        <v>35</v>
      </c>
      <c r="H1498" s="67">
        <v>44658</v>
      </c>
      <c r="I1498" s="6" t="s">
        <v>2124</v>
      </c>
      <c r="J1498" s="9">
        <v>8508101913</v>
      </c>
      <c r="K1498" s="68">
        <v>44651</v>
      </c>
      <c r="L1498" s="68">
        <v>46022</v>
      </c>
      <c r="M1498" s="68">
        <v>46203</v>
      </c>
      <c r="N1498" s="69">
        <f t="shared" si="65"/>
        <v>4</v>
      </c>
      <c r="O1498" s="69">
        <f t="shared" si="66"/>
        <v>3</v>
      </c>
      <c r="P1498" s="70">
        <v>6</v>
      </c>
      <c r="Q1498" s="70">
        <v>7</v>
      </c>
      <c r="R1498" s="70">
        <v>10</v>
      </c>
      <c r="S1498" s="68" t="str">
        <f t="shared" si="67"/>
        <v/>
      </c>
      <c r="T1498" s="68"/>
      <c r="U1498" s="95"/>
      <c r="V1498" s="68"/>
      <c r="W1498" s="9"/>
      <c r="X1498" s="10"/>
      <c r="Y1498" s="71">
        <f t="shared" si="68"/>
        <v>7</v>
      </c>
      <c r="Z1498" s="73">
        <f t="shared" si="69"/>
        <v>10</v>
      </c>
      <c r="AA1498" s="11" t="str">
        <f t="shared" si="70"/>
        <v/>
      </c>
      <c r="AB1498" s="73">
        <f t="shared" si="71"/>
        <v>4</v>
      </c>
      <c r="AC1498" s="11" t="str">
        <f t="shared" si="72"/>
        <v/>
      </c>
      <c r="AD1498" s="73">
        <f t="shared" si="73"/>
        <v>3</v>
      </c>
      <c r="AE1498" s="11" t="str">
        <f t="shared" si="74"/>
        <v/>
      </c>
      <c r="AF1498" s="73">
        <f t="shared" si="75"/>
        <v>4.0014979999999998</v>
      </c>
      <c r="AG1498" s="11" t="str">
        <f t="shared" si="76"/>
        <v/>
      </c>
      <c r="AH1498" s="73">
        <f t="shared" si="77"/>
        <v>3.0014980000000002</v>
      </c>
    </row>
    <row r="1499" spans="1:34" ht="14.25" customHeight="1">
      <c r="A1499" s="11">
        <v>1484</v>
      </c>
      <c r="B1499" s="66"/>
      <c r="C1499" s="67"/>
      <c r="D1499" s="67"/>
      <c r="E1499" s="67"/>
      <c r="F1499" s="67"/>
      <c r="G1499" s="67" t="s">
        <v>35</v>
      </c>
      <c r="H1499" s="67">
        <v>44995</v>
      </c>
      <c r="I1499" s="6" t="s">
        <v>2125</v>
      </c>
      <c r="J1499" s="9">
        <v>8508701176</v>
      </c>
      <c r="K1499" s="68">
        <v>44985</v>
      </c>
      <c r="L1499" s="68">
        <v>46022</v>
      </c>
      <c r="M1499" s="68">
        <v>46203</v>
      </c>
      <c r="N1499" s="69">
        <f t="shared" si="65"/>
        <v>9</v>
      </c>
      <c r="O1499" s="69">
        <f t="shared" si="66"/>
        <v>1</v>
      </c>
      <c r="P1499" s="70">
        <v>4</v>
      </c>
      <c r="Q1499" s="70">
        <v>12</v>
      </c>
      <c r="R1499" s="70">
        <v>13</v>
      </c>
      <c r="S1499" s="68" t="str">
        <f t="shared" si="67"/>
        <v/>
      </c>
      <c r="T1499" s="68"/>
      <c r="U1499" s="95"/>
      <c r="V1499" s="68"/>
      <c r="W1499" s="9"/>
      <c r="X1499" s="10"/>
      <c r="Y1499" s="71">
        <f t="shared" si="68"/>
        <v>12</v>
      </c>
      <c r="Z1499" s="73">
        <f t="shared" si="69"/>
        <v>13</v>
      </c>
      <c r="AA1499" s="11" t="str">
        <f t="shared" si="70"/>
        <v/>
      </c>
      <c r="AB1499" s="73">
        <f t="shared" si="71"/>
        <v>9</v>
      </c>
      <c r="AC1499" s="11" t="str">
        <f t="shared" si="72"/>
        <v/>
      </c>
      <c r="AD1499" s="73">
        <f t="shared" si="73"/>
        <v>1</v>
      </c>
      <c r="AE1499" s="11" t="str">
        <f t="shared" si="74"/>
        <v/>
      </c>
      <c r="AF1499" s="73">
        <f t="shared" si="75"/>
        <v>9.0014990000000008</v>
      </c>
      <c r="AG1499" s="11" t="str">
        <f t="shared" si="76"/>
        <v/>
      </c>
      <c r="AH1499" s="73">
        <f t="shared" si="77"/>
        <v>1.0014989999999999</v>
      </c>
    </row>
    <row r="1500" spans="1:34" ht="14.25" customHeight="1">
      <c r="A1500" s="11">
        <v>1485</v>
      </c>
      <c r="B1500" s="66"/>
      <c r="C1500" s="67"/>
      <c r="D1500" s="67"/>
      <c r="E1500" s="67"/>
      <c r="F1500" s="67"/>
      <c r="G1500" s="67" t="s">
        <v>35</v>
      </c>
      <c r="H1500" s="67">
        <v>43159</v>
      </c>
      <c r="I1500" s="6" t="s">
        <v>2126</v>
      </c>
      <c r="J1500" s="9">
        <v>8508800679</v>
      </c>
      <c r="K1500" s="68">
        <v>43131</v>
      </c>
      <c r="L1500" s="68">
        <v>46022</v>
      </c>
      <c r="M1500" s="68">
        <v>46203</v>
      </c>
      <c r="N1500" s="69">
        <f t="shared" si="65"/>
        <v>75</v>
      </c>
      <c r="O1500" s="69">
        <f t="shared" si="66"/>
        <v>-6</v>
      </c>
      <c r="P1500" s="70">
        <v>0</v>
      </c>
      <c r="Q1500" s="70">
        <v>81</v>
      </c>
      <c r="R1500" s="70">
        <v>75</v>
      </c>
      <c r="S1500" s="68" t="str">
        <f t="shared" si="67"/>
        <v/>
      </c>
      <c r="T1500" s="68"/>
      <c r="U1500" s="95"/>
      <c r="V1500" s="68"/>
      <c r="W1500" s="9"/>
      <c r="X1500" s="10"/>
      <c r="Y1500" s="71">
        <f t="shared" si="68"/>
        <v>81</v>
      </c>
      <c r="Z1500" s="73">
        <f t="shared" si="69"/>
        <v>75</v>
      </c>
      <c r="AA1500" s="11" t="str">
        <f t="shared" si="70"/>
        <v/>
      </c>
      <c r="AB1500" s="73">
        <f t="shared" si="71"/>
        <v>75</v>
      </c>
      <c r="AC1500" s="11" t="str">
        <f t="shared" si="72"/>
        <v/>
      </c>
      <c r="AD1500" s="73">
        <f t="shared" si="73"/>
        <v>-6</v>
      </c>
      <c r="AE1500" s="11" t="str">
        <f t="shared" si="74"/>
        <v/>
      </c>
      <c r="AF1500" s="73">
        <f t="shared" si="75"/>
        <v>75.001499999999993</v>
      </c>
      <c r="AG1500" s="11" t="str">
        <f t="shared" si="76"/>
        <v/>
      </c>
      <c r="AH1500" s="73">
        <f t="shared" si="77"/>
        <v>-5.9984999999999999</v>
      </c>
    </row>
    <row r="1501" spans="1:34" ht="14.25" customHeight="1">
      <c r="A1501" s="11">
        <v>1486</v>
      </c>
      <c r="B1501" s="66"/>
      <c r="C1501" s="67"/>
      <c r="D1501" s="67"/>
      <c r="E1501" s="67"/>
      <c r="F1501" s="67"/>
      <c r="G1501" s="67" t="s">
        <v>35</v>
      </c>
      <c r="H1501" s="67">
        <v>45215</v>
      </c>
      <c r="I1501" s="6" t="s">
        <v>2127</v>
      </c>
      <c r="J1501" s="9">
        <v>8518600038</v>
      </c>
      <c r="K1501" s="68">
        <v>45199</v>
      </c>
      <c r="L1501" s="68">
        <v>46022</v>
      </c>
      <c r="M1501" s="68">
        <v>46203</v>
      </c>
      <c r="N1501" s="69">
        <f t="shared" si="65"/>
        <v>12</v>
      </c>
      <c r="O1501" s="69">
        <f t="shared" si="66"/>
        <v>7</v>
      </c>
      <c r="P1501" s="70">
        <v>19</v>
      </c>
      <c r="Q1501" s="70">
        <v>24</v>
      </c>
      <c r="R1501" s="70">
        <v>31</v>
      </c>
      <c r="S1501" s="68" t="str">
        <f t="shared" si="67"/>
        <v/>
      </c>
      <c r="T1501" s="68"/>
      <c r="U1501" s="95"/>
      <c r="V1501" s="68"/>
      <c r="W1501" s="9"/>
      <c r="X1501" s="10"/>
      <c r="Y1501" s="71">
        <f t="shared" si="68"/>
        <v>24</v>
      </c>
      <c r="Z1501" s="73">
        <f t="shared" si="69"/>
        <v>31</v>
      </c>
      <c r="AA1501" s="11" t="str">
        <f t="shared" si="70"/>
        <v/>
      </c>
      <c r="AB1501" s="73">
        <f t="shared" si="71"/>
        <v>12</v>
      </c>
      <c r="AC1501" s="11" t="str">
        <f t="shared" si="72"/>
        <v/>
      </c>
      <c r="AD1501" s="73">
        <f t="shared" si="73"/>
        <v>7</v>
      </c>
      <c r="AE1501" s="11" t="str">
        <f t="shared" si="74"/>
        <v/>
      </c>
      <c r="AF1501" s="73">
        <f t="shared" si="75"/>
        <v>12.001500999999999</v>
      </c>
      <c r="AG1501" s="11" t="str">
        <f t="shared" si="76"/>
        <v/>
      </c>
      <c r="AH1501" s="73">
        <f t="shared" si="77"/>
        <v>7.0015010000000002</v>
      </c>
    </row>
    <row r="1502" spans="1:34" ht="14.25" customHeight="1">
      <c r="A1502" s="11">
        <v>1487</v>
      </c>
      <c r="B1502" s="66" t="s">
        <v>24</v>
      </c>
      <c r="C1502" s="67">
        <v>42887</v>
      </c>
      <c r="D1502" s="67"/>
      <c r="E1502" s="67"/>
      <c r="F1502" s="67"/>
      <c r="G1502" s="67"/>
      <c r="H1502" s="67"/>
      <c r="I1502" s="6" t="s">
        <v>2128</v>
      </c>
      <c r="J1502" s="9">
        <v>8518700656</v>
      </c>
      <c r="K1502" s="68">
        <v>42886</v>
      </c>
      <c r="L1502" s="68" t="s">
        <v>230</v>
      </c>
      <c r="M1502" s="68">
        <v>43465</v>
      </c>
      <c r="N1502" s="69">
        <f t="shared" si="65"/>
        <v>0</v>
      </c>
      <c r="O1502" s="69" t="str">
        <f t="shared" si="66"/>
        <v>N/A</v>
      </c>
      <c r="P1502" s="70">
        <v>0</v>
      </c>
      <c r="Q1502" s="70"/>
      <c r="R1502" s="70">
        <v>0</v>
      </c>
      <c r="S1502" s="68">
        <f t="shared" si="67"/>
        <v>43451</v>
      </c>
      <c r="T1502" s="68">
        <v>43451</v>
      </c>
      <c r="U1502" s="95"/>
      <c r="V1502" s="68"/>
      <c r="W1502" s="9"/>
      <c r="X1502" s="10"/>
      <c r="Y1502" s="65" t="str">
        <f t="shared" si="68"/>
        <v/>
      </c>
      <c r="Z1502" s="11" t="str">
        <f t="shared" si="69"/>
        <v/>
      </c>
      <c r="AA1502" s="73">
        <f t="shared" si="70"/>
        <v>0</v>
      </c>
      <c r="AB1502" s="11" t="str">
        <f t="shared" si="71"/>
        <v/>
      </c>
      <c r="AC1502" s="11" t="str">
        <f t="shared" si="72"/>
        <v/>
      </c>
      <c r="AD1502" s="11" t="str">
        <f t="shared" si="73"/>
        <v/>
      </c>
      <c r="AE1502" s="73">
        <f t="shared" si="74"/>
        <v>1.5020000000000001E-3</v>
      </c>
      <c r="AF1502" s="11" t="str">
        <f t="shared" si="75"/>
        <v/>
      </c>
      <c r="AG1502" s="11" t="str">
        <f t="shared" si="76"/>
        <v/>
      </c>
      <c r="AH1502" s="11" t="str">
        <f t="shared" si="77"/>
        <v/>
      </c>
    </row>
    <row r="1503" spans="1:34" ht="14.25" customHeight="1">
      <c r="A1503" s="11">
        <v>1488</v>
      </c>
      <c r="B1503" s="66" t="s">
        <v>35</v>
      </c>
      <c r="C1503" s="67">
        <v>45839</v>
      </c>
      <c r="D1503" s="67"/>
      <c r="E1503" s="67">
        <v>45839</v>
      </c>
      <c r="F1503" s="67">
        <v>45532</v>
      </c>
      <c r="G1503" s="67" t="s">
        <v>35</v>
      </c>
      <c r="H1503" s="67">
        <v>45345</v>
      </c>
      <c r="I1503" s="6" t="s">
        <v>2129</v>
      </c>
      <c r="J1503" s="9">
        <v>8528603310</v>
      </c>
      <c r="K1503" s="68">
        <v>45322</v>
      </c>
      <c r="L1503" s="68">
        <v>46022</v>
      </c>
      <c r="M1503" s="68">
        <v>46203</v>
      </c>
      <c r="N1503" s="69">
        <f t="shared" si="65"/>
        <v>13</v>
      </c>
      <c r="O1503" s="69">
        <f t="shared" si="66"/>
        <v>-3</v>
      </c>
      <c r="P1503" s="70">
        <v>3</v>
      </c>
      <c r="Q1503" s="70">
        <v>19</v>
      </c>
      <c r="R1503" s="70">
        <v>16</v>
      </c>
      <c r="S1503" s="68" t="str">
        <f t="shared" si="67"/>
        <v/>
      </c>
      <c r="T1503" s="68"/>
      <c r="U1503" s="95"/>
      <c r="V1503" s="68"/>
      <c r="W1503" s="9"/>
      <c r="X1503" s="10"/>
      <c r="Y1503" s="71">
        <f t="shared" si="68"/>
        <v>19</v>
      </c>
      <c r="Z1503" s="73">
        <f t="shared" si="69"/>
        <v>16</v>
      </c>
      <c r="AA1503" s="73">
        <f t="shared" si="70"/>
        <v>13</v>
      </c>
      <c r="AB1503" s="73">
        <f t="shared" si="71"/>
        <v>13</v>
      </c>
      <c r="AC1503" s="73">
        <f t="shared" si="72"/>
        <v>-3</v>
      </c>
      <c r="AD1503" s="73">
        <f t="shared" si="73"/>
        <v>-3</v>
      </c>
      <c r="AE1503" s="73">
        <f t="shared" si="74"/>
        <v>13.001503</v>
      </c>
      <c r="AF1503" s="73">
        <f t="shared" si="75"/>
        <v>13.001503</v>
      </c>
      <c r="AG1503" s="73">
        <f t="shared" si="76"/>
        <v>-2.998497</v>
      </c>
      <c r="AH1503" s="73">
        <f t="shared" si="77"/>
        <v>-2.998497</v>
      </c>
    </row>
    <row r="1504" spans="1:34" ht="14.25" customHeight="1">
      <c r="A1504" s="11">
        <v>1489</v>
      </c>
      <c r="B1504" s="66" t="s">
        <v>35</v>
      </c>
      <c r="C1504" s="67">
        <v>44896</v>
      </c>
      <c r="D1504" s="67"/>
      <c r="E1504" s="67"/>
      <c r="F1504" s="67"/>
      <c r="G1504" s="67"/>
      <c r="H1504" s="67"/>
      <c r="I1504" s="6" t="s">
        <v>2130</v>
      </c>
      <c r="J1504" s="9">
        <v>8538602236</v>
      </c>
      <c r="K1504" s="68">
        <v>44895</v>
      </c>
      <c r="L1504" s="68">
        <v>46022</v>
      </c>
      <c r="M1504" s="68">
        <v>46203</v>
      </c>
      <c r="N1504" s="69">
        <f t="shared" si="65"/>
        <v>-3</v>
      </c>
      <c r="O1504" s="69">
        <f t="shared" si="66"/>
        <v>0</v>
      </c>
      <c r="P1504" s="70">
        <v>5</v>
      </c>
      <c r="Q1504" s="70">
        <v>2</v>
      </c>
      <c r="R1504" s="70">
        <v>2</v>
      </c>
      <c r="S1504" s="68" t="str">
        <f t="shared" si="67"/>
        <v/>
      </c>
      <c r="T1504" s="68"/>
      <c r="U1504" s="95"/>
      <c r="V1504" s="68"/>
      <c r="W1504" s="9"/>
      <c r="X1504" s="10"/>
      <c r="Y1504" s="71">
        <f t="shared" si="68"/>
        <v>2</v>
      </c>
      <c r="Z1504" s="73">
        <f t="shared" si="69"/>
        <v>2</v>
      </c>
      <c r="AA1504" s="73">
        <f t="shared" si="70"/>
        <v>-3</v>
      </c>
      <c r="AB1504" s="11" t="str">
        <f t="shared" si="71"/>
        <v/>
      </c>
      <c r="AC1504" s="73">
        <f t="shared" si="72"/>
        <v>0</v>
      </c>
      <c r="AD1504" s="11" t="str">
        <f t="shared" si="73"/>
        <v/>
      </c>
      <c r="AE1504" s="73">
        <f t="shared" si="74"/>
        <v>-2.9984959999999998</v>
      </c>
      <c r="AF1504" s="11" t="str">
        <f t="shared" si="75"/>
        <v/>
      </c>
      <c r="AG1504" s="73">
        <f t="shared" si="76"/>
        <v>1.5039999999999999E-3</v>
      </c>
      <c r="AH1504" s="11" t="str">
        <f t="shared" si="77"/>
        <v/>
      </c>
    </row>
    <row r="1505" spans="1:34" ht="14.25" customHeight="1">
      <c r="A1505" s="11">
        <v>1490</v>
      </c>
      <c r="B1505" s="66"/>
      <c r="C1505" s="67"/>
      <c r="D1505" s="67"/>
      <c r="E1505" s="67"/>
      <c r="F1505" s="67"/>
      <c r="G1505" s="124" t="s">
        <v>24</v>
      </c>
      <c r="H1505" s="67">
        <v>44615</v>
      </c>
      <c r="I1505" s="6" t="s">
        <v>2131</v>
      </c>
      <c r="J1505" s="94">
        <v>8548802290</v>
      </c>
      <c r="K1505" s="68">
        <v>44592</v>
      </c>
      <c r="L1505" s="68">
        <v>46022</v>
      </c>
      <c r="M1505" s="68">
        <v>46173</v>
      </c>
      <c r="N1505" s="69">
        <f t="shared" si="65"/>
        <v>0</v>
      </c>
      <c r="O1505" s="69">
        <f t="shared" si="66"/>
        <v>0</v>
      </c>
      <c r="P1505" s="78">
        <v>0</v>
      </c>
      <c r="Q1505" s="78">
        <v>0</v>
      </c>
      <c r="R1505" s="78">
        <v>0</v>
      </c>
      <c r="S1505" s="68">
        <f t="shared" si="67"/>
        <v>46155</v>
      </c>
      <c r="T1505" s="68">
        <v>46155</v>
      </c>
      <c r="U1505" s="95"/>
      <c r="V1505" s="68"/>
      <c r="W1505" s="6"/>
      <c r="X1505" s="10" t="s">
        <v>2132</v>
      </c>
      <c r="Y1505" s="71">
        <f t="shared" si="68"/>
        <v>0</v>
      </c>
      <c r="Z1505" s="73">
        <f t="shared" si="69"/>
        <v>0</v>
      </c>
      <c r="AA1505" s="11" t="str">
        <f t="shared" si="70"/>
        <v/>
      </c>
      <c r="AB1505" s="73">
        <f t="shared" si="71"/>
        <v>0</v>
      </c>
      <c r="AC1505" s="11" t="str">
        <f t="shared" si="72"/>
        <v/>
      </c>
      <c r="AD1505" s="73">
        <f t="shared" si="73"/>
        <v>0</v>
      </c>
      <c r="AE1505" s="11" t="str">
        <f t="shared" si="74"/>
        <v/>
      </c>
      <c r="AF1505" s="73">
        <f t="shared" si="75"/>
        <v>1.505E-3</v>
      </c>
      <c r="AG1505" s="11" t="str">
        <f t="shared" si="76"/>
        <v/>
      </c>
      <c r="AH1505" s="73">
        <f t="shared" si="77"/>
        <v>1.505E-3</v>
      </c>
    </row>
    <row r="1506" spans="1:34" ht="14.25" customHeight="1">
      <c r="A1506" s="11">
        <v>1491</v>
      </c>
      <c r="B1506" s="66"/>
      <c r="C1506" s="67"/>
      <c r="D1506" s="67"/>
      <c r="E1506" s="67"/>
      <c r="F1506" s="67"/>
      <c r="G1506" s="67" t="s">
        <v>35</v>
      </c>
      <c r="H1506" s="67">
        <v>43567</v>
      </c>
      <c r="I1506" s="6" t="s">
        <v>2133</v>
      </c>
      <c r="J1506" s="9">
        <v>8558100729</v>
      </c>
      <c r="K1506" s="68">
        <v>43555</v>
      </c>
      <c r="L1506" s="68">
        <v>46022</v>
      </c>
      <c r="M1506" s="68">
        <v>46203</v>
      </c>
      <c r="N1506" s="69">
        <f t="shared" si="65"/>
        <v>51</v>
      </c>
      <c r="O1506" s="69">
        <f t="shared" si="66"/>
        <v>9</v>
      </c>
      <c r="P1506" s="70">
        <v>7</v>
      </c>
      <c r="Q1506" s="70">
        <v>49</v>
      </c>
      <c r="R1506" s="70">
        <v>58</v>
      </c>
      <c r="S1506" s="68" t="str">
        <f t="shared" si="67"/>
        <v/>
      </c>
      <c r="T1506" s="68"/>
      <c r="U1506" s="95"/>
      <c r="V1506" s="68"/>
      <c r="W1506" s="9"/>
      <c r="X1506" s="10"/>
      <c r="Y1506" s="71">
        <f t="shared" si="68"/>
        <v>49</v>
      </c>
      <c r="Z1506" s="73">
        <f t="shared" si="69"/>
        <v>58</v>
      </c>
      <c r="AA1506" s="11" t="str">
        <f t="shared" si="70"/>
        <v/>
      </c>
      <c r="AB1506" s="73">
        <f t="shared" si="71"/>
        <v>51</v>
      </c>
      <c r="AC1506" s="11" t="str">
        <f t="shared" si="72"/>
        <v/>
      </c>
      <c r="AD1506" s="73">
        <f t="shared" si="73"/>
        <v>9</v>
      </c>
      <c r="AE1506" s="11" t="str">
        <f t="shared" si="74"/>
        <v/>
      </c>
      <c r="AF1506" s="73">
        <f t="shared" si="75"/>
        <v>51.001505999999999</v>
      </c>
      <c r="AG1506" s="11" t="str">
        <f t="shared" si="76"/>
        <v/>
      </c>
      <c r="AH1506" s="73">
        <f t="shared" si="77"/>
        <v>9.0015059999999991</v>
      </c>
    </row>
    <row r="1507" spans="1:34" ht="14.25" customHeight="1">
      <c r="A1507" s="11">
        <v>1492</v>
      </c>
      <c r="B1507" s="66"/>
      <c r="C1507" s="67"/>
      <c r="D1507" s="67"/>
      <c r="E1507" s="67"/>
      <c r="F1507" s="67"/>
      <c r="G1507" s="67" t="s">
        <v>35</v>
      </c>
      <c r="H1507" s="67">
        <v>43145</v>
      </c>
      <c r="I1507" s="6" t="s">
        <v>2134</v>
      </c>
      <c r="J1507" s="9">
        <v>8558800368</v>
      </c>
      <c r="K1507" s="68">
        <v>43131</v>
      </c>
      <c r="L1507" s="68">
        <v>46022</v>
      </c>
      <c r="M1507" s="68">
        <v>46203</v>
      </c>
      <c r="N1507" s="69">
        <f t="shared" si="65"/>
        <v>-9</v>
      </c>
      <c r="O1507" s="69">
        <f t="shared" si="66"/>
        <v>0</v>
      </c>
      <c r="P1507" s="70">
        <v>12</v>
      </c>
      <c r="Q1507" s="70">
        <v>3</v>
      </c>
      <c r="R1507" s="70">
        <v>3</v>
      </c>
      <c r="S1507" s="68" t="str">
        <f t="shared" si="67"/>
        <v/>
      </c>
      <c r="T1507" s="68"/>
      <c r="U1507" s="95"/>
      <c r="V1507" s="68"/>
      <c r="W1507" s="9"/>
      <c r="X1507" s="10"/>
      <c r="Y1507" s="71">
        <f t="shared" si="68"/>
        <v>3</v>
      </c>
      <c r="Z1507" s="73">
        <f t="shared" si="69"/>
        <v>3</v>
      </c>
      <c r="AA1507" s="11" t="str">
        <f t="shared" si="70"/>
        <v/>
      </c>
      <c r="AB1507" s="73">
        <f t="shared" si="71"/>
        <v>-9</v>
      </c>
      <c r="AC1507" s="11" t="str">
        <f t="shared" si="72"/>
        <v/>
      </c>
      <c r="AD1507" s="73">
        <f t="shared" si="73"/>
        <v>0</v>
      </c>
      <c r="AE1507" s="11" t="str">
        <f t="shared" si="74"/>
        <v/>
      </c>
      <c r="AF1507" s="73">
        <f t="shared" si="75"/>
        <v>-8.9984929999999999</v>
      </c>
      <c r="AG1507" s="11" t="str">
        <f t="shared" si="76"/>
        <v/>
      </c>
      <c r="AH1507" s="73">
        <f t="shared" si="77"/>
        <v>1.5070000000000001E-3</v>
      </c>
    </row>
    <row r="1508" spans="1:34" ht="14.25" customHeight="1">
      <c r="A1508" s="11">
        <v>1493</v>
      </c>
      <c r="B1508" s="66"/>
      <c r="C1508" s="67"/>
      <c r="D1508" s="67"/>
      <c r="E1508" s="67"/>
      <c r="F1508" s="67"/>
      <c r="G1508" s="67" t="s">
        <v>24</v>
      </c>
      <c r="H1508" s="67">
        <v>43364</v>
      </c>
      <c r="I1508" s="6" t="s">
        <v>2135</v>
      </c>
      <c r="J1508" s="9">
        <v>8558801009</v>
      </c>
      <c r="K1508" s="68">
        <v>43343</v>
      </c>
      <c r="L1508" s="68" t="s">
        <v>230</v>
      </c>
      <c r="M1508" s="68">
        <v>45535</v>
      </c>
      <c r="N1508" s="69">
        <f t="shared" si="65"/>
        <v>0</v>
      </c>
      <c r="O1508" s="69" t="str">
        <f t="shared" si="66"/>
        <v>N/A</v>
      </c>
      <c r="P1508" s="70">
        <v>0</v>
      </c>
      <c r="Q1508" s="70"/>
      <c r="R1508" s="70">
        <v>0</v>
      </c>
      <c r="S1508" s="68">
        <f t="shared" si="67"/>
        <v>45527</v>
      </c>
      <c r="T1508" s="68">
        <v>45527</v>
      </c>
      <c r="U1508" s="95"/>
      <c r="V1508" s="68"/>
      <c r="W1508" s="9"/>
      <c r="X1508" s="10"/>
      <c r="Y1508" s="65" t="str">
        <f t="shared" si="68"/>
        <v/>
      </c>
      <c r="Z1508" s="11" t="str">
        <f t="shared" si="69"/>
        <v/>
      </c>
      <c r="AA1508" s="11" t="str">
        <f t="shared" si="70"/>
        <v/>
      </c>
      <c r="AB1508" s="73">
        <f t="shared" si="71"/>
        <v>0</v>
      </c>
      <c r="AC1508" s="11" t="str">
        <f t="shared" si="72"/>
        <v/>
      </c>
      <c r="AD1508" s="11" t="str">
        <f t="shared" si="73"/>
        <v/>
      </c>
      <c r="AE1508" s="11" t="str">
        <f t="shared" si="74"/>
        <v/>
      </c>
      <c r="AF1508" s="73">
        <f t="shared" si="75"/>
        <v>1.508E-3</v>
      </c>
      <c r="AG1508" s="11" t="str">
        <f t="shared" si="76"/>
        <v/>
      </c>
      <c r="AH1508" s="11" t="str">
        <f t="shared" si="77"/>
        <v/>
      </c>
    </row>
    <row r="1509" spans="1:34" ht="14.25" customHeight="1">
      <c r="A1509" s="11">
        <v>1494</v>
      </c>
      <c r="B1509" s="66"/>
      <c r="C1509" s="67"/>
      <c r="D1509" s="67"/>
      <c r="E1509" s="67"/>
      <c r="F1509" s="67"/>
      <c r="G1509" s="67" t="s">
        <v>35</v>
      </c>
      <c r="H1509" s="67">
        <v>44110</v>
      </c>
      <c r="I1509" s="6" t="s">
        <v>2136</v>
      </c>
      <c r="J1509" s="9">
        <v>8558801203</v>
      </c>
      <c r="K1509" s="68">
        <v>44104</v>
      </c>
      <c r="L1509" s="68">
        <v>46022</v>
      </c>
      <c r="M1509" s="68">
        <v>46203</v>
      </c>
      <c r="N1509" s="69">
        <f t="shared" si="65"/>
        <v>7</v>
      </c>
      <c r="O1509" s="69">
        <f t="shared" si="66"/>
        <v>0</v>
      </c>
      <c r="P1509" s="70">
        <v>1</v>
      </c>
      <c r="Q1509" s="70">
        <v>8</v>
      </c>
      <c r="R1509" s="70">
        <v>8</v>
      </c>
      <c r="S1509" s="68" t="str">
        <f t="shared" si="67"/>
        <v/>
      </c>
      <c r="T1509" s="68"/>
      <c r="U1509" s="95"/>
      <c r="V1509" s="68"/>
      <c r="W1509" s="9"/>
      <c r="X1509" s="10"/>
      <c r="Y1509" s="71">
        <f t="shared" si="68"/>
        <v>8</v>
      </c>
      <c r="Z1509" s="73">
        <f t="shared" si="69"/>
        <v>8</v>
      </c>
      <c r="AA1509" s="11" t="str">
        <f t="shared" si="70"/>
        <v/>
      </c>
      <c r="AB1509" s="73">
        <f t="shared" si="71"/>
        <v>7</v>
      </c>
      <c r="AC1509" s="11" t="str">
        <f t="shared" si="72"/>
        <v/>
      </c>
      <c r="AD1509" s="73">
        <f t="shared" si="73"/>
        <v>0</v>
      </c>
      <c r="AE1509" s="11" t="str">
        <f t="shared" si="74"/>
        <v/>
      </c>
      <c r="AF1509" s="73">
        <f t="shared" si="75"/>
        <v>7.0015090000000004</v>
      </c>
      <c r="AG1509" s="11" t="str">
        <f t="shared" si="76"/>
        <v/>
      </c>
      <c r="AH1509" s="73">
        <f t="shared" si="77"/>
        <v>1.5089999999999999E-3</v>
      </c>
    </row>
    <row r="1510" spans="1:34" ht="14.25" customHeight="1">
      <c r="A1510" s="11">
        <v>1495</v>
      </c>
      <c r="B1510" s="66" t="s">
        <v>35</v>
      </c>
      <c r="C1510" s="67"/>
      <c r="D1510" s="67"/>
      <c r="E1510" s="67">
        <v>45944</v>
      </c>
      <c r="F1510" s="67"/>
      <c r="G1510" s="67" t="s">
        <v>35</v>
      </c>
      <c r="H1510" s="67">
        <v>44309</v>
      </c>
      <c r="I1510" s="6" t="s">
        <v>2137</v>
      </c>
      <c r="J1510" s="9">
        <v>8558801407</v>
      </c>
      <c r="K1510" s="68">
        <v>44286</v>
      </c>
      <c r="L1510" s="68">
        <v>46022</v>
      </c>
      <c r="M1510" s="68">
        <v>46203</v>
      </c>
      <c r="N1510" s="69">
        <f t="shared" si="65"/>
        <v>6</v>
      </c>
      <c r="O1510" s="69">
        <f t="shared" si="66"/>
        <v>5</v>
      </c>
      <c r="P1510" s="70">
        <v>1</v>
      </c>
      <c r="Q1510" s="70">
        <v>2</v>
      </c>
      <c r="R1510" s="70">
        <v>7</v>
      </c>
      <c r="S1510" s="68" t="str">
        <f t="shared" si="67"/>
        <v/>
      </c>
      <c r="T1510" s="68"/>
      <c r="U1510" s="95"/>
      <c r="V1510" s="68"/>
      <c r="W1510" s="9"/>
      <c r="X1510" s="10"/>
      <c r="Y1510" s="71">
        <f t="shared" si="68"/>
        <v>2</v>
      </c>
      <c r="Z1510" s="73">
        <f t="shared" si="69"/>
        <v>7</v>
      </c>
      <c r="AA1510" s="73">
        <f t="shared" si="70"/>
        <v>6</v>
      </c>
      <c r="AB1510" s="73">
        <f t="shared" si="71"/>
        <v>6</v>
      </c>
      <c r="AC1510" s="73">
        <f t="shared" si="72"/>
        <v>5</v>
      </c>
      <c r="AD1510" s="73">
        <f t="shared" si="73"/>
        <v>5</v>
      </c>
      <c r="AE1510" s="73">
        <f t="shared" si="74"/>
        <v>6.0015099999999997</v>
      </c>
      <c r="AF1510" s="73">
        <f t="shared" si="75"/>
        <v>6.0015099999999997</v>
      </c>
      <c r="AG1510" s="73">
        <f t="shared" si="76"/>
        <v>5.0015099999999997</v>
      </c>
      <c r="AH1510" s="73">
        <f t="shared" si="77"/>
        <v>5.0015099999999997</v>
      </c>
    </row>
    <row r="1511" spans="1:34" ht="14.25" customHeight="1">
      <c r="A1511" s="11">
        <v>1496</v>
      </c>
      <c r="B1511" s="66"/>
      <c r="C1511" s="67"/>
      <c r="D1511" s="67"/>
      <c r="E1511" s="67"/>
      <c r="F1511" s="67"/>
      <c r="G1511" s="67" t="s">
        <v>35</v>
      </c>
      <c r="H1511" s="67">
        <v>45329</v>
      </c>
      <c r="I1511" s="6" t="s">
        <v>2138</v>
      </c>
      <c r="J1511" s="9">
        <v>8558802124</v>
      </c>
      <c r="K1511" s="68">
        <v>45322</v>
      </c>
      <c r="L1511" s="68">
        <v>46022</v>
      </c>
      <c r="M1511" s="68">
        <v>46203</v>
      </c>
      <c r="N1511" s="69">
        <f t="shared" si="65"/>
        <v>-1</v>
      </c>
      <c r="O1511" s="69">
        <f t="shared" si="66"/>
        <v>0</v>
      </c>
      <c r="P1511" s="70">
        <v>22</v>
      </c>
      <c r="Q1511" s="70">
        <v>21</v>
      </c>
      <c r="R1511" s="70">
        <v>21</v>
      </c>
      <c r="S1511" s="68" t="str">
        <f t="shared" si="67"/>
        <v/>
      </c>
      <c r="T1511" s="68"/>
      <c r="U1511" s="95"/>
      <c r="V1511" s="68"/>
      <c r="W1511" s="9"/>
      <c r="X1511" s="10"/>
      <c r="Y1511" s="71">
        <f t="shared" si="68"/>
        <v>21</v>
      </c>
      <c r="Z1511" s="73">
        <f t="shared" si="69"/>
        <v>21</v>
      </c>
      <c r="AA1511" s="11" t="str">
        <f t="shared" si="70"/>
        <v/>
      </c>
      <c r="AB1511" s="73">
        <f t="shared" si="71"/>
        <v>-1</v>
      </c>
      <c r="AC1511" s="11" t="str">
        <f t="shared" si="72"/>
        <v/>
      </c>
      <c r="AD1511" s="73">
        <f t="shared" si="73"/>
        <v>0</v>
      </c>
      <c r="AE1511" s="11" t="str">
        <f t="shared" si="74"/>
        <v/>
      </c>
      <c r="AF1511" s="73">
        <f t="shared" si="75"/>
        <v>-0.99848899999999996</v>
      </c>
      <c r="AG1511" s="11" t="str">
        <f t="shared" si="76"/>
        <v/>
      </c>
      <c r="AH1511" s="73">
        <f t="shared" si="77"/>
        <v>1.511E-3</v>
      </c>
    </row>
    <row r="1512" spans="1:34" ht="14.25" customHeight="1">
      <c r="A1512" s="11">
        <v>1497</v>
      </c>
      <c r="B1512" s="66"/>
      <c r="C1512" s="67"/>
      <c r="D1512" s="67"/>
      <c r="E1512" s="67"/>
      <c r="F1512" s="67"/>
      <c r="G1512" s="67" t="s">
        <v>24</v>
      </c>
      <c r="H1512" s="67">
        <v>43964</v>
      </c>
      <c r="I1512" s="6" t="s">
        <v>2139</v>
      </c>
      <c r="J1512" s="9">
        <v>8561702433</v>
      </c>
      <c r="K1512" s="68">
        <v>43951</v>
      </c>
      <c r="L1512" s="68" t="s">
        <v>230</v>
      </c>
      <c r="M1512" s="68">
        <v>45626</v>
      </c>
      <c r="N1512" s="69">
        <f t="shared" si="65"/>
        <v>0</v>
      </c>
      <c r="O1512" s="69" t="str">
        <f t="shared" si="66"/>
        <v>N/A</v>
      </c>
      <c r="P1512" s="70">
        <v>0</v>
      </c>
      <c r="Q1512" s="70"/>
      <c r="R1512" s="70">
        <v>0</v>
      </c>
      <c r="S1512" s="68">
        <f t="shared" si="67"/>
        <v>45597</v>
      </c>
      <c r="T1512" s="68">
        <v>45597</v>
      </c>
      <c r="U1512" s="95"/>
      <c r="V1512" s="68"/>
      <c r="W1512" s="9"/>
      <c r="X1512" s="10"/>
      <c r="Y1512" s="65" t="str">
        <f t="shared" si="68"/>
        <v/>
      </c>
      <c r="Z1512" s="11" t="str">
        <f t="shared" si="69"/>
        <v/>
      </c>
      <c r="AA1512" s="11" t="str">
        <f t="shared" si="70"/>
        <v/>
      </c>
      <c r="AB1512" s="73">
        <f t="shared" si="71"/>
        <v>0</v>
      </c>
      <c r="AC1512" s="11" t="str">
        <f t="shared" si="72"/>
        <v/>
      </c>
      <c r="AD1512" s="11" t="str">
        <f t="shared" si="73"/>
        <v/>
      </c>
      <c r="AE1512" s="11" t="str">
        <f t="shared" si="74"/>
        <v/>
      </c>
      <c r="AF1512" s="73">
        <f t="shared" si="75"/>
        <v>1.5120000000000001E-3</v>
      </c>
      <c r="AG1512" s="11" t="str">
        <f t="shared" si="76"/>
        <v/>
      </c>
      <c r="AH1512" s="11" t="str">
        <f t="shared" si="77"/>
        <v/>
      </c>
    </row>
    <row r="1513" spans="1:34" ht="14.25" customHeight="1">
      <c r="A1513" s="11">
        <v>1498</v>
      </c>
      <c r="B1513" s="66"/>
      <c r="C1513" s="67"/>
      <c r="D1513" s="67"/>
      <c r="E1513" s="67"/>
      <c r="F1513" s="67"/>
      <c r="G1513" s="67" t="s">
        <v>283</v>
      </c>
      <c r="H1513" s="67">
        <v>44048</v>
      </c>
      <c r="I1513" s="6" t="s">
        <v>2140</v>
      </c>
      <c r="J1513" s="9">
        <v>8568700762</v>
      </c>
      <c r="K1513" s="68">
        <v>44043</v>
      </c>
      <c r="L1513" s="68" t="s">
        <v>230</v>
      </c>
      <c r="M1513" s="68">
        <v>45747</v>
      </c>
      <c r="N1513" s="69">
        <f t="shared" si="65"/>
        <v>-2</v>
      </c>
      <c r="O1513" s="69" t="str">
        <f t="shared" si="66"/>
        <v>N/A</v>
      </c>
      <c r="P1513" s="70">
        <v>7</v>
      </c>
      <c r="Q1513" s="70"/>
      <c r="R1513" s="70">
        <v>5</v>
      </c>
      <c r="S1513" s="68">
        <f t="shared" si="67"/>
        <v>45721</v>
      </c>
      <c r="T1513" s="68"/>
      <c r="U1513" s="95"/>
      <c r="V1513" s="68"/>
      <c r="W1513" s="68">
        <v>45721</v>
      </c>
      <c r="X1513" s="10"/>
      <c r="Y1513" s="65" t="str">
        <f t="shared" si="68"/>
        <v/>
      </c>
      <c r="Z1513" s="11" t="str">
        <f t="shared" si="69"/>
        <v/>
      </c>
      <c r="AA1513" s="11" t="str">
        <f t="shared" si="70"/>
        <v/>
      </c>
      <c r="AB1513" s="73">
        <f t="shared" si="71"/>
        <v>-2</v>
      </c>
      <c r="AC1513" s="11" t="str">
        <f t="shared" si="72"/>
        <v/>
      </c>
      <c r="AD1513" s="11" t="str">
        <f t="shared" si="73"/>
        <v/>
      </c>
      <c r="AE1513" s="11" t="str">
        <f t="shared" si="74"/>
        <v/>
      </c>
      <c r="AF1513" s="73">
        <f t="shared" si="75"/>
        <v>-1.9984869999999999</v>
      </c>
      <c r="AG1513" s="11" t="str">
        <f t="shared" si="76"/>
        <v/>
      </c>
      <c r="AH1513" s="11" t="str">
        <f t="shared" si="77"/>
        <v/>
      </c>
    </row>
    <row r="1514" spans="1:34" ht="14.25" customHeight="1">
      <c r="A1514" s="11">
        <v>1499</v>
      </c>
      <c r="B1514" s="66" t="s">
        <v>35</v>
      </c>
      <c r="C1514" s="67">
        <v>45536</v>
      </c>
      <c r="D1514" s="67">
        <v>45390</v>
      </c>
      <c r="E1514" s="67"/>
      <c r="F1514" s="67"/>
      <c r="G1514" s="67" t="s">
        <v>35</v>
      </c>
      <c r="H1514" s="67">
        <v>45616</v>
      </c>
      <c r="I1514" s="6" t="s">
        <v>2141</v>
      </c>
      <c r="J1514" s="9">
        <v>8568801977</v>
      </c>
      <c r="K1514" s="68">
        <v>45382</v>
      </c>
      <c r="L1514" s="68">
        <v>46022</v>
      </c>
      <c r="M1514" s="68">
        <v>46203</v>
      </c>
      <c r="N1514" s="69">
        <f t="shared" si="65"/>
        <v>11</v>
      </c>
      <c r="O1514" s="69">
        <f t="shared" si="66"/>
        <v>3</v>
      </c>
      <c r="P1514" s="70">
        <v>6</v>
      </c>
      <c r="Q1514" s="70">
        <v>14</v>
      </c>
      <c r="R1514" s="70">
        <v>17</v>
      </c>
      <c r="S1514" s="68" t="str">
        <f t="shared" si="67"/>
        <v/>
      </c>
      <c r="T1514" s="68"/>
      <c r="U1514" s="95"/>
      <c r="V1514" s="68"/>
      <c r="W1514" s="9"/>
      <c r="X1514" s="10"/>
      <c r="Y1514" s="71">
        <f t="shared" si="68"/>
        <v>14</v>
      </c>
      <c r="Z1514" s="73">
        <f t="shared" si="69"/>
        <v>17</v>
      </c>
      <c r="AA1514" s="73">
        <f t="shared" si="70"/>
        <v>11</v>
      </c>
      <c r="AB1514" s="73">
        <f t="shared" si="71"/>
        <v>11</v>
      </c>
      <c r="AC1514" s="73">
        <f t="shared" si="72"/>
        <v>3</v>
      </c>
      <c r="AD1514" s="73">
        <f t="shared" si="73"/>
        <v>3</v>
      </c>
      <c r="AE1514" s="73">
        <f t="shared" si="74"/>
        <v>11.001514</v>
      </c>
      <c r="AF1514" s="73">
        <f t="shared" si="75"/>
        <v>11.001514</v>
      </c>
      <c r="AG1514" s="73">
        <f t="shared" si="76"/>
        <v>3.0015139999999998</v>
      </c>
      <c r="AH1514" s="73">
        <f t="shared" si="77"/>
        <v>3.0015139999999998</v>
      </c>
    </row>
    <row r="1515" spans="1:34" ht="14.25" customHeight="1">
      <c r="A1515" s="11">
        <v>1500</v>
      </c>
      <c r="B1515" s="66"/>
      <c r="C1515" s="67"/>
      <c r="D1515" s="67"/>
      <c r="E1515" s="67"/>
      <c r="F1515" s="67"/>
      <c r="G1515" s="67" t="s">
        <v>35</v>
      </c>
      <c r="H1515" s="67">
        <v>45149</v>
      </c>
      <c r="I1515" s="6" t="s">
        <v>2142</v>
      </c>
      <c r="J1515" s="9">
        <v>8598702696</v>
      </c>
      <c r="K1515" s="68">
        <v>45138</v>
      </c>
      <c r="L1515" s="68">
        <v>46022</v>
      </c>
      <c r="M1515" s="68">
        <v>46203</v>
      </c>
      <c r="N1515" s="69">
        <f t="shared" si="65"/>
        <v>5</v>
      </c>
      <c r="O1515" s="69">
        <f t="shared" si="66"/>
        <v>1</v>
      </c>
      <c r="P1515" s="70">
        <v>0</v>
      </c>
      <c r="Q1515" s="70">
        <v>4</v>
      </c>
      <c r="R1515" s="70">
        <v>5</v>
      </c>
      <c r="S1515" s="68" t="str">
        <f t="shared" si="67"/>
        <v/>
      </c>
      <c r="T1515" s="68"/>
      <c r="U1515" s="95"/>
      <c r="V1515" s="68"/>
      <c r="W1515" s="9"/>
      <c r="X1515" s="10"/>
      <c r="Y1515" s="71">
        <f t="shared" si="68"/>
        <v>4</v>
      </c>
      <c r="Z1515" s="73">
        <f t="shared" si="69"/>
        <v>5</v>
      </c>
      <c r="AA1515" s="11" t="str">
        <f t="shared" si="70"/>
        <v/>
      </c>
      <c r="AB1515" s="73">
        <f t="shared" si="71"/>
        <v>5</v>
      </c>
      <c r="AC1515" s="11" t="str">
        <f t="shared" si="72"/>
        <v/>
      </c>
      <c r="AD1515" s="73">
        <f t="shared" si="73"/>
        <v>1</v>
      </c>
      <c r="AE1515" s="11" t="str">
        <f t="shared" si="74"/>
        <v/>
      </c>
      <c r="AF1515" s="73">
        <f t="shared" si="75"/>
        <v>5.0015150000000004</v>
      </c>
      <c r="AG1515" s="11" t="str">
        <f t="shared" si="76"/>
        <v/>
      </c>
      <c r="AH1515" s="73">
        <f t="shared" si="77"/>
        <v>1.0015149999999999</v>
      </c>
    </row>
    <row r="1516" spans="1:34" ht="14.25" customHeight="1">
      <c r="A1516" s="11">
        <v>1501</v>
      </c>
      <c r="B1516" s="66"/>
      <c r="C1516" s="67"/>
      <c r="D1516" s="67"/>
      <c r="E1516" s="67"/>
      <c r="F1516" s="67"/>
      <c r="G1516" s="67" t="s">
        <v>35</v>
      </c>
      <c r="H1516" s="67">
        <v>45838</v>
      </c>
      <c r="I1516" s="6" t="s">
        <v>2143</v>
      </c>
      <c r="J1516" s="9">
        <v>8608700780</v>
      </c>
      <c r="K1516" s="68">
        <v>45808</v>
      </c>
      <c r="L1516" s="68">
        <v>46022</v>
      </c>
      <c r="M1516" s="68">
        <v>46203</v>
      </c>
      <c r="N1516" s="69">
        <f t="shared" si="65"/>
        <v>74</v>
      </c>
      <c r="O1516" s="69">
        <f t="shared" si="66"/>
        <v>53</v>
      </c>
      <c r="P1516" s="70">
        <v>134</v>
      </c>
      <c r="Q1516" s="70">
        <v>155</v>
      </c>
      <c r="R1516" s="70">
        <v>208</v>
      </c>
      <c r="S1516" s="68" t="str">
        <f t="shared" si="67"/>
        <v/>
      </c>
      <c r="T1516" s="68"/>
      <c r="U1516" s="95"/>
      <c r="V1516" s="68"/>
      <c r="W1516" s="9"/>
      <c r="X1516" s="10"/>
      <c r="Y1516" s="71">
        <f t="shared" si="68"/>
        <v>155</v>
      </c>
      <c r="Z1516" s="73">
        <f t="shared" si="69"/>
        <v>208</v>
      </c>
      <c r="AA1516" s="11" t="str">
        <f t="shared" si="70"/>
        <v/>
      </c>
      <c r="AB1516" s="73">
        <f t="shared" si="71"/>
        <v>74</v>
      </c>
      <c r="AC1516" s="11" t="str">
        <f t="shared" si="72"/>
        <v/>
      </c>
      <c r="AD1516" s="73">
        <f t="shared" si="73"/>
        <v>53</v>
      </c>
      <c r="AE1516" s="11" t="str">
        <f t="shared" si="74"/>
        <v/>
      </c>
      <c r="AF1516" s="73">
        <f t="shared" si="75"/>
        <v>74.001515999999995</v>
      </c>
      <c r="AG1516" s="11" t="str">
        <f t="shared" si="76"/>
        <v/>
      </c>
      <c r="AH1516" s="73">
        <f t="shared" si="77"/>
        <v>53.001516000000002</v>
      </c>
    </row>
    <row r="1517" spans="1:34" ht="14.25" customHeight="1">
      <c r="A1517" s="11">
        <v>1502</v>
      </c>
      <c r="B1517" s="66"/>
      <c r="C1517" s="67"/>
      <c r="D1517" s="67"/>
      <c r="E1517" s="67"/>
      <c r="F1517" s="67"/>
      <c r="G1517" s="67" t="s">
        <v>35</v>
      </c>
      <c r="H1517" s="67">
        <v>45996</v>
      </c>
      <c r="I1517" s="6" t="s">
        <v>2144</v>
      </c>
      <c r="J1517" s="94">
        <v>8608801976</v>
      </c>
      <c r="K1517" s="68">
        <v>45991</v>
      </c>
      <c r="L1517" s="68">
        <v>46022</v>
      </c>
      <c r="M1517" s="68">
        <v>46203</v>
      </c>
      <c r="N1517" s="69">
        <f t="shared" si="65"/>
        <v>6</v>
      </c>
      <c r="O1517" s="69">
        <f t="shared" si="66"/>
        <v>5</v>
      </c>
      <c r="P1517" s="123">
        <v>17</v>
      </c>
      <c r="Q1517" s="70">
        <v>18</v>
      </c>
      <c r="R1517" s="70">
        <v>23</v>
      </c>
      <c r="S1517" s="68" t="str">
        <f t="shared" si="67"/>
        <v/>
      </c>
      <c r="T1517" s="68"/>
      <c r="U1517" s="95"/>
      <c r="V1517" s="68"/>
      <c r="W1517" s="6"/>
      <c r="X1517" s="10"/>
      <c r="Y1517" s="71">
        <f t="shared" si="68"/>
        <v>18</v>
      </c>
      <c r="Z1517" s="73">
        <f t="shared" si="69"/>
        <v>23</v>
      </c>
      <c r="AA1517" s="11" t="str">
        <f t="shared" si="70"/>
        <v/>
      </c>
      <c r="AB1517" s="73">
        <f t="shared" si="71"/>
        <v>6</v>
      </c>
      <c r="AC1517" s="11" t="str">
        <f t="shared" si="72"/>
        <v/>
      </c>
      <c r="AD1517" s="73">
        <f t="shared" si="73"/>
        <v>5</v>
      </c>
      <c r="AE1517" s="11" t="str">
        <f t="shared" si="74"/>
        <v/>
      </c>
      <c r="AF1517" s="73">
        <f t="shared" si="75"/>
        <v>6.0015169999999998</v>
      </c>
      <c r="AG1517" s="11" t="str">
        <f t="shared" si="76"/>
        <v/>
      </c>
      <c r="AH1517" s="73">
        <f t="shared" si="77"/>
        <v>5.0015169999999998</v>
      </c>
    </row>
    <row r="1518" spans="1:34" ht="14.25" customHeight="1">
      <c r="A1518" s="11">
        <v>1503</v>
      </c>
      <c r="B1518" s="66" t="s">
        <v>681</v>
      </c>
      <c r="C1518" s="67"/>
      <c r="D1518" s="67">
        <v>43404</v>
      </c>
      <c r="E1518" s="67"/>
      <c r="F1518" s="67"/>
      <c r="G1518" s="67" t="s">
        <v>35</v>
      </c>
      <c r="H1518" s="67">
        <v>42566</v>
      </c>
      <c r="I1518" s="21" t="s">
        <v>2145</v>
      </c>
      <c r="J1518" s="37">
        <v>8618101155</v>
      </c>
      <c r="K1518" s="126">
        <v>42551</v>
      </c>
      <c r="L1518" s="68">
        <v>46022</v>
      </c>
      <c r="M1518" s="126">
        <v>46203</v>
      </c>
      <c r="N1518" s="69">
        <f t="shared" si="65"/>
        <v>60</v>
      </c>
      <c r="O1518" s="69">
        <f t="shared" si="66"/>
        <v>24</v>
      </c>
      <c r="P1518" s="78">
        <v>0</v>
      </c>
      <c r="Q1518" s="78">
        <v>36</v>
      </c>
      <c r="R1518" s="78">
        <v>60</v>
      </c>
      <c r="S1518" s="68" t="str">
        <f t="shared" si="67"/>
        <v/>
      </c>
      <c r="T1518" s="68"/>
      <c r="U1518" s="68">
        <v>45291</v>
      </c>
      <c r="V1518" s="68">
        <v>46007</v>
      </c>
      <c r="W1518" s="6"/>
      <c r="X1518" s="93"/>
      <c r="Y1518" s="71">
        <f t="shared" si="68"/>
        <v>36</v>
      </c>
      <c r="Z1518" s="73">
        <f t="shared" si="69"/>
        <v>60</v>
      </c>
      <c r="AA1518" s="73">
        <f t="shared" si="70"/>
        <v>60</v>
      </c>
      <c r="AB1518" s="73">
        <f t="shared" si="71"/>
        <v>60</v>
      </c>
      <c r="AC1518" s="73">
        <f t="shared" si="72"/>
        <v>24</v>
      </c>
      <c r="AD1518" s="73">
        <f t="shared" si="73"/>
        <v>24</v>
      </c>
      <c r="AE1518" s="73">
        <f t="shared" si="74"/>
        <v>60.001517999999997</v>
      </c>
      <c r="AF1518" s="73">
        <f t="shared" si="75"/>
        <v>60.001517999999997</v>
      </c>
      <c r="AG1518" s="73">
        <f t="shared" si="76"/>
        <v>24.001518000000001</v>
      </c>
      <c r="AH1518" s="73">
        <f t="shared" si="77"/>
        <v>24.001518000000001</v>
      </c>
    </row>
    <row r="1519" spans="1:34" ht="14.25" customHeight="1">
      <c r="A1519" s="11">
        <v>1504</v>
      </c>
      <c r="B1519" s="66"/>
      <c r="C1519" s="67"/>
      <c r="D1519" s="67"/>
      <c r="E1519" s="67"/>
      <c r="F1519" s="67"/>
      <c r="G1519" s="67" t="s">
        <v>35</v>
      </c>
      <c r="H1519" s="67">
        <v>45317</v>
      </c>
      <c r="I1519" s="6" t="s">
        <v>2146</v>
      </c>
      <c r="J1519" s="9">
        <v>8618601714</v>
      </c>
      <c r="K1519" s="68">
        <v>45291</v>
      </c>
      <c r="L1519" s="68">
        <v>46022</v>
      </c>
      <c r="M1519" s="68">
        <v>46203</v>
      </c>
      <c r="N1519" s="69">
        <f t="shared" si="65"/>
        <v>5</v>
      </c>
      <c r="O1519" s="69">
        <f t="shared" si="66"/>
        <v>2</v>
      </c>
      <c r="P1519" s="70">
        <v>6</v>
      </c>
      <c r="Q1519" s="70">
        <v>9</v>
      </c>
      <c r="R1519" s="70">
        <v>11</v>
      </c>
      <c r="S1519" s="68" t="str">
        <f t="shared" si="67"/>
        <v/>
      </c>
      <c r="T1519" s="68"/>
      <c r="U1519" s="95"/>
      <c r="V1519" s="68"/>
      <c r="W1519" s="9"/>
      <c r="X1519" s="10"/>
      <c r="Y1519" s="71">
        <f t="shared" si="68"/>
        <v>9</v>
      </c>
      <c r="Z1519" s="73">
        <f t="shared" si="69"/>
        <v>11</v>
      </c>
      <c r="AA1519" s="11" t="str">
        <f t="shared" si="70"/>
        <v/>
      </c>
      <c r="AB1519" s="73">
        <f t="shared" si="71"/>
        <v>5</v>
      </c>
      <c r="AC1519" s="11" t="str">
        <f t="shared" si="72"/>
        <v/>
      </c>
      <c r="AD1519" s="73">
        <f t="shared" si="73"/>
        <v>2</v>
      </c>
      <c r="AE1519" s="11" t="str">
        <f t="shared" si="74"/>
        <v/>
      </c>
      <c r="AF1519" s="73">
        <f t="shared" si="75"/>
        <v>5.001519</v>
      </c>
      <c r="AG1519" s="11" t="str">
        <f t="shared" si="76"/>
        <v/>
      </c>
      <c r="AH1519" s="73">
        <f t="shared" si="77"/>
        <v>2.001519</v>
      </c>
    </row>
    <row r="1520" spans="1:34" ht="14.25" customHeight="1">
      <c r="A1520" s="11">
        <v>1505</v>
      </c>
      <c r="B1520" s="66"/>
      <c r="C1520" s="67"/>
      <c r="D1520" s="67"/>
      <c r="E1520" s="67"/>
      <c r="F1520" s="67"/>
      <c r="G1520" s="67" t="s">
        <v>35</v>
      </c>
      <c r="H1520" s="67">
        <v>45240</v>
      </c>
      <c r="I1520" s="6" t="s">
        <v>2147</v>
      </c>
      <c r="J1520" s="9">
        <v>8618602839</v>
      </c>
      <c r="K1520" s="68">
        <v>45230</v>
      </c>
      <c r="L1520" s="68">
        <v>46022</v>
      </c>
      <c r="M1520" s="68">
        <v>46203</v>
      </c>
      <c r="N1520" s="69">
        <f t="shared" si="65"/>
        <v>8</v>
      </c>
      <c r="O1520" s="69">
        <f t="shared" si="66"/>
        <v>2</v>
      </c>
      <c r="P1520" s="70">
        <v>0</v>
      </c>
      <c r="Q1520" s="70">
        <v>6</v>
      </c>
      <c r="R1520" s="70">
        <v>8</v>
      </c>
      <c r="S1520" s="68" t="str">
        <f t="shared" si="67"/>
        <v/>
      </c>
      <c r="T1520" s="68"/>
      <c r="U1520" s="95"/>
      <c r="V1520" s="68"/>
      <c r="W1520" s="9"/>
      <c r="X1520" s="10"/>
      <c r="Y1520" s="71">
        <f t="shared" si="68"/>
        <v>6</v>
      </c>
      <c r="Z1520" s="73">
        <f t="shared" si="69"/>
        <v>8</v>
      </c>
      <c r="AA1520" s="11" t="str">
        <f t="shared" si="70"/>
        <v/>
      </c>
      <c r="AB1520" s="73">
        <f t="shared" si="71"/>
        <v>8</v>
      </c>
      <c r="AC1520" s="11" t="str">
        <f t="shared" si="72"/>
        <v/>
      </c>
      <c r="AD1520" s="73">
        <f t="shared" si="73"/>
        <v>2</v>
      </c>
      <c r="AE1520" s="11" t="str">
        <f t="shared" si="74"/>
        <v/>
      </c>
      <c r="AF1520" s="73">
        <f t="shared" si="75"/>
        <v>8.0015199999999993</v>
      </c>
      <c r="AG1520" s="11" t="str">
        <f t="shared" si="76"/>
        <v/>
      </c>
      <c r="AH1520" s="73">
        <f t="shared" si="77"/>
        <v>2.0015200000000002</v>
      </c>
    </row>
    <row r="1521" spans="1:34" ht="14.25" customHeight="1">
      <c r="A1521" s="11">
        <v>1506</v>
      </c>
      <c r="B1521" s="66" t="s">
        <v>35</v>
      </c>
      <c r="C1521" s="67">
        <v>42705</v>
      </c>
      <c r="D1521" s="67"/>
      <c r="E1521" s="67"/>
      <c r="F1521" s="67"/>
      <c r="G1521" s="67"/>
      <c r="H1521" s="67"/>
      <c r="I1521" s="6" t="s">
        <v>2148</v>
      </c>
      <c r="J1521" s="9">
        <v>8638700362</v>
      </c>
      <c r="K1521" s="68">
        <v>42704</v>
      </c>
      <c r="L1521" s="68">
        <v>46022</v>
      </c>
      <c r="M1521" s="68">
        <v>46203</v>
      </c>
      <c r="N1521" s="69">
        <f t="shared" si="65"/>
        <v>3</v>
      </c>
      <c r="O1521" s="69">
        <f t="shared" si="66"/>
        <v>1</v>
      </c>
      <c r="P1521" s="70">
        <v>2</v>
      </c>
      <c r="Q1521" s="70">
        <v>4</v>
      </c>
      <c r="R1521" s="70">
        <v>5</v>
      </c>
      <c r="S1521" s="68" t="str">
        <f t="shared" si="67"/>
        <v/>
      </c>
      <c r="T1521" s="68"/>
      <c r="U1521" s="95"/>
      <c r="V1521" s="68"/>
      <c r="W1521" s="9"/>
      <c r="X1521" s="10"/>
      <c r="Y1521" s="71">
        <f t="shared" si="68"/>
        <v>4</v>
      </c>
      <c r="Z1521" s="73">
        <f t="shared" si="69"/>
        <v>5</v>
      </c>
      <c r="AA1521" s="73">
        <f t="shared" si="70"/>
        <v>3</v>
      </c>
      <c r="AB1521" s="11" t="str">
        <f t="shared" si="71"/>
        <v/>
      </c>
      <c r="AC1521" s="73">
        <f t="shared" si="72"/>
        <v>1</v>
      </c>
      <c r="AD1521" s="11" t="str">
        <f t="shared" si="73"/>
        <v/>
      </c>
      <c r="AE1521" s="73">
        <f t="shared" si="74"/>
        <v>3.0015209999999999</v>
      </c>
      <c r="AF1521" s="11" t="str">
        <f t="shared" si="75"/>
        <v/>
      </c>
      <c r="AG1521" s="73">
        <f t="shared" si="76"/>
        <v>1.0015210000000001</v>
      </c>
      <c r="AH1521" s="11" t="str">
        <f t="shared" si="77"/>
        <v/>
      </c>
    </row>
    <row r="1522" spans="1:34" ht="14.25" customHeight="1">
      <c r="A1522" s="11">
        <v>1507</v>
      </c>
      <c r="B1522" s="66" t="s">
        <v>35</v>
      </c>
      <c r="C1522" s="67">
        <v>42516</v>
      </c>
      <c r="D1522" s="67"/>
      <c r="E1522" s="67"/>
      <c r="F1522" s="67"/>
      <c r="G1522" s="67" t="s">
        <v>35</v>
      </c>
      <c r="H1522" s="67">
        <v>42859</v>
      </c>
      <c r="I1522" s="6" t="s">
        <v>2149</v>
      </c>
      <c r="J1522" s="9">
        <v>8648800080</v>
      </c>
      <c r="K1522" s="68">
        <v>42490</v>
      </c>
      <c r="L1522" s="68">
        <v>46022</v>
      </c>
      <c r="M1522" s="68">
        <v>46203</v>
      </c>
      <c r="N1522" s="69">
        <f t="shared" si="65"/>
        <v>44</v>
      </c>
      <c r="O1522" s="69">
        <f t="shared" si="66"/>
        <v>3</v>
      </c>
      <c r="P1522" s="70">
        <v>2</v>
      </c>
      <c r="Q1522" s="70">
        <v>43</v>
      </c>
      <c r="R1522" s="70">
        <v>46</v>
      </c>
      <c r="S1522" s="68" t="str">
        <f t="shared" si="67"/>
        <v/>
      </c>
      <c r="T1522" s="68"/>
      <c r="U1522" s="95"/>
      <c r="V1522" s="68"/>
      <c r="W1522" s="9"/>
      <c r="X1522" s="10"/>
      <c r="Y1522" s="71">
        <f t="shared" si="68"/>
        <v>43</v>
      </c>
      <c r="Z1522" s="73">
        <f t="shared" si="69"/>
        <v>46</v>
      </c>
      <c r="AA1522" s="73">
        <f t="shared" si="70"/>
        <v>44</v>
      </c>
      <c r="AB1522" s="73">
        <f t="shared" si="71"/>
        <v>44</v>
      </c>
      <c r="AC1522" s="73">
        <f t="shared" si="72"/>
        <v>3</v>
      </c>
      <c r="AD1522" s="73">
        <f t="shared" si="73"/>
        <v>3</v>
      </c>
      <c r="AE1522" s="73">
        <f t="shared" si="74"/>
        <v>44.001522000000001</v>
      </c>
      <c r="AF1522" s="73">
        <f t="shared" si="75"/>
        <v>44.001522000000001</v>
      </c>
      <c r="AG1522" s="73">
        <f t="shared" si="76"/>
        <v>3.001522</v>
      </c>
      <c r="AH1522" s="73">
        <f t="shared" si="77"/>
        <v>3.001522</v>
      </c>
    </row>
    <row r="1523" spans="1:34" ht="14.25" customHeight="1">
      <c r="A1523" s="11">
        <v>1508</v>
      </c>
      <c r="B1523" s="66"/>
      <c r="C1523" s="67"/>
      <c r="D1523" s="67"/>
      <c r="E1523" s="67"/>
      <c r="F1523" s="67"/>
      <c r="G1523" s="67" t="s">
        <v>35</v>
      </c>
      <c r="H1523" s="67">
        <v>44879</v>
      </c>
      <c r="I1523" s="6" t="s">
        <v>2150</v>
      </c>
      <c r="J1523" s="9">
        <v>8658102535</v>
      </c>
      <c r="K1523" s="68">
        <v>44865</v>
      </c>
      <c r="L1523" s="68">
        <v>46022</v>
      </c>
      <c r="M1523" s="68">
        <v>46203</v>
      </c>
      <c r="N1523" s="69">
        <f t="shared" si="65"/>
        <v>10</v>
      </c>
      <c r="O1523" s="69">
        <f t="shared" si="66"/>
        <v>-1</v>
      </c>
      <c r="P1523" s="70">
        <v>2</v>
      </c>
      <c r="Q1523" s="70">
        <v>13</v>
      </c>
      <c r="R1523" s="70">
        <v>12</v>
      </c>
      <c r="S1523" s="68" t="str">
        <f t="shared" si="67"/>
        <v/>
      </c>
      <c r="T1523" s="68"/>
      <c r="U1523" s="95"/>
      <c r="V1523" s="68"/>
      <c r="W1523" s="9"/>
      <c r="X1523" s="10"/>
      <c r="Y1523" s="71">
        <f t="shared" si="68"/>
        <v>13</v>
      </c>
      <c r="Z1523" s="73">
        <f t="shared" si="69"/>
        <v>12</v>
      </c>
      <c r="AA1523" s="11" t="str">
        <f t="shared" si="70"/>
        <v/>
      </c>
      <c r="AB1523" s="73">
        <f t="shared" si="71"/>
        <v>10</v>
      </c>
      <c r="AC1523" s="11" t="str">
        <f t="shared" si="72"/>
        <v/>
      </c>
      <c r="AD1523" s="73">
        <f t="shared" si="73"/>
        <v>-1</v>
      </c>
      <c r="AE1523" s="11" t="str">
        <f t="shared" si="74"/>
        <v/>
      </c>
      <c r="AF1523" s="73">
        <f t="shared" si="75"/>
        <v>10.001523000000001</v>
      </c>
      <c r="AG1523" s="11" t="str">
        <f t="shared" si="76"/>
        <v/>
      </c>
      <c r="AH1523" s="73">
        <f t="shared" si="77"/>
        <v>-0.99847699999999995</v>
      </c>
    </row>
    <row r="1524" spans="1:34" ht="14.25" customHeight="1">
      <c r="A1524" s="11">
        <v>1509</v>
      </c>
      <c r="B1524" s="66"/>
      <c r="C1524" s="67"/>
      <c r="D1524" s="67"/>
      <c r="E1524" s="67"/>
      <c r="F1524" s="67"/>
      <c r="G1524" s="67" t="s">
        <v>35</v>
      </c>
      <c r="H1524" s="67">
        <v>45380</v>
      </c>
      <c r="I1524" s="6" t="s">
        <v>2151</v>
      </c>
      <c r="J1524" s="9">
        <v>8658702288</v>
      </c>
      <c r="K1524" s="68">
        <v>45351</v>
      </c>
      <c r="L1524" s="68">
        <v>46022</v>
      </c>
      <c r="M1524" s="68">
        <v>46203</v>
      </c>
      <c r="N1524" s="69">
        <f t="shared" si="65"/>
        <v>22</v>
      </c>
      <c r="O1524" s="69">
        <f t="shared" si="66"/>
        <v>12</v>
      </c>
      <c r="P1524" s="70">
        <v>4</v>
      </c>
      <c r="Q1524" s="70">
        <v>14</v>
      </c>
      <c r="R1524" s="70">
        <v>26</v>
      </c>
      <c r="S1524" s="68" t="str">
        <f t="shared" si="67"/>
        <v/>
      </c>
      <c r="T1524" s="68"/>
      <c r="U1524" s="95"/>
      <c r="V1524" s="68"/>
      <c r="W1524" s="9"/>
      <c r="X1524" s="10"/>
      <c r="Y1524" s="71">
        <f t="shared" si="68"/>
        <v>14</v>
      </c>
      <c r="Z1524" s="73">
        <f t="shared" si="69"/>
        <v>26</v>
      </c>
      <c r="AA1524" s="11" t="str">
        <f t="shared" si="70"/>
        <v/>
      </c>
      <c r="AB1524" s="73">
        <f t="shared" si="71"/>
        <v>22</v>
      </c>
      <c r="AC1524" s="11" t="str">
        <f t="shared" si="72"/>
        <v/>
      </c>
      <c r="AD1524" s="73">
        <f t="shared" si="73"/>
        <v>12</v>
      </c>
      <c r="AE1524" s="11" t="str">
        <f t="shared" si="74"/>
        <v/>
      </c>
      <c r="AF1524" s="73">
        <f t="shared" si="75"/>
        <v>22.001524</v>
      </c>
      <c r="AG1524" s="11" t="str">
        <f t="shared" si="76"/>
        <v/>
      </c>
      <c r="AH1524" s="73">
        <f t="shared" si="77"/>
        <v>12.001524</v>
      </c>
    </row>
    <row r="1525" spans="1:34" ht="14.25" customHeight="1">
      <c r="A1525" s="11">
        <v>1510</v>
      </c>
      <c r="B1525" s="66"/>
      <c r="C1525" s="67"/>
      <c r="D1525" s="67"/>
      <c r="E1525" s="67"/>
      <c r="F1525" s="67"/>
      <c r="G1525" s="67" t="s">
        <v>35</v>
      </c>
      <c r="H1525" s="67">
        <v>45531</v>
      </c>
      <c r="I1525" s="6" t="s">
        <v>2152</v>
      </c>
      <c r="J1525" s="9">
        <v>8658702459</v>
      </c>
      <c r="K1525" s="68">
        <v>45504</v>
      </c>
      <c r="L1525" s="68">
        <v>46022</v>
      </c>
      <c r="M1525" s="68">
        <v>46203</v>
      </c>
      <c r="N1525" s="69">
        <f t="shared" si="65"/>
        <v>10</v>
      </c>
      <c r="O1525" s="69">
        <f t="shared" si="66"/>
        <v>4</v>
      </c>
      <c r="P1525" s="70">
        <v>14</v>
      </c>
      <c r="Q1525" s="70">
        <v>20</v>
      </c>
      <c r="R1525" s="70">
        <v>24</v>
      </c>
      <c r="S1525" s="68" t="str">
        <f t="shared" si="67"/>
        <v/>
      </c>
      <c r="T1525" s="68"/>
      <c r="U1525" s="95"/>
      <c r="V1525" s="68"/>
      <c r="W1525" s="9"/>
      <c r="X1525" s="10"/>
      <c r="Y1525" s="71">
        <f t="shared" si="68"/>
        <v>20</v>
      </c>
      <c r="Z1525" s="73">
        <f t="shared" si="69"/>
        <v>24</v>
      </c>
      <c r="AA1525" s="11" t="str">
        <f t="shared" si="70"/>
        <v/>
      </c>
      <c r="AB1525" s="73">
        <f t="shared" si="71"/>
        <v>10</v>
      </c>
      <c r="AC1525" s="11" t="str">
        <f t="shared" si="72"/>
        <v/>
      </c>
      <c r="AD1525" s="73">
        <f t="shared" si="73"/>
        <v>4</v>
      </c>
      <c r="AE1525" s="11" t="str">
        <f t="shared" si="74"/>
        <v/>
      </c>
      <c r="AF1525" s="73">
        <f t="shared" si="75"/>
        <v>10.001525000000001</v>
      </c>
      <c r="AG1525" s="11" t="str">
        <f t="shared" si="76"/>
        <v/>
      </c>
      <c r="AH1525" s="73">
        <f t="shared" si="77"/>
        <v>4.001525</v>
      </c>
    </row>
    <row r="1526" spans="1:34" ht="14.25" customHeight="1">
      <c r="A1526" s="11">
        <v>1511</v>
      </c>
      <c r="B1526" s="66" t="s">
        <v>35</v>
      </c>
      <c r="C1526" s="67">
        <v>42005</v>
      </c>
      <c r="D1526" s="67">
        <v>42271</v>
      </c>
      <c r="E1526" s="67"/>
      <c r="F1526" s="67"/>
      <c r="G1526" s="67" t="s">
        <v>35</v>
      </c>
      <c r="H1526" s="67">
        <v>42705</v>
      </c>
      <c r="I1526" s="6" t="s">
        <v>2153</v>
      </c>
      <c r="J1526" s="9">
        <v>8658800031</v>
      </c>
      <c r="K1526" s="68">
        <v>42004</v>
      </c>
      <c r="L1526" s="68">
        <v>46022</v>
      </c>
      <c r="M1526" s="68">
        <v>46203</v>
      </c>
      <c r="N1526" s="69">
        <f t="shared" si="65"/>
        <v>263</v>
      </c>
      <c r="O1526" s="69">
        <f t="shared" si="66"/>
        <v>-25</v>
      </c>
      <c r="P1526" s="70">
        <v>0</v>
      </c>
      <c r="Q1526" s="70">
        <v>288</v>
      </c>
      <c r="R1526" s="70">
        <v>263</v>
      </c>
      <c r="S1526" s="68" t="str">
        <f t="shared" si="67"/>
        <v/>
      </c>
      <c r="T1526" s="68"/>
      <c r="U1526" s="95"/>
      <c r="V1526" s="68"/>
      <c r="W1526" s="9"/>
      <c r="X1526" s="10"/>
      <c r="Y1526" s="71">
        <f t="shared" si="68"/>
        <v>288</v>
      </c>
      <c r="Z1526" s="73">
        <f t="shared" si="69"/>
        <v>263</v>
      </c>
      <c r="AA1526" s="73">
        <f t="shared" si="70"/>
        <v>263</v>
      </c>
      <c r="AB1526" s="73">
        <f t="shared" si="71"/>
        <v>263</v>
      </c>
      <c r="AC1526" s="73">
        <f t="shared" si="72"/>
        <v>-25</v>
      </c>
      <c r="AD1526" s="73">
        <f t="shared" si="73"/>
        <v>-25</v>
      </c>
      <c r="AE1526" s="73">
        <f t="shared" si="74"/>
        <v>263.00152600000001</v>
      </c>
      <c r="AF1526" s="73">
        <f t="shared" si="75"/>
        <v>263.00152600000001</v>
      </c>
      <c r="AG1526" s="73">
        <f t="shared" si="76"/>
        <v>-24.998474000000002</v>
      </c>
      <c r="AH1526" s="73">
        <f t="shared" si="77"/>
        <v>-24.998474000000002</v>
      </c>
    </row>
    <row r="1527" spans="1:34" ht="14.25" customHeight="1">
      <c r="A1527" s="11">
        <v>1512</v>
      </c>
      <c r="B1527" s="66"/>
      <c r="C1527" s="67"/>
      <c r="D1527" s="67"/>
      <c r="E1527" s="67"/>
      <c r="F1527" s="67"/>
      <c r="G1527" s="67" t="s">
        <v>283</v>
      </c>
      <c r="H1527" s="67">
        <v>44032</v>
      </c>
      <c r="I1527" s="6" t="s">
        <v>2154</v>
      </c>
      <c r="J1527" s="9">
        <v>8668101747</v>
      </c>
      <c r="K1527" s="68">
        <v>44012</v>
      </c>
      <c r="L1527" s="68" t="s">
        <v>230</v>
      </c>
      <c r="M1527" s="68">
        <v>45747</v>
      </c>
      <c r="N1527" s="69">
        <f t="shared" si="65"/>
        <v>5</v>
      </c>
      <c r="O1527" s="69" t="str">
        <f t="shared" si="66"/>
        <v>N/A</v>
      </c>
      <c r="P1527" s="70">
        <v>0</v>
      </c>
      <c r="Q1527" s="70"/>
      <c r="R1527" s="70">
        <v>5</v>
      </c>
      <c r="S1527" s="68">
        <f t="shared" si="67"/>
        <v>45721</v>
      </c>
      <c r="T1527" s="68"/>
      <c r="U1527" s="95"/>
      <c r="V1527" s="68"/>
      <c r="W1527" s="68">
        <v>45721</v>
      </c>
      <c r="X1527" s="10"/>
      <c r="Y1527" s="65" t="str">
        <f t="shared" si="68"/>
        <v/>
      </c>
      <c r="Z1527" s="11" t="str">
        <f t="shared" si="69"/>
        <v/>
      </c>
      <c r="AA1527" s="11" t="str">
        <f t="shared" si="70"/>
        <v/>
      </c>
      <c r="AB1527" s="73">
        <f t="shared" si="71"/>
        <v>5</v>
      </c>
      <c r="AC1527" s="11" t="str">
        <f t="shared" si="72"/>
        <v/>
      </c>
      <c r="AD1527" s="11" t="str">
        <f t="shared" si="73"/>
        <v/>
      </c>
      <c r="AE1527" s="11" t="str">
        <f t="shared" si="74"/>
        <v/>
      </c>
      <c r="AF1527" s="73">
        <f t="shared" si="75"/>
        <v>5.0015270000000003</v>
      </c>
      <c r="AG1527" s="11" t="str">
        <f t="shared" si="76"/>
        <v/>
      </c>
      <c r="AH1527" s="11" t="str">
        <f t="shared" si="77"/>
        <v/>
      </c>
    </row>
    <row r="1528" spans="1:34" ht="14.25" customHeight="1">
      <c r="A1528" s="11">
        <v>1513</v>
      </c>
      <c r="B1528" s="66"/>
      <c r="C1528" s="67"/>
      <c r="D1528" s="67"/>
      <c r="E1528" s="67"/>
      <c r="F1528" s="67"/>
      <c r="G1528" s="67" t="s">
        <v>35</v>
      </c>
      <c r="H1528" s="67">
        <v>45530</v>
      </c>
      <c r="I1528" s="6" t="s">
        <v>2155</v>
      </c>
      <c r="J1528" s="9">
        <v>8678703056</v>
      </c>
      <c r="K1528" s="68">
        <v>45504</v>
      </c>
      <c r="L1528" s="68">
        <v>46022</v>
      </c>
      <c r="M1528" s="68">
        <v>46203</v>
      </c>
      <c r="N1528" s="69">
        <f t="shared" si="65"/>
        <v>30</v>
      </c>
      <c r="O1528" s="69">
        <f t="shared" si="66"/>
        <v>10</v>
      </c>
      <c r="P1528" s="70">
        <v>0</v>
      </c>
      <c r="Q1528" s="70">
        <v>20</v>
      </c>
      <c r="R1528" s="70">
        <v>30</v>
      </c>
      <c r="S1528" s="68" t="str">
        <f t="shared" si="67"/>
        <v/>
      </c>
      <c r="T1528" s="68"/>
      <c r="U1528" s="95"/>
      <c r="V1528" s="68"/>
      <c r="W1528" s="9"/>
      <c r="X1528" s="10"/>
      <c r="Y1528" s="71">
        <f t="shared" si="68"/>
        <v>20</v>
      </c>
      <c r="Z1528" s="73">
        <f t="shared" si="69"/>
        <v>30</v>
      </c>
      <c r="AA1528" s="11" t="str">
        <f t="shared" si="70"/>
        <v/>
      </c>
      <c r="AB1528" s="73">
        <f t="shared" si="71"/>
        <v>30</v>
      </c>
      <c r="AC1528" s="11" t="str">
        <f t="shared" si="72"/>
        <v/>
      </c>
      <c r="AD1528" s="73">
        <f t="shared" si="73"/>
        <v>10</v>
      </c>
      <c r="AE1528" s="11" t="str">
        <f t="shared" si="74"/>
        <v/>
      </c>
      <c r="AF1528" s="73">
        <f t="shared" si="75"/>
        <v>30.001528</v>
      </c>
      <c r="AG1528" s="11" t="str">
        <f t="shared" si="76"/>
        <v/>
      </c>
      <c r="AH1528" s="73">
        <f t="shared" si="77"/>
        <v>10.001528</v>
      </c>
    </row>
    <row r="1529" spans="1:34" ht="14.25" customHeight="1">
      <c r="A1529" s="11">
        <v>1514</v>
      </c>
      <c r="B1529" s="66"/>
      <c r="C1529" s="67"/>
      <c r="D1529" s="67"/>
      <c r="E1529" s="67"/>
      <c r="F1529" s="67"/>
      <c r="G1529" s="67" t="s">
        <v>35</v>
      </c>
      <c r="H1529" s="67">
        <v>44552</v>
      </c>
      <c r="I1529" s="6" t="s">
        <v>2156</v>
      </c>
      <c r="J1529" s="9">
        <v>8698102371</v>
      </c>
      <c r="K1529" s="68">
        <v>44530</v>
      </c>
      <c r="L1529" s="68">
        <v>46022</v>
      </c>
      <c r="M1529" s="68">
        <v>46203</v>
      </c>
      <c r="N1529" s="69">
        <f t="shared" si="65"/>
        <v>5</v>
      </c>
      <c r="O1529" s="69">
        <f t="shared" si="66"/>
        <v>4</v>
      </c>
      <c r="P1529" s="70">
        <v>4</v>
      </c>
      <c r="Q1529" s="70">
        <v>5</v>
      </c>
      <c r="R1529" s="70">
        <v>9</v>
      </c>
      <c r="S1529" s="68" t="str">
        <f t="shared" si="67"/>
        <v/>
      </c>
      <c r="T1529" s="68"/>
      <c r="U1529" s="95"/>
      <c r="V1529" s="68"/>
      <c r="W1529" s="9"/>
      <c r="X1529" s="10"/>
      <c r="Y1529" s="71">
        <f t="shared" si="68"/>
        <v>5</v>
      </c>
      <c r="Z1529" s="73">
        <f t="shared" si="69"/>
        <v>9</v>
      </c>
      <c r="AA1529" s="11" t="str">
        <f t="shared" si="70"/>
        <v/>
      </c>
      <c r="AB1529" s="73">
        <f t="shared" si="71"/>
        <v>5</v>
      </c>
      <c r="AC1529" s="11" t="str">
        <f t="shared" si="72"/>
        <v/>
      </c>
      <c r="AD1529" s="73">
        <f t="shared" si="73"/>
        <v>4</v>
      </c>
      <c r="AE1529" s="11" t="str">
        <f t="shared" si="74"/>
        <v/>
      </c>
      <c r="AF1529" s="73">
        <f t="shared" si="75"/>
        <v>5.0015289999999997</v>
      </c>
      <c r="AG1529" s="11" t="str">
        <f t="shared" si="76"/>
        <v/>
      </c>
      <c r="AH1529" s="73">
        <f t="shared" si="77"/>
        <v>4.0015289999999997</v>
      </c>
    </row>
    <row r="1530" spans="1:34" ht="14.25" customHeight="1">
      <c r="A1530" s="11">
        <v>1515</v>
      </c>
      <c r="B1530" s="66" t="s">
        <v>35</v>
      </c>
      <c r="C1530" s="67">
        <v>46113</v>
      </c>
      <c r="D1530" s="67"/>
      <c r="E1530" s="67">
        <v>46113</v>
      </c>
      <c r="F1530" s="67"/>
      <c r="G1530" s="67" t="s">
        <v>35</v>
      </c>
      <c r="H1530" s="67">
        <v>45530</v>
      </c>
      <c r="I1530" s="6" t="s">
        <v>2157</v>
      </c>
      <c r="J1530" s="9">
        <v>8698103031</v>
      </c>
      <c r="K1530" s="68">
        <v>45504</v>
      </c>
      <c r="L1530" s="68">
        <v>46022</v>
      </c>
      <c r="M1530" s="68">
        <v>46203</v>
      </c>
      <c r="N1530" s="69">
        <f t="shared" si="65"/>
        <v>14</v>
      </c>
      <c r="O1530" s="69">
        <f t="shared" si="66"/>
        <v>6</v>
      </c>
      <c r="P1530" s="70">
        <v>3</v>
      </c>
      <c r="Q1530" s="70">
        <v>11</v>
      </c>
      <c r="R1530" s="70">
        <v>17</v>
      </c>
      <c r="S1530" s="68" t="str">
        <f t="shared" si="67"/>
        <v/>
      </c>
      <c r="T1530" s="68"/>
      <c r="U1530" s="95"/>
      <c r="V1530" s="68"/>
      <c r="W1530" s="9"/>
      <c r="X1530" s="10"/>
      <c r="Y1530" s="71">
        <f t="shared" si="68"/>
        <v>11</v>
      </c>
      <c r="Z1530" s="73">
        <f t="shared" si="69"/>
        <v>17</v>
      </c>
      <c r="AA1530" s="73">
        <f t="shared" si="70"/>
        <v>14</v>
      </c>
      <c r="AB1530" s="73">
        <f t="shared" si="71"/>
        <v>14</v>
      </c>
      <c r="AC1530" s="73">
        <f t="shared" si="72"/>
        <v>6</v>
      </c>
      <c r="AD1530" s="73">
        <f t="shared" si="73"/>
        <v>6</v>
      </c>
      <c r="AE1530" s="73">
        <f t="shared" si="74"/>
        <v>14.001530000000001</v>
      </c>
      <c r="AF1530" s="73">
        <f t="shared" si="75"/>
        <v>14.001530000000001</v>
      </c>
      <c r="AG1530" s="73">
        <f t="shared" si="76"/>
        <v>6.0015299999999998</v>
      </c>
      <c r="AH1530" s="73">
        <f t="shared" si="77"/>
        <v>6.0015299999999998</v>
      </c>
    </row>
    <row r="1531" spans="1:34" ht="14.25" customHeight="1">
      <c r="A1531" s="11">
        <v>1516</v>
      </c>
      <c r="B1531" s="66"/>
      <c r="C1531" s="67"/>
      <c r="D1531" s="67"/>
      <c r="E1531" s="67"/>
      <c r="F1531" s="67"/>
      <c r="G1531" s="67" t="s">
        <v>35</v>
      </c>
      <c r="H1531" s="67">
        <v>44253</v>
      </c>
      <c r="I1531" s="6" t="s">
        <v>2158</v>
      </c>
      <c r="J1531" s="9">
        <v>8698601057</v>
      </c>
      <c r="K1531" s="68">
        <v>44227</v>
      </c>
      <c r="L1531" s="68">
        <v>46022</v>
      </c>
      <c r="M1531" s="68">
        <v>46203</v>
      </c>
      <c r="N1531" s="69">
        <f t="shared" si="65"/>
        <v>-16</v>
      </c>
      <c r="O1531" s="69">
        <f t="shared" si="66"/>
        <v>-3</v>
      </c>
      <c r="P1531" s="70">
        <v>18</v>
      </c>
      <c r="Q1531" s="70">
        <v>5</v>
      </c>
      <c r="R1531" s="70">
        <v>2</v>
      </c>
      <c r="S1531" s="68" t="str">
        <f t="shared" si="67"/>
        <v/>
      </c>
      <c r="T1531" s="68"/>
      <c r="U1531" s="95"/>
      <c r="V1531" s="68"/>
      <c r="W1531" s="9"/>
      <c r="X1531" s="10"/>
      <c r="Y1531" s="71">
        <f t="shared" si="68"/>
        <v>5</v>
      </c>
      <c r="Z1531" s="73">
        <f t="shared" si="69"/>
        <v>2</v>
      </c>
      <c r="AA1531" s="11" t="str">
        <f t="shared" si="70"/>
        <v/>
      </c>
      <c r="AB1531" s="73">
        <f t="shared" si="71"/>
        <v>-16</v>
      </c>
      <c r="AC1531" s="11" t="str">
        <f t="shared" si="72"/>
        <v/>
      </c>
      <c r="AD1531" s="73">
        <f t="shared" si="73"/>
        <v>-3</v>
      </c>
      <c r="AE1531" s="11" t="str">
        <f t="shared" si="74"/>
        <v/>
      </c>
      <c r="AF1531" s="73">
        <f t="shared" si="75"/>
        <v>-15.998469</v>
      </c>
      <c r="AG1531" s="11" t="str">
        <f t="shared" si="76"/>
        <v/>
      </c>
      <c r="AH1531" s="73">
        <f t="shared" si="77"/>
        <v>-2.9984690000000001</v>
      </c>
    </row>
    <row r="1532" spans="1:34" ht="14.25" customHeight="1">
      <c r="A1532" s="11">
        <v>1517</v>
      </c>
      <c r="B1532" s="66"/>
      <c r="C1532" s="67"/>
      <c r="D1532" s="67"/>
      <c r="E1532" s="67"/>
      <c r="F1532" s="67"/>
      <c r="G1532" s="67" t="s">
        <v>35</v>
      </c>
      <c r="H1532" s="67">
        <v>45503</v>
      </c>
      <c r="I1532" s="6" t="s">
        <v>2159</v>
      </c>
      <c r="J1532" s="9">
        <v>8718701964</v>
      </c>
      <c r="K1532" s="68">
        <v>45473</v>
      </c>
      <c r="L1532" s="68">
        <v>46022</v>
      </c>
      <c r="M1532" s="68">
        <v>46203</v>
      </c>
      <c r="N1532" s="69">
        <f t="shared" si="65"/>
        <v>17</v>
      </c>
      <c r="O1532" s="69">
        <f t="shared" si="66"/>
        <v>9</v>
      </c>
      <c r="P1532" s="70">
        <v>5</v>
      </c>
      <c r="Q1532" s="70">
        <v>13</v>
      </c>
      <c r="R1532" s="70">
        <v>22</v>
      </c>
      <c r="S1532" s="68" t="str">
        <f t="shared" si="67"/>
        <v/>
      </c>
      <c r="T1532" s="68"/>
      <c r="U1532" s="95"/>
      <c r="V1532" s="68"/>
      <c r="W1532" s="9"/>
      <c r="X1532" s="10"/>
      <c r="Y1532" s="71">
        <f t="shared" si="68"/>
        <v>13</v>
      </c>
      <c r="Z1532" s="73">
        <f t="shared" si="69"/>
        <v>22</v>
      </c>
      <c r="AA1532" s="11" t="str">
        <f t="shared" si="70"/>
        <v/>
      </c>
      <c r="AB1532" s="73">
        <f t="shared" si="71"/>
        <v>17</v>
      </c>
      <c r="AC1532" s="11" t="str">
        <f t="shared" si="72"/>
        <v/>
      </c>
      <c r="AD1532" s="73">
        <f t="shared" si="73"/>
        <v>9</v>
      </c>
      <c r="AE1532" s="11" t="str">
        <f t="shared" si="74"/>
        <v/>
      </c>
      <c r="AF1532" s="73">
        <f t="shared" si="75"/>
        <v>17.001532000000001</v>
      </c>
      <c r="AG1532" s="11" t="str">
        <f t="shared" si="76"/>
        <v/>
      </c>
      <c r="AH1532" s="73">
        <f t="shared" si="77"/>
        <v>9.0015319999999992</v>
      </c>
    </row>
    <row r="1533" spans="1:34" ht="14.25" customHeight="1">
      <c r="A1533" s="11">
        <v>1518</v>
      </c>
      <c r="B1533" s="66"/>
      <c r="C1533" s="67"/>
      <c r="D1533" s="67"/>
      <c r="E1533" s="67"/>
      <c r="F1533" s="67"/>
      <c r="G1533" s="67" t="s">
        <v>35</v>
      </c>
      <c r="H1533" s="67">
        <v>45988</v>
      </c>
      <c r="I1533" s="6" t="s">
        <v>2160</v>
      </c>
      <c r="J1533" s="94">
        <v>8718801199</v>
      </c>
      <c r="K1533" s="68">
        <v>45961</v>
      </c>
      <c r="L1533" s="68">
        <v>46022</v>
      </c>
      <c r="M1533" s="68">
        <v>46203</v>
      </c>
      <c r="N1533" s="69">
        <f t="shared" si="65"/>
        <v>5</v>
      </c>
      <c r="O1533" s="69">
        <f t="shared" si="66"/>
        <v>4</v>
      </c>
      <c r="P1533" s="70">
        <v>11</v>
      </c>
      <c r="Q1533" s="70">
        <v>12</v>
      </c>
      <c r="R1533" s="70">
        <v>16</v>
      </c>
      <c r="S1533" s="68" t="str">
        <f t="shared" si="67"/>
        <v/>
      </c>
      <c r="T1533" s="68"/>
      <c r="U1533" s="95"/>
      <c r="V1533" s="68"/>
      <c r="W1533" s="6"/>
      <c r="X1533" s="10"/>
      <c r="Y1533" s="71">
        <f t="shared" si="68"/>
        <v>12</v>
      </c>
      <c r="Z1533" s="73">
        <f t="shared" si="69"/>
        <v>16</v>
      </c>
      <c r="AA1533" s="11" t="str">
        <f t="shared" si="70"/>
        <v/>
      </c>
      <c r="AB1533" s="73">
        <f t="shared" si="71"/>
        <v>5</v>
      </c>
      <c r="AC1533" s="11" t="str">
        <f t="shared" si="72"/>
        <v/>
      </c>
      <c r="AD1533" s="73">
        <f t="shared" si="73"/>
        <v>4</v>
      </c>
      <c r="AE1533" s="11" t="str">
        <f t="shared" si="74"/>
        <v/>
      </c>
      <c r="AF1533" s="73">
        <f t="shared" si="75"/>
        <v>5.0015330000000002</v>
      </c>
      <c r="AG1533" s="11" t="str">
        <f t="shared" si="76"/>
        <v/>
      </c>
      <c r="AH1533" s="73">
        <f t="shared" si="77"/>
        <v>4.0015330000000002</v>
      </c>
    </row>
    <row r="1534" spans="1:34" ht="14.25" customHeight="1">
      <c r="A1534" s="11">
        <v>1519</v>
      </c>
      <c r="B1534" s="66"/>
      <c r="C1534" s="67"/>
      <c r="D1534" s="67"/>
      <c r="E1534" s="67"/>
      <c r="F1534" s="67"/>
      <c r="G1534" s="67" t="s">
        <v>35</v>
      </c>
      <c r="H1534" s="67">
        <v>45894</v>
      </c>
      <c r="I1534" s="6" t="s">
        <v>2161</v>
      </c>
      <c r="J1534" s="94">
        <v>8728602275</v>
      </c>
      <c r="K1534" s="68">
        <v>45869</v>
      </c>
      <c r="L1534" s="68">
        <v>46022</v>
      </c>
      <c r="M1534" s="68">
        <v>46203</v>
      </c>
      <c r="N1534" s="69">
        <f t="shared" si="65"/>
        <v>4</v>
      </c>
      <c r="O1534" s="69">
        <f t="shared" si="66"/>
        <v>0</v>
      </c>
      <c r="P1534" s="70">
        <v>28</v>
      </c>
      <c r="Q1534" s="70">
        <v>32</v>
      </c>
      <c r="R1534" s="70">
        <v>32</v>
      </c>
      <c r="S1534" s="68" t="str">
        <f t="shared" si="67"/>
        <v/>
      </c>
      <c r="T1534" s="68"/>
      <c r="U1534" s="95"/>
      <c r="V1534" s="68"/>
      <c r="W1534" s="6"/>
      <c r="X1534" s="10"/>
      <c r="Y1534" s="71">
        <f t="shared" si="68"/>
        <v>32</v>
      </c>
      <c r="Z1534" s="73">
        <f t="shared" si="69"/>
        <v>32</v>
      </c>
      <c r="AA1534" s="11" t="str">
        <f t="shared" si="70"/>
        <v/>
      </c>
      <c r="AB1534" s="73">
        <f t="shared" si="71"/>
        <v>4</v>
      </c>
      <c r="AC1534" s="11" t="str">
        <f t="shared" si="72"/>
        <v/>
      </c>
      <c r="AD1534" s="73">
        <f t="shared" si="73"/>
        <v>0</v>
      </c>
      <c r="AE1534" s="11" t="str">
        <f t="shared" si="74"/>
        <v/>
      </c>
      <c r="AF1534" s="73">
        <f t="shared" si="75"/>
        <v>4.0015340000000004</v>
      </c>
      <c r="AG1534" s="11" t="str">
        <f t="shared" si="76"/>
        <v/>
      </c>
      <c r="AH1534" s="73">
        <f t="shared" si="77"/>
        <v>1.534E-3</v>
      </c>
    </row>
    <row r="1535" spans="1:34" ht="14.25" customHeight="1">
      <c r="A1535" s="11">
        <v>1520</v>
      </c>
      <c r="B1535" s="66" t="s">
        <v>35</v>
      </c>
      <c r="C1535" s="67">
        <v>45352</v>
      </c>
      <c r="D1535" s="67">
        <v>45086</v>
      </c>
      <c r="E1535" s="67"/>
      <c r="F1535" s="67"/>
      <c r="G1535" s="67"/>
      <c r="H1535" s="67"/>
      <c r="I1535" s="6" t="s">
        <v>2162</v>
      </c>
      <c r="J1535" s="9">
        <v>8738602507</v>
      </c>
      <c r="K1535" s="68">
        <v>45077</v>
      </c>
      <c r="L1535" s="68">
        <v>46022</v>
      </c>
      <c r="M1535" s="68">
        <v>46203</v>
      </c>
      <c r="N1535" s="69">
        <f t="shared" si="65"/>
        <v>-2</v>
      </c>
      <c r="O1535" s="69">
        <f t="shared" si="66"/>
        <v>0</v>
      </c>
      <c r="P1535" s="70">
        <v>6</v>
      </c>
      <c r="Q1535" s="70">
        <v>4</v>
      </c>
      <c r="R1535" s="70">
        <v>4</v>
      </c>
      <c r="S1535" s="68" t="str">
        <f t="shared" si="67"/>
        <v/>
      </c>
      <c r="T1535" s="68"/>
      <c r="U1535" s="95"/>
      <c r="V1535" s="68"/>
      <c r="W1535" s="9"/>
      <c r="X1535" s="10"/>
      <c r="Y1535" s="71">
        <f t="shared" si="68"/>
        <v>4</v>
      </c>
      <c r="Z1535" s="73">
        <f t="shared" si="69"/>
        <v>4</v>
      </c>
      <c r="AA1535" s="73">
        <f t="shared" si="70"/>
        <v>-2</v>
      </c>
      <c r="AB1535" s="11" t="str">
        <f t="shared" si="71"/>
        <v/>
      </c>
      <c r="AC1535" s="73">
        <f t="shared" si="72"/>
        <v>0</v>
      </c>
      <c r="AD1535" s="11" t="str">
        <f t="shared" si="73"/>
        <v/>
      </c>
      <c r="AE1535" s="73">
        <f t="shared" si="74"/>
        <v>-1.9984649999999999</v>
      </c>
      <c r="AF1535" s="11" t="str">
        <f t="shared" si="75"/>
        <v/>
      </c>
      <c r="AG1535" s="73">
        <f t="shared" si="76"/>
        <v>1.5349999999999999E-3</v>
      </c>
      <c r="AH1535" s="11" t="str">
        <f t="shared" si="77"/>
        <v/>
      </c>
    </row>
    <row r="1536" spans="1:34" ht="14.25" customHeight="1">
      <c r="A1536" s="11">
        <v>1521</v>
      </c>
      <c r="B1536" s="66"/>
      <c r="C1536" s="67"/>
      <c r="D1536" s="67"/>
      <c r="E1536" s="67"/>
      <c r="F1536" s="67"/>
      <c r="G1536" s="67" t="s">
        <v>35</v>
      </c>
      <c r="H1536" s="67">
        <v>44589</v>
      </c>
      <c r="I1536" s="6" t="s">
        <v>2163</v>
      </c>
      <c r="J1536" s="9">
        <v>8748600711</v>
      </c>
      <c r="K1536" s="68">
        <v>44561</v>
      </c>
      <c r="L1536" s="68">
        <v>46022</v>
      </c>
      <c r="M1536" s="68">
        <v>46203</v>
      </c>
      <c r="N1536" s="69">
        <f t="shared" si="65"/>
        <v>-11</v>
      </c>
      <c r="O1536" s="69">
        <f t="shared" si="66"/>
        <v>0</v>
      </c>
      <c r="P1536" s="70">
        <v>11</v>
      </c>
      <c r="Q1536" s="70">
        <v>0</v>
      </c>
      <c r="R1536" s="70">
        <v>0</v>
      </c>
      <c r="S1536" s="68" t="str">
        <f t="shared" si="67"/>
        <v/>
      </c>
      <c r="T1536" s="68"/>
      <c r="U1536" s="95"/>
      <c r="V1536" s="68"/>
      <c r="W1536" s="9"/>
      <c r="X1536" s="10"/>
      <c r="Y1536" s="71">
        <f t="shared" si="68"/>
        <v>0</v>
      </c>
      <c r="Z1536" s="73">
        <f t="shared" si="69"/>
        <v>0</v>
      </c>
      <c r="AA1536" s="11" t="str">
        <f t="shared" si="70"/>
        <v/>
      </c>
      <c r="AB1536" s="73">
        <f t="shared" si="71"/>
        <v>-11</v>
      </c>
      <c r="AC1536" s="11" t="str">
        <f t="shared" si="72"/>
        <v/>
      </c>
      <c r="AD1536" s="73">
        <f t="shared" si="73"/>
        <v>0</v>
      </c>
      <c r="AE1536" s="11" t="str">
        <f t="shared" si="74"/>
        <v/>
      </c>
      <c r="AF1536" s="73">
        <f t="shared" si="75"/>
        <v>-10.998464</v>
      </c>
      <c r="AG1536" s="11" t="str">
        <f t="shared" si="76"/>
        <v/>
      </c>
      <c r="AH1536" s="73">
        <f t="shared" si="77"/>
        <v>1.536E-3</v>
      </c>
    </row>
    <row r="1537" spans="1:34" ht="14.25" customHeight="1">
      <c r="A1537" s="11">
        <v>1522</v>
      </c>
      <c r="B1537" s="66" t="s">
        <v>35</v>
      </c>
      <c r="C1537" s="67">
        <v>46023</v>
      </c>
      <c r="D1537" s="67"/>
      <c r="E1537" s="67"/>
      <c r="F1537" s="67"/>
      <c r="G1537" s="67" t="s">
        <v>35</v>
      </c>
      <c r="H1537" s="67">
        <v>45561</v>
      </c>
      <c r="I1537" s="6" t="s">
        <v>2164</v>
      </c>
      <c r="J1537" s="9">
        <v>8758703246</v>
      </c>
      <c r="K1537" s="68">
        <v>45535</v>
      </c>
      <c r="L1537" s="68">
        <v>46022</v>
      </c>
      <c r="M1537" s="68">
        <v>46203</v>
      </c>
      <c r="N1537" s="69">
        <f t="shared" si="65"/>
        <v>6</v>
      </c>
      <c r="O1537" s="69">
        <f t="shared" si="66"/>
        <v>2</v>
      </c>
      <c r="P1537" s="70">
        <v>0</v>
      </c>
      <c r="Q1537" s="70">
        <v>4</v>
      </c>
      <c r="R1537" s="70">
        <v>6</v>
      </c>
      <c r="S1537" s="68" t="str">
        <f t="shared" si="67"/>
        <v/>
      </c>
      <c r="T1537" s="68"/>
      <c r="U1537" s="95"/>
      <c r="V1537" s="68"/>
      <c r="W1537" s="9"/>
      <c r="X1537" s="10"/>
      <c r="Y1537" s="71">
        <f t="shared" si="68"/>
        <v>4</v>
      </c>
      <c r="Z1537" s="73">
        <f t="shared" si="69"/>
        <v>6</v>
      </c>
      <c r="AA1537" s="73">
        <f t="shared" si="70"/>
        <v>6</v>
      </c>
      <c r="AB1537" s="73">
        <f t="shared" si="71"/>
        <v>6</v>
      </c>
      <c r="AC1537" s="73">
        <f t="shared" si="72"/>
        <v>2</v>
      </c>
      <c r="AD1537" s="73">
        <f t="shared" si="73"/>
        <v>2</v>
      </c>
      <c r="AE1537" s="73">
        <f t="shared" si="74"/>
        <v>6.0015369999999999</v>
      </c>
      <c r="AF1537" s="73">
        <f t="shared" si="75"/>
        <v>6.0015369999999999</v>
      </c>
      <c r="AG1537" s="73">
        <f t="shared" si="76"/>
        <v>2.0015369999999999</v>
      </c>
      <c r="AH1537" s="73">
        <f t="shared" si="77"/>
        <v>2.0015369999999999</v>
      </c>
    </row>
    <row r="1538" spans="1:34" ht="14.25" customHeight="1">
      <c r="A1538" s="11">
        <v>1523</v>
      </c>
      <c r="B1538" s="66"/>
      <c r="C1538" s="67"/>
      <c r="D1538" s="67"/>
      <c r="E1538" s="67"/>
      <c r="F1538" s="67"/>
      <c r="G1538" s="67" t="s">
        <v>35</v>
      </c>
      <c r="H1538" s="67">
        <v>44406</v>
      </c>
      <c r="I1538" s="6" t="s">
        <v>2165</v>
      </c>
      <c r="J1538" s="9">
        <v>8758800682</v>
      </c>
      <c r="K1538" s="68">
        <v>44377</v>
      </c>
      <c r="L1538" s="68">
        <v>46022</v>
      </c>
      <c r="M1538" s="68">
        <v>46203</v>
      </c>
      <c r="N1538" s="69">
        <f t="shared" si="65"/>
        <v>-5</v>
      </c>
      <c r="O1538" s="69">
        <f t="shared" si="66"/>
        <v>-3</v>
      </c>
      <c r="P1538" s="70">
        <v>14</v>
      </c>
      <c r="Q1538" s="70">
        <v>12</v>
      </c>
      <c r="R1538" s="70">
        <v>9</v>
      </c>
      <c r="S1538" s="68" t="str">
        <f t="shared" si="67"/>
        <v/>
      </c>
      <c r="T1538" s="68"/>
      <c r="U1538" s="95"/>
      <c r="V1538" s="68"/>
      <c r="W1538" s="9"/>
      <c r="X1538" s="10"/>
      <c r="Y1538" s="71">
        <f t="shared" si="68"/>
        <v>12</v>
      </c>
      <c r="Z1538" s="73">
        <f t="shared" si="69"/>
        <v>9</v>
      </c>
      <c r="AA1538" s="11" t="str">
        <f t="shared" si="70"/>
        <v/>
      </c>
      <c r="AB1538" s="73">
        <f t="shared" si="71"/>
        <v>-5</v>
      </c>
      <c r="AC1538" s="11" t="str">
        <f t="shared" si="72"/>
        <v/>
      </c>
      <c r="AD1538" s="73">
        <f t="shared" si="73"/>
        <v>-3</v>
      </c>
      <c r="AE1538" s="11" t="str">
        <f t="shared" si="74"/>
        <v/>
      </c>
      <c r="AF1538" s="73">
        <f t="shared" si="75"/>
        <v>-4.998462</v>
      </c>
      <c r="AG1538" s="11" t="str">
        <f t="shared" si="76"/>
        <v/>
      </c>
      <c r="AH1538" s="73">
        <f t="shared" si="77"/>
        <v>-2.998462</v>
      </c>
    </row>
    <row r="1539" spans="1:34" ht="14.25" customHeight="1">
      <c r="A1539" s="11">
        <v>1524</v>
      </c>
      <c r="B1539" s="66"/>
      <c r="C1539" s="67"/>
      <c r="D1539" s="67"/>
      <c r="E1539" s="67"/>
      <c r="F1539" s="67"/>
      <c r="G1539" s="67" t="s">
        <v>35</v>
      </c>
      <c r="H1539" s="67">
        <v>45510</v>
      </c>
      <c r="I1539" s="6" t="s">
        <v>2166</v>
      </c>
      <c r="J1539" s="9">
        <v>8768601259</v>
      </c>
      <c r="K1539" s="68">
        <v>45504</v>
      </c>
      <c r="L1539" s="68">
        <v>46022</v>
      </c>
      <c r="M1539" s="68">
        <v>46203</v>
      </c>
      <c r="N1539" s="69">
        <f t="shared" si="65"/>
        <v>15</v>
      </c>
      <c r="O1539" s="69">
        <f t="shared" si="66"/>
        <v>16</v>
      </c>
      <c r="P1539" s="70">
        <v>43</v>
      </c>
      <c r="Q1539" s="70">
        <v>42</v>
      </c>
      <c r="R1539" s="70">
        <v>58</v>
      </c>
      <c r="S1539" s="68" t="str">
        <f t="shared" si="67"/>
        <v/>
      </c>
      <c r="T1539" s="68"/>
      <c r="U1539" s="95"/>
      <c r="V1539" s="68"/>
      <c r="W1539" s="9"/>
      <c r="X1539" s="10"/>
      <c r="Y1539" s="71">
        <f t="shared" si="68"/>
        <v>42</v>
      </c>
      <c r="Z1539" s="73">
        <f t="shared" si="69"/>
        <v>58</v>
      </c>
      <c r="AA1539" s="11" t="str">
        <f t="shared" si="70"/>
        <v/>
      </c>
      <c r="AB1539" s="73">
        <f t="shared" si="71"/>
        <v>15</v>
      </c>
      <c r="AC1539" s="11" t="str">
        <f t="shared" si="72"/>
        <v/>
      </c>
      <c r="AD1539" s="73">
        <f t="shared" si="73"/>
        <v>16</v>
      </c>
      <c r="AE1539" s="11" t="str">
        <f t="shared" si="74"/>
        <v/>
      </c>
      <c r="AF1539" s="73">
        <f t="shared" si="75"/>
        <v>15.001538999999999</v>
      </c>
      <c r="AG1539" s="11" t="str">
        <f t="shared" si="76"/>
        <v/>
      </c>
      <c r="AH1539" s="73">
        <f t="shared" si="77"/>
        <v>16.001539000000001</v>
      </c>
    </row>
    <row r="1540" spans="1:34" ht="14.25" customHeight="1">
      <c r="A1540" s="11">
        <v>1525</v>
      </c>
      <c r="B1540" s="66"/>
      <c r="C1540" s="67"/>
      <c r="D1540" s="67"/>
      <c r="E1540" s="67"/>
      <c r="F1540" s="67"/>
      <c r="G1540" s="67" t="s">
        <v>35</v>
      </c>
      <c r="H1540" s="67">
        <v>44039</v>
      </c>
      <c r="I1540" s="6" t="s">
        <v>2167</v>
      </c>
      <c r="J1540" s="9">
        <v>8768801379</v>
      </c>
      <c r="K1540" s="68">
        <v>44012</v>
      </c>
      <c r="L1540" s="68">
        <v>46022</v>
      </c>
      <c r="M1540" s="68">
        <v>46203</v>
      </c>
      <c r="N1540" s="69">
        <f t="shared" si="65"/>
        <v>103</v>
      </c>
      <c r="O1540" s="69">
        <f t="shared" si="66"/>
        <v>18</v>
      </c>
      <c r="P1540" s="70">
        <v>6</v>
      </c>
      <c r="Q1540" s="70">
        <v>91</v>
      </c>
      <c r="R1540" s="70">
        <v>109</v>
      </c>
      <c r="S1540" s="68" t="str">
        <f t="shared" si="67"/>
        <v/>
      </c>
      <c r="T1540" s="68"/>
      <c r="U1540" s="95"/>
      <c r="V1540" s="68"/>
      <c r="W1540" s="9"/>
      <c r="X1540" s="10"/>
      <c r="Y1540" s="71">
        <f t="shared" si="68"/>
        <v>91</v>
      </c>
      <c r="Z1540" s="73">
        <f t="shared" si="69"/>
        <v>109</v>
      </c>
      <c r="AA1540" s="11" t="str">
        <f t="shared" si="70"/>
        <v/>
      </c>
      <c r="AB1540" s="73">
        <f t="shared" si="71"/>
        <v>103</v>
      </c>
      <c r="AC1540" s="11" t="str">
        <f t="shared" si="72"/>
        <v/>
      </c>
      <c r="AD1540" s="73">
        <f t="shared" si="73"/>
        <v>18</v>
      </c>
      <c r="AE1540" s="11" t="str">
        <f t="shared" si="74"/>
        <v/>
      </c>
      <c r="AF1540" s="73">
        <f t="shared" si="75"/>
        <v>103.00154000000001</v>
      </c>
      <c r="AG1540" s="11" t="str">
        <f t="shared" si="76"/>
        <v/>
      </c>
      <c r="AH1540" s="73">
        <f t="shared" si="77"/>
        <v>18.001539999999999</v>
      </c>
    </row>
    <row r="1541" spans="1:34" ht="14.25" customHeight="1">
      <c r="A1541" s="11">
        <v>1526</v>
      </c>
      <c r="B1541" s="66"/>
      <c r="C1541" s="67"/>
      <c r="D1541" s="67"/>
      <c r="E1541" s="67"/>
      <c r="F1541" s="67"/>
      <c r="G1541" s="67" t="s">
        <v>35</v>
      </c>
      <c r="H1541" s="67">
        <v>44432</v>
      </c>
      <c r="I1541" s="6" t="s">
        <v>2168</v>
      </c>
      <c r="J1541" s="9">
        <v>8788101250</v>
      </c>
      <c r="K1541" s="68">
        <v>44408</v>
      </c>
      <c r="L1541" s="68">
        <v>46022</v>
      </c>
      <c r="M1541" s="68">
        <v>46203</v>
      </c>
      <c r="N1541" s="69">
        <f t="shared" si="65"/>
        <v>49</v>
      </c>
      <c r="O1541" s="69">
        <f t="shared" si="66"/>
        <v>10</v>
      </c>
      <c r="P1541" s="70">
        <v>10</v>
      </c>
      <c r="Q1541" s="70">
        <v>49</v>
      </c>
      <c r="R1541" s="70">
        <v>59</v>
      </c>
      <c r="S1541" s="68" t="str">
        <f t="shared" si="67"/>
        <v/>
      </c>
      <c r="T1541" s="68"/>
      <c r="U1541" s="95"/>
      <c r="V1541" s="68"/>
      <c r="W1541" s="9"/>
      <c r="X1541" s="10"/>
      <c r="Y1541" s="71">
        <f t="shared" si="68"/>
        <v>49</v>
      </c>
      <c r="Z1541" s="73">
        <f t="shared" si="69"/>
        <v>59</v>
      </c>
      <c r="AA1541" s="11" t="str">
        <f t="shared" si="70"/>
        <v/>
      </c>
      <c r="AB1541" s="73">
        <f t="shared" si="71"/>
        <v>49</v>
      </c>
      <c r="AC1541" s="11" t="str">
        <f t="shared" si="72"/>
        <v/>
      </c>
      <c r="AD1541" s="73">
        <f t="shared" si="73"/>
        <v>10</v>
      </c>
      <c r="AE1541" s="11" t="str">
        <f t="shared" si="74"/>
        <v/>
      </c>
      <c r="AF1541" s="73">
        <f t="shared" si="75"/>
        <v>49.001541000000003</v>
      </c>
      <c r="AG1541" s="11" t="str">
        <f t="shared" si="76"/>
        <v/>
      </c>
      <c r="AH1541" s="73">
        <f t="shared" si="77"/>
        <v>10.001541</v>
      </c>
    </row>
    <row r="1542" spans="1:34" ht="14.25" customHeight="1">
      <c r="A1542" s="11">
        <v>1527</v>
      </c>
      <c r="B1542" s="66"/>
      <c r="C1542" s="67"/>
      <c r="D1542" s="67"/>
      <c r="E1542" s="67"/>
      <c r="F1542" s="67"/>
      <c r="G1542" s="67" t="s">
        <v>35</v>
      </c>
      <c r="H1542" s="67">
        <v>44519</v>
      </c>
      <c r="I1542" s="6" t="s">
        <v>2169</v>
      </c>
      <c r="J1542" s="9">
        <v>8788701252</v>
      </c>
      <c r="K1542" s="68">
        <v>44500</v>
      </c>
      <c r="L1542" s="68">
        <v>46022</v>
      </c>
      <c r="M1542" s="68">
        <v>46203</v>
      </c>
      <c r="N1542" s="69">
        <f t="shared" si="65"/>
        <v>3</v>
      </c>
      <c r="O1542" s="69">
        <f t="shared" si="66"/>
        <v>-1</v>
      </c>
      <c r="P1542" s="70">
        <v>10</v>
      </c>
      <c r="Q1542" s="70">
        <v>14</v>
      </c>
      <c r="R1542" s="70">
        <v>13</v>
      </c>
      <c r="S1542" s="68" t="str">
        <f t="shared" si="67"/>
        <v/>
      </c>
      <c r="T1542" s="68"/>
      <c r="U1542" s="95"/>
      <c r="V1542" s="68"/>
      <c r="W1542" s="9"/>
      <c r="X1542" s="10"/>
      <c r="Y1542" s="71">
        <f t="shared" si="68"/>
        <v>14</v>
      </c>
      <c r="Z1542" s="73">
        <f t="shared" si="69"/>
        <v>13</v>
      </c>
      <c r="AA1542" s="11" t="str">
        <f t="shared" si="70"/>
        <v/>
      </c>
      <c r="AB1542" s="73">
        <f t="shared" si="71"/>
        <v>3</v>
      </c>
      <c r="AC1542" s="11" t="str">
        <f t="shared" si="72"/>
        <v/>
      </c>
      <c r="AD1542" s="73">
        <f t="shared" si="73"/>
        <v>-1</v>
      </c>
      <c r="AE1542" s="11" t="str">
        <f t="shared" si="74"/>
        <v/>
      </c>
      <c r="AF1542" s="73">
        <f t="shared" si="75"/>
        <v>3.0015420000000002</v>
      </c>
      <c r="AG1542" s="11" t="str">
        <f t="shared" si="76"/>
        <v/>
      </c>
      <c r="AH1542" s="73">
        <f t="shared" si="77"/>
        <v>-0.99845799999999996</v>
      </c>
    </row>
    <row r="1543" spans="1:34" ht="14.25" customHeight="1">
      <c r="A1543" s="11">
        <v>1528</v>
      </c>
      <c r="B1543" s="66"/>
      <c r="C1543" s="67"/>
      <c r="D1543" s="67"/>
      <c r="E1543" s="67"/>
      <c r="F1543" s="67"/>
      <c r="G1543" s="67" t="s">
        <v>35</v>
      </c>
      <c r="H1543" s="67">
        <v>44386</v>
      </c>
      <c r="I1543" s="6" t="s">
        <v>2170</v>
      </c>
      <c r="J1543" s="9">
        <v>8788801768</v>
      </c>
      <c r="K1543" s="68">
        <v>44377</v>
      </c>
      <c r="L1543" s="68">
        <v>46022</v>
      </c>
      <c r="M1543" s="68">
        <v>46203</v>
      </c>
      <c r="N1543" s="69">
        <f t="shared" si="65"/>
        <v>47</v>
      </c>
      <c r="O1543" s="69">
        <f t="shared" si="66"/>
        <v>-5</v>
      </c>
      <c r="P1543" s="70">
        <v>6</v>
      </c>
      <c r="Q1543" s="70">
        <v>58</v>
      </c>
      <c r="R1543" s="70">
        <v>53</v>
      </c>
      <c r="S1543" s="68" t="str">
        <f t="shared" si="67"/>
        <v/>
      </c>
      <c r="T1543" s="68"/>
      <c r="U1543" s="95"/>
      <c r="V1543" s="68"/>
      <c r="W1543" s="9"/>
      <c r="X1543" s="10"/>
      <c r="Y1543" s="71">
        <f t="shared" si="68"/>
        <v>58</v>
      </c>
      <c r="Z1543" s="73">
        <f t="shared" si="69"/>
        <v>53</v>
      </c>
      <c r="AA1543" s="11" t="str">
        <f t="shared" si="70"/>
        <v/>
      </c>
      <c r="AB1543" s="73">
        <f t="shared" si="71"/>
        <v>47</v>
      </c>
      <c r="AC1543" s="11" t="str">
        <f t="shared" si="72"/>
        <v/>
      </c>
      <c r="AD1543" s="73">
        <f t="shared" si="73"/>
        <v>-5</v>
      </c>
      <c r="AE1543" s="11" t="str">
        <f t="shared" si="74"/>
        <v/>
      </c>
      <c r="AF1543" s="73">
        <f t="shared" si="75"/>
        <v>47.001542999999998</v>
      </c>
      <c r="AG1543" s="11" t="str">
        <f t="shared" si="76"/>
        <v/>
      </c>
      <c r="AH1543" s="73">
        <f t="shared" si="77"/>
        <v>-4.9984570000000001</v>
      </c>
    </row>
    <row r="1544" spans="1:34" ht="14.25" customHeight="1">
      <c r="A1544" s="11">
        <v>1529</v>
      </c>
      <c r="B1544" s="66" t="s">
        <v>35</v>
      </c>
      <c r="C1544" s="67">
        <v>45170</v>
      </c>
      <c r="D1544" s="67"/>
      <c r="E1544" s="67"/>
      <c r="F1544" s="67"/>
      <c r="G1544" s="67" t="s">
        <v>35</v>
      </c>
      <c r="H1544" s="67">
        <v>45260</v>
      </c>
      <c r="I1544" s="6" t="s">
        <v>2171</v>
      </c>
      <c r="J1544" s="9">
        <v>8798702803</v>
      </c>
      <c r="K1544" s="68">
        <v>45169</v>
      </c>
      <c r="L1544" s="68">
        <v>46022</v>
      </c>
      <c r="M1544" s="68">
        <v>46203</v>
      </c>
      <c r="N1544" s="69">
        <f t="shared" si="65"/>
        <v>14</v>
      </c>
      <c r="O1544" s="69">
        <f t="shared" si="66"/>
        <v>4</v>
      </c>
      <c r="P1544" s="70">
        <v>4</v>
      </c>
      <c r="Q1544" s="70">
        <v>14</v>
      </c>
      <c r="R1544" s="70">
        <v>18</v>
      </c>
      <c r="S1544" s="68" t="str">
        <f t="shared" si="67"/>
        <v/>
      </c>
      <c r="T1544" s="68"/>
      <c r="U1544" s="95"/>
      <c r="V1544" s="68"/>
      <c r="W1544" s="9"/>
      <c r="X1544" s="10"/>
      <c r="Y1544" s="71">
        <f t="shared" si="68"/>
        <v>14</v>
      </c>
      <c r="Z1544" s="73">
        <f t="shared" si="69"/>
        <v>18</v>
      </c>
      <c r="AA1544" s="73">
        <f t="shared" si="70"/>
        <v>14</v>
      </c>
      <c r="AB1544" s="73">
        <f t="shared" si="71"/>
        <v>14</v>
      </c>
      <c r="AC1544" s="73">
        <f t="shared" si="72"/>
        <v>4</v>
      </c>
      <c r="AD1544" s="73">
        <f t="shared" si="73"/>
        <v>4</v>
      </c>
      <c r="AE1544" s="73">
        <f t="shared" si="74"/>
        <v>14.001544000000001</v>
      </c>
      <c r="AF1544" s="73">
        <f t="shared" si="75"/>
        <v>14.001544000000001</v>
      </c>
      <c r="AG1544" s="73">
        <f t="shared" si="76"/>
        <v>4.001544</v>
      </c>
      <c r="AH1544" s="73">
        <f t="shared" si="77"/>
        <v>4.001544</v>
      </c>
    </row>
    <row r="1545" spans="1:34" ht="14.25" customHeight="1">
      <c r="A1545" s="11">
        <v>1530</v>
      </c>
      <c r="B1545" s="66"/>
      <c r="C1545" s="67"/>
      <c r="D1545" s="67"/>
      <c r="E1545" s="67"/>
      <c r="F1545" s="67"/>
      <c r="G1545" s="67" t="s">
        <v>35</v>
      </c>
      <c r="H1545" s="67">
        <v>42460</v>
      </c>
      <c r="I1545" s="6" t="s">
        <v>2172</v>
      </c>
      <c r="J1545" s="9">
        <v>8798801081</v>
      </c>
      <c r="K1545" s="68">
        <v>42429</v>
      </c>
      <c r="L1545" s="68">
        <v>46022</v>
      </c>
      <c r="M1545" s="68">
        <v>46203</v>
      </c>
      <c r="N1545" s="69">
        <f t="shared" si="65"/>
        <v>4</v>
      </c>
      <c r="O1545" s="69">
        <f t="shared" si="66"/>
        <v>1</v>
      </c>
      <c r="P1545" s="70">
        <v>0</v>
      </c>
      <c r="Q1545" s="70">
        <v>3</v>
      </c>
      <c r="R1545" s="70">
        <v>4</v>
      </c>
      <c r="S1545" s="68" t="str">
        <f t="shared" si="67"/>
        <v/>
      </c>
      <c r="T1545" s="68"/>
      <c r="U1545" s="95"/>
      <c r="V1545" s="68"/>
      <c r="W1545" s="9"/>
      <c r="X1545" s="10"/>
      <c r="Y1545" s="71">
        <f t="shared" si="68"/>
        <v>3</v>
      </c>
      <c r="Z1545" s="73">
        <f t="shared" si="69"/>
        <v>4</v>
      </c>
      <c r="AA1545" s="11" t="str">
        <f t="shared" si="70"/>
        <v/>
      </c>
      <c r="AB1545" s="73">
        <f t="shared" si="71"/>
        <v>4</v>
      </c>
      <c r="AC1545" s="11" t="str">
        <f t="shared" si="72"/>
        <v/>
      </c>
      <c r="AD1545" s="73">
        <f t="shared" si="73"/>
        <v>1</v>
      </c>
      <c r="AE1545" s="11" t="str">
        <f t="shared" si="74"/>
        <v/>
      </c>
      <c r="AF1545" s="73">
        <f t="shared" si="75"/>
        <v>4.0015450000000001</v>
      </c>
      <c r="AG1545" s="11" t="str">
        <f t="shared" si="76"/>
        <v/>
      </c>
      <c r="AH1545" s="73">
        <f t="shared" si="77"/>
        <v>1.0015449999999999</v>
      </c>
    </row>
    <row r="1546" spans="1:34" ht="14.25" customHeight="1">
      <c r="A1546" s="11">
        <v>1531</v>
      </c>
      <c r="B1546" s="66" t="s">
        <v>35</v>
      </c>
      <c r="C1546" s="67">
        <v>45078</v>
      </c>
      <c r="D1546" s="67"/>
      <c r="E1546" s="67"/>
      <c r="F1546" s="67">
        <v>45532</v>
      </c>
      <c r="G1546" s="67"/>
      <c r="H1546" s="67"/>
      <c r="I1546" s="6" t="s">
        <v>2173</v>
      </c>
      <c r="J1546" s="9">
        <v>8798801529</v>
      </c>
      <c r="K1546" s="68">
        <v>45077</v>
      </c>
      <c r="L1546" s="68">
        <v>46022</v>
      </c>
      <c r="M1546" s="68">
        <v>46203</v>
      </c>
      <c r="N1546" s="69">
        <f t="shared" ref="N1546:N1582" si="78">R1546-P1546</f>
        <v>4</v>
      </c>
      <c r="O1546" s="69">
        <f t="shared" ref="O1546:O1582" si="79">IF(M1546&lt;DATE(2026,1,1),"N/A",IF(K1546&gt;=DATE(2026,1,1),R1546-P1546,R1546-Q1546))</f>
        <v>-39</v>
      </c>
      <c r="P1546" s="70">
        <v>26</v>
      </c>
      <c r="Q1546" s="70">
        <v>69</v>
      </c>
      <c r="R1546" s="70">
        <v>30</v>
      </c>
      <c r="S1546" s="68" t="str">
        <f t="shared" ref="S1546:S1582" si="80">IF(OR(LEFT(B1546,6)="Active",G1546="Active"),"",IF(COUNT(C1546,E1546,F1546)&gt;0,IF(COUNT(T1546)=0,"",T1546),IF(COUNT(T1546:W1546)=0,"",MIN(T1546:W1546))))</f>
        <v/>
      </c>
      <c r="T1546" s="68"/>
      <c r="U1546" s="95"/>
      <c r="V1546" s="68"/>
      <c r="W1546" s="9"/>
      <c r="X1546" s="10"/>
      <c r="Y1546" s="71">
        <f t="shared" ref="Y1546:Y1583" si="81">IF($M1546&lt;DATE(2026,1,1),"",IF($K1546&gt;=DATE(2026,1,1),$P1546,$Q1546))</f>
        <v>69</v>
      </c>
      <c r="Z1546" s="73">
        <f t="shared" ref="Z1546:Z1583" si="82">IF($M1546&lt;DATE(2026,1,1),"",$R1546)</f>
        <v>30</v>
      </c>
      <c r="AA1546" s="73">
        <f t="shared" ref="AA1546:AA1583" si="83">IF($B1546="","",IF(ISNUMBER($N1546),$N1546,""))</f>
        <v>4</v>
      </c>
      <c r="AB1546" s="11" t="str">
        <f t="shared" ref="AB1546:AB1583" si="84">IF($G1546="","",IF(ISNUMBER($N1546),$N1546,""))</f>
        <v/>
      </c>
      <c r="AC1546" s="73">
        <f t="shared" ref="AC1546:AC1583" si="85">IF($B1546="","",IF(ISNUMBER($O1546),$O1546,""))</f>
        <v>-39</v>
      </c>
      <c r="AD1546" s="11" t="str">
        <f t="shared" ref="AD1546:AD1583" si="86">IF($G1546="","",IF(ISNUMBER($O1546),$O1546,""))</f>
        <v/>
      </c>
      <c r="AE1546" s="73">
        <f t="shared" ref="AE1546:AE1583" si="87">IF($AA1546="","",$AA1546+ROW()/1000000)</f>
        <v>4.0015460000000003</v>
      </c>
      <c r="AF1546" s="11" t="str">
        <f t="shared" ref="AF1546:AF1583" si="88">IF($AB1546="","",$AB1546+ROW()/1000000)</f>
        <v/>
      </c>
      <c r="AG1546" s="73">
        <f t="shared" ref="AG1546:AG1583" si="89">IF($AC1546="","",$AC1546+ROW()/1000000)</f>
        <v>-38.998454000000002</v>
      </c>
      <c r="AH1546" s="11" t="str">
        <f t="shared" ref="AH1546:AH1583" si="90">IF($AD1546="","",$AD1546+ROW()/1000000)</f>
        <v/>
      </c>
    </row>
    <row r="1547" spans="1:34" ht="14.25" customHeight="1">
      <c r="A1547" s="11">
        <v>1532</v>
      </c>
      <c r="B1547" s="66"/>
      <c r="C1547" s="67"/>
      <c r="D1547" s="67"/>
      <c r="E1547" s="67"/>
      <c r="F1547" s="67"/>
      <c r="G1547" s="67" t="s">
        <v>35</v>
      </c>
      <c r="H1547" s="67">
        <v>45890</v>
      </c>
      <c r="I1547" s="6" t="s">
        <v>2174</v>
      </c>
      <c r="J1547" s="94">
        <v>8798802299</v>
      </c>
      <c r="K1547" s="68">
        <v>45869</v>
      </c>
      <c r="L1547" s="68">
        <v>46022</v>
      </c>
      <c r="M1547" s="68">
        <v>46203</v>
      </c>
      <c r="N1547" s="69">
        <f t="shared" si="78"/>
        <v>9</v>
      </c>
      <c r="O1547" s="69">
        <f t="shared" si="79"/>
        <v>6</v>
      </c>
      <c r="P1547" s="70">
        <v>18</v>
      </c>
      <c r="Q1547" s="70">
        <v>21</v>
      </c>
      <c r="R1547" s="70">
        <v>27</v>
      </c>
      <c r="S1547" s="68" t="str">
        <f t="shared" si="80"/>
        <v/>
      </c>
      <c r="T1547" s="68"/>
      <c r="U1547" s="95"/>
      <c r="V1547" s="68"/>
      <c r="W1547" s="6"/>
      <c r="X1547" s="10"/>
      <c r="Y1547" s="71">
        <f t="shared" si="81"/>
        <v>21</v>
      </c>
      <c r="Z1547" s="73">
        <f t="shared" si="82"/>
        <v>27</v>
      </c>
      <c r="AA1547" s="11" t="str">
        <f t="shared" si="83"/>
        <v/>
      </c>
      <c r="AB1547" s="73">
        <f t="shared" si="84"/>
        <v>9</v>
      </c>
      <c r="AC1547" s="11" t="str">
        <f t="shared" si="85"/>
        <v/>
      </c>
      <c r="AD1547" s="73">
        <f t="shared" si="86"/>
        <v>6</v>
      </c>
      <c r="AE1547" s="11" t="str">
        <f t="shared" si="87"/>
        <v/>
      </c>
      <c r="AF1547" s="73">
        <f t="shared" si="88"/>
        <v>9.0015470000000004</v>
      </c>
      <c r="AG1547" s="11" t="str">
        <f t="shared" si="89"/>
        <v/>
      </c>
      <c r="AH1547" s="73">
        <f t="shared" si="90"/>
        <v>6.0015470000000004</v>
      </c>
    </row>
    <row r="1548" spans="1:34" ht="14.25" customHeight="1">
      <c r="A1548" s="11">
        <v>1533</v>
      </c>
      <c r="B1548" s="66"/>
      <c r="C1548" s="67"/>
      <c r="D1548" s="67"/>
      <c r="E1548" s="67"/>
      <c r="F1548" s="67"/>
      <c r="G1548" s="67" t="s">
        <v>35</v>
      </c>
      <c r="H1548" s="67">
        <v>43235</v>
      </c>
      <c r="I1548" s="6" t="s">
        <v>2175</v>
      </c>
      <c r="J1548" s="9">
        <v>8808600259</v>
      </c>
      <c r="K1548" s="68">
        <v>43220</v>
      </c>
      <c r="L1548" s="68">
        <v>46022</v>
      </c>
      <c r="M1548" s="68">
        <v>46203</v>
      </c>
      <c r="N1548" s="69">
        <f t="shared" si="78"/>
        <v>154</v>
      </c>
      <c r="O1548" s="69">
        <f t="shared" si="79"/>
        <v>-55</v>
      </c>
      <c r="P1548" s="70">
        <v>24</v>
      </c>
      <c r="Q1548" s="70">
        <v>233</v>
      </c>
      <c r="R1548" s="70">
        <v>178</v>
      </c>
      <c r="S1548" s="68" t="str">
        <f t="shared" si="80"/>
        <v/>
      </c>
      <c r="T1548" s="68"/>
      <c r="U1548" s="95"/>
      <c r="V1548" s="68"/>
      <c r="W1548" s="9"/>
      <c r="X1548" s="10"/>
      <c r="Y1548" s="71">
        <f t="shared" si="81"/>
        <v>233</v>
      </c>
      <c r="Z1548" s="73">
        <f t="shared" si="82"/>
        <v>178</v>
      </c>
      <c r="AA1548" s="11" t="str">
        <f t="shared" si="83"/>
        <v/>
      </c>
      <c r="AB1548" s="73">
        <f t="shared" si="84"/>
        <v>154</v>
      </c>
      <c r="AC1548" s="11" t="str">
        <f t="shared" si="85"/>
        <v/>
      </c>
      <c r="AD1548" s="73">
        <f t="shared" si="86"/>
        <v>-55</v>
      </c>
      <c r="AE1548" s="11" t="str">
        <f t="shared" si="87"/>
        <v/>
      </c>
      <c r="AF1548" s="73">
        <f t="shared" si="88"/>
        <v>154.00154800000001</v>
      </c>
      <c r="AG1548" s="11" t="str">
        <f t="shared" si="89"/>
        <v/>
      </c>
      <c r="AH1548" s="73">
        <f t="shared" si="90"/>
        <v>-54.998452</v>
      </c>
    </row>
    <row r="1549" spans="1:34" ht="14.25" customHeight="1">
      <c r="A1549" s="11">
        <v>1534</v>
      </c>
      <c r="B1549" s="66"/>
      <c r="C1549" s="67"/>
      <c r="D1549" s="67"/>
      <c r="E1549" s="67"/>
      <c r="F1549" s="67"/>
      <c r="G1549" s="67" t="s">
        <v>283</v>
      </c>
      <c r="H1549" s="67">
        <v>43482</v>
      </c>
      <c r="I1549" s="6" t="s">
        <v>2176</v>
      </c>
      <c r="J1549" s="9">
        <v>8808801247</v>
      </c>
      <c r="K1549" s="68">
        <v>43465</v>
      </c>
      <c r="L1549" s="68" t="s">
        <v>230</v>
      </c>
      <c r="M1549" s="68">
        <v>45747</v>
      </c>
      <c r="N1549" s="69">
        <f t="shared" si="78"/>
        <v>78</v>
      </c>
      <c r="O1549" s="69" t="str">
        <f t="shared" si="79"/>
        <v>N/A</v>
      </c>
      <c r="P1549" s="70">
        <v>0</v>
      </c>
      <c r="Q1549" s="70"/>
      <c r="R1549" s="70">
        <v>78</v>
      </c>
      <c r="S1549" s="68">
        <f t="shared" si="80"/>
        <v>45721</v>
      </c>
      <c r="T1549" s="68"/>
      <c r="U1549" s="95"/>
      <c r="V1549" s="68"/>
      <c r="W1549" s="68">
        <v>45721</v>
      </c>
      <c r="X1549" s="10"/>
      <c r="Y1549" s="65" t="str">
        <f t="shared" si="81"/>
        <v/>
      </c>
      <c r="Z1549" s="11" t="str">
        <f t="shared" si="82"/>
        <v/>
      </c>
      <c r="AA1549" s="11" t="str">
        <f t="shared" si="83"/>
        <v/>
      </c>
      <c r="AB1549" s="73">
        <f t="shared" si="84"/>
        <v>78</v>
      </c>
      <c r="AC1549" s="11" t="str">
        <f t="shared" si="85"/>
        <v/>
      </c>
      <c r="AD1549" s="11" t="str">
        <f t="shared" si="86"/>
        <v/>
      </c>
      <c r="AE1549" s="11" t="str">
        <f t="shared" si="87"/>
        <v/>
      </c>
      <c r="AF1549" s="73">
        <f t="shared" si="88"/>
        <v>78.001548999999997</v>
      </c>
      <c r="AG1549" s="11" t="str">
        <f t="shared" si="89"/>
        <v/>
      </c>
      <c r="AH1549" s="11" t="str">
        <f t="shared" si="90"/>
        <v/>
      </c>
    </row>
    <row r="1550" spans="1:34" ht="14.25" customHeight="1">
      <c r="A1550" s="11">
        <v>1535</v>
      </c>
      <c r="B1550" s="66"/>
      <c r="C1550" s="67"/>
      <c r="D1550" s="67"/>
      <c r="E1550" s="67"/>
      <c r="F1550" s="67"/>
      <c r="G1550" s="67" t="s">
        <v>35</v>
      </c>
      <c r="H1550" s="67">
        <v>44694</v>
      </c>
      <c r="I1550" s="6" t="s">
        <v>2177</v>
      </c>
      <c r="J1550" s="9">
        <v>8808801868</v>
      </c>
      <c r="K1550" s="68">
        <v>44681</v>
      </c>
      <c r="L1550" s="68">
        <v>46022</v>
      </c>
      <c r="M1550" s="68">
        <v>46203</v>
      </c>
      <c r="N1550" s="69">
        <f t="shared" si="78"/>
        <v>4</v>
      </c>
      <c r="O1550" s="69">
        <f t="shared" si="79"/>
        <v>-11</v>
      </c>
      <c r="P1550" s="70">
        <v>10</v>
      </c>
      <c r="Q1550" s="70">
        <v>25</v>
      </c>
      <c r="R1550" s="70">
        <v>14</v>
      </c>
      <c r="S1550" s="68" t="str">
        <f t="shared" si="80"/>
        <v/>
      </c>
      <c r="T1550" s="68"/>
      <c r="U1550" s="95"/>
      <c r="V1550" s="68"/>
      <c r="W1550" s="9"/>
      <c r="X1550" s="10" t="s">
        <v>2178</v>
      </c>
      <c r="Y1550" s="71">
        <f t="shared" si="81"/>
        <v>25</v>
      </c>
      <c r="Z1550" s="73">
        <f t="shared" si="82"/>
        <v>14</v>
      </c>
      <c r="AA1550" s="11" t="str">
        <f t="shared" si="83"/>
        <v/>
      </c>
      <c r="AB1550" s="73">
        <f t="shared" si="84"/>
        <v>4</v>
      </c>
      <c r="AC1550" s="11" t="str">
        <f t="shared" si="85"/>
        <v/>
      </c>
      <c r="AD1550" s="73">
        <f t="shared" si="86"/>
        <v>-11</v>
      </c>
      <c r="AE1550" s="11" t="str">
        <f t="shared" si="87"/>
        <v/>
      </c>
      <c r="AF1550" s="73">
        <f t="shared" si="88"/>
        <v>4.0015499999999999</v>
      </c>
      <c r="AG1550" s="11" t="str">
        <f t="shared" si="89"/>
        <v/>
      </c>
      <c r="AH1550" s="73">
        <f t="shared" si="90"/>
        <v>-10.99845</v>
      </c>
    </row>
    <row r="1551" spans="1:34" ht="14.25" customHeight="1">
      <c r="A1551" s="11">
        <v>1536</v>
      </c>
      <c r="B1551" s="66"/>
      <c r="C1551" s="67"/>
      <c r="D1551" s="67"/>
      <c r="E1551" s="67"/>
      <c r="F1551" s="67"/>
      <c r="G1551" s="67" t="s">
        <v>35</v>
      </c>
      <c r="H1551" s="67">
        <v>44531</v>
      </c>
      <c r="I1551" s="6" t="s">
        <v>2179</v>
      </c>
      <c r="J1551" s="9">
        <v>8818601038</v>
      </c>
      <c r="K1551" s="68">
        <v>44530</v>
      </c>
      <c r="L1551" s="68">
        <v>46022</v>
      </c>
      <c r="M1551" s="68">
        <v>46203</v>
      </c>
      <c r="N1551" s="69">
        <f t="shared" si="78"/>
        <v>5</v>
      </c>
      <c r="O1551" s="69">
        <f t="shared" si="79"/>
        <v>-1</v>
      </c>
      <c r="P1551" s="70">
        <v>14</v>
      </c>
      <c r="Q1551" s="70">
        <v>20</v>
      </c>
      <c r="R1551" s="70">
        <v>19</v>
      </c>
      <c r="S1551" s="68" t="str">
        <f t="shared" si="80"/>
        <v/>
      </c>
      <c r="T1551" s="68"/>
      <c r="U1551" s="95"/>
      <c r="V1551" s="68"/>
      <c r="W1551" s="9"/>
      <c r="X1551" s="10"/>
      <c r="Y1551" s="71">
        <f t="shared" si="81"/>
        <v>20</v>
      </c>
      <c r="Z1551" s="73">
        <f t="shared" si="82"/>
        <v>19</v>
      </c>
      <c r="AA1551" s="11" t="str">
        <f t="shared" si="83"/>
        <v/>
      </c>
      <c r="AB1551" s="73">
        <f t="shared" si="84"/>
        <v>5</v>
      </c>
      <c r="AC1551" s="11" t="str">
        <f t="shared" si="85"/>
        <v/>
      </c>
      <c r="AD1551" s="73">
        <f t="shared" si="86"/>
        <v>-1</v>
      </c>
      <c r="AE1551" s="11" t="str">
        <f t="shared" si="87"/>
        <v/>
      </c>
      <c r="AF1551" s="73">
        <f t="shared" si="88"/>
        <v>5.0015510000000001</v>
      </c>
      <c r="AG1551" s="11" t="str">
        <f t="shared" si="89"/>
        <v/>
      </c>
      <c r="AH1551" s="73">
        <f t="shared" si="90"/>
        <v>-0.99844900000000003</v>
      </c>
    </row>
    <row r="1552" spans="1:34" ht="14.25" customHeight="1">
      <c r="A1552" s="11">
        <v>1537</v>
      </c>
      <c r="B1552" s="66"/>
      <c r="C1552" s="67"/>
      <c r="D1552" s="67"/>
      <c r="E1552" s="67"/>
      <c r="F1552" s="67"/>
      <c r="G1552" s="67" t="s">
        <v>35</v>
      </c>
      <c r="H1552" s="67">
        <v>44917</v>
      </c>
      <c r="I1552" s="6" t="s">
        <v>2180</v>
      </c>
      <c r="J1552" s="9">
        <v>8818701879</v>
      </c>
      <c r="K1552" s="68">
        <v>44895</v>
      </c>
      <c r="L1552" s="68">
        <v>46022</v>
      </c>
      <c r="M1552" s="68">
        <v>46203</v>
      </c>
      <c r="N1552" s="69">
        <f t="shared" si="78"/>
        <v>-29</v>
      </c>
      <c r="O1552" s="69">
        <f t="shared" si="79"/>
        <v>0</v>
      </c>
      <c r="P1552" s="70">
        <v>30</v>
      </c>
      <c r="Q1552" s="70">
        <v>1</v>
      </c>
      <c r="R1552" s="70">
        <v>1</v>
      </c>
      <c r="S1552" s="68" t="str">
        <f t="shared" si="80"/>
        <v/>
      </c>
      <c r="T1552" s="68"/>
      <c r="U1552" s="95"/>
      <c r="V1552" s="68"/>
      <c r="W1552" s="9"/>
      <c r="X1552" s="10"/>
      <c r="Y1552" s="71">
        <f t="shared" si="81"/>
        <v>1</v>
      </c>
      <c r="Z1552" s="73">
        <f t="shared" si="82"/>
        <v>1</v>
      </c>
      <c r="AA1552" s="11" t="str">
        <f t="shared" si="83"/>
        <v/>
      </c>
      <c r="AB1552" s="73">
        <f t="shared" si="84"/>
        <v>-29</v>
      </c>
      <c r="AC1552" s="11" t="str">
        <f t="shared" si="85"/>
        <v/>
      </c>
      <c r="AD1552" s="73">
        <f t="shared" si="86"/>
        <v>0</v>
      </c>
      <c r="AE1552" s="11" t="str">
        <f t="shared" si="87"/>
        <v/>
      </c>
      <c r="AF1552" s="73">
        <f t="shared" si="88"/>
        <v>-28.998448</v>
      </c>
      <c r="AG1552" s="11" t="str">
        <f t="shared" si="89"/>
        <v/>
      </c>
      <c r="AH1552" s="73">
        <f t="shared" si="90"/>
        <v>1.552E-3</v>
      </c>
    </row>
    <row r="1553" spans="1:34" ht="14.25" customHeight="1">
      <c r="A1553" s="11">
        <v>1538</v>
      </c>
      <c r="B1553" s="66"/>
      <c r="C1553" s="67"/>
      <c r="D1553" s="67"/>
      <c r="E1553" s="67"/>
      <c r="F1553" s="67"/>
      <c r="G1553" s="67" t="s">
        <v>35</v>
      </c>
      <c r="H1553" s="67">
        <v>45835</v>
      </c>
      <c r="I1553" s="6" t="s">
        <v>2181</v>
      </c>
      <c r="J1553" s="9">
        <v>8818800727</v>
      </c>
      <c r="K1553" s="68">
        <v>45808</v>
      </c>
      <c r="L1553" s="68">
        <v>46022</v>
      </c>
      <c r="M1553" s="68">
        <v>46203</v>
      </c>
      <c r="N1553" s="69">
        <f t="shared" si="78"/>
        <v>-5</v>
      </c>
      <c r="O1553" s="69">
        <f t="shared" si="79"/>
        <v>-1</v>
      </c>
      <c r="P1553" s="70">
        <v>25</v>
      </c>
      <c r="Q1553" s="70">
        <v>21</v>
      </c>
      <c r="R1553" s="70">
        <v>20</v>
      </c>
      <c r="S1553" s="68" t="str">
        <f t="shared" si="80"/>
        <v/>
      </c>
      <c r="T1553" s="68"/>
      <c r="U1553" s="95"/>
      <c r="V1553" s="68"/>
      <c r="W1553" s="9"/>
      <c r="X1553" s="10"/>
      <c r="Y1553" s="71">
        <f t="shared" si="81"/>
        <v>21</v>
      </c>
      <c r="Z1553" s="73">
        <f t="shared" si="82"/>
        <v>20</v>
      </c>
      <c r="AA1553" s="11" t="str">
        <f t="shared" si="83"/>
        <v/>
      </c>
      <c r="AB1553" s="73">
        <f t="shared" si="84"/>
        <v>-5</v>
      </c>
      <c r="AC1553" s="11" t="str">
        <f t="shared" si="85"/>
        <v/>
      </c>
      <c r="AD1553" s="73">
        <f t="shared" si="86"/>
        <v>-1</v>
      </c>
      <c r="AE1553" s="11" t="str">
        <f t="shared" si="87"/>
        <v/>
      </c>
      <c r="AF1553" s="73">
        <f t="shared" si="88"/>
        <v>-4.9984469999999996</v>
      </c>
      <c r="AG1553" s="11" t="str">
        <f t="shared" si="89"/>
        <v/>
      </c>
      <c r="AH1553" s="73">
        <f t="shared" si="90"/>
        <v>-0.99844699999999997</v>
      </c>
    </row>
    <row r="1554" spans="1:34" ht="14.25" customHeight="1">
      <c r="A1554" s="11">
        <v>1539</v>
      </c>
      <c r="B1554" s="66"/>
      <c r="C1554" s="67"/>
      <c r="D1554" s="67"/>
      <c r="E1554" s="67"/>
      <c r="F1554" s="67"/>
      <c r="G1554" s="67" t="s">
        <v>35</v>
      </c>
      <c r="H1554" s="67">
        <v>44420</v>
      </c>
      <c r="I1554" s="6" t="s">
        <v>2182</v>
      </c>
      <c r="J1554" s="9">
        <v>8818801444</v>
      </c>
      <c r="K1554" s="68">
        <v>44408</v>
      </c>
      <c r="L1554" s="68">
        <v>46022</v>
      </c>
      <c r="M1554" s="68">
        <v>46203</v>
      </c>
      <c r="N1554" s="69">
        <f t="shared" si="78"/>
        <v>66</v>
      </c>
      <c r="O1554" s="69">
        <f t="shared" si="79"/>
        <v>4</v>
      </c>
      <c r="P1554" s="70">
        <v>17</v>
      </c>
      <c r="Q1554" s="70">
        <v>79</v>
      </c>
      <c r="R1554" s="70">
        <v>83</v>
      </c>
      <c r="S1554" s="68" t="str">
        <f t="shared" si="80"/>
        <v/>
      </c>
      <c r="T1554" s="68"/>
      <c r="U1554" s="95"/>
      <c r="V1554" s="68"/>
      <c r="W1554" s="9"/>
      <c r="X1554" s="10"/>
      <c r="Y1554" s="71">
        <f t="shared" si="81"/>
        <v>79</v>
      </c>
      <c r="Z1554" s="73">
        <f t="shared" si="82"/>
        <v>83</v>
      </c>
      <c r="AA1554" s="11" t="str">
        <f t="shared" si="83"/>
        <v/>
      </c>
      <c r="AB1554" s="73">
        <f t="shared" si="84"/>
        <v>66</v>
      </c>
      <c r="AC1554" s="11" t="str">
        <f t="shared" si="85"/>
        <v/>
      </c>
      <c r="AD1554" s="73">
        <f t="shared" si="86"/>
        <v>4</v>
      </c>
      <c r="AE1554" s="11" t="str">
        <f t="shared" si="87"/>
        <v/>
      </c>
      <c r="AF1554" s="73">
        <f t="shared" si="88"/>
        <v>66.001553999999999</v>
      </c>
      <c r="AG1554" s="11" t="str">
        <f t="shared" si="89"/>
        <v/>
      </c>
      <c r="AH1554" s="73">
        <f t="shared" si="90"/>
        <v>4.0015539999999996</v>
      </c>
    </row>
    <row r="1555" spans="1:34" ht="14.25" customHeight="1">
      <c r="A1555" s="11">
        <v>1540</v>
      </c>
      <c r="B1555" s="66"/>
      <c r="C1555" s="67"/>
      <c r="D1555" s="67"/>
      <c r="E1555" s="67"/>
      <c r="F1555" s="67"/>
      <c r="G1555" s="67" t="s">
        <v>35</v>
      </c>
      <c r="H1555" s="67">
        <v>45023</v>
      </c>
      <c r="I1555" s="6" t="s">
        <v>2183</v>
      </c>
      <c r="J1555" s="9">
        <v>8828102092</v>
      </c>
      <c r="K1555" s="68">
        <v>45016</v>
      </c>
      <c r="L1555" s="68">
        <v>46022</v>
      </c>
      <c r="M1555" s="68">
        <v>46203</v>
      </c>
      <c r="N1555" s="69">
        <f t="shared" si="78"/>
        <v>22</v>
      </c>
      <c r="O1555" s="69">
        <f t="shared" si="79"/>
        <v>6</v>
      </c>
      <c r="P1555" s="70">
        <v>11</v>
      </c>
      <c r="Q1555" s="70">
        <v>27</v>
      </c>
      <c r="R1555" s="70">
        <v>33</v>
      </c>
      <c r="S1555" s="68" t="str">
        <f t="shared" si="80"/>
        <v/>
      </c>
      <c r="T1555" s="68"/>
      <c r="U1555" s="95"/>
      <c r="V1555" s="68"/>
      <c r="W1555" s="9"/>
      <c r="X1555" s="10"/>
      <c r="Y1555" s="71">
        <f t="shared" si="81"/>
        <v>27</v>
      </c>
      <c r="Z1555" s="73">
        <f t="shared" si="82"/>
        <v>33</v>
      </c>
      <c r="AA1555" s="11" t="str">
        <f t="shared" si="83"/>
        <v/>
      </c>
      <c r="AB1555" s="73">
        <f t="shared" si="84"/>
        <v>22</v>
      </c>
      <c r="AC1555" s="11" t="str">
        <f t="shared" si="85"/>
        <v/>
      </c>
      <c r="AD1555" s="73">
        <f t="shared" si="86"/>
        <v>6</v>
      </c>
      <c r="AE1555" s="11" t="str">
        <f t="shared" si="87"/>
        <v/>
      </c>
      <c r="AF1555" s="73">
        <f t="shared" si="88"/>
        <v>22.001555</v>
      </c>
      <c r="AG1555" s="11" t="str">
        <f t="shared" si="89"/>
        <v/>
      </c>
      <c r="AH1555" s="73">
        <f t="shared" si="90"/>
        <v>6.0015549999999998</v>
      </c>
    </row>
    <row r="1556" spans="1:34" ht="14.25" customHeight="1">
      <c r="A1556" s="11">
        <v>1541</v>
      </c>
      <c r="B1556" s="66"/>
      <c r="C1556" s="67"/>
      <c r="D1556" s="67"/>
      <c r="E1556" s="67"/>
      <c r="F1556" s="67"/>
      <c r="G1556" s="67" t="s">
        <v>35</v>
      </c>
      <c r="H1556" s="67">
        <v>45379</v>
      </c>
      <c r="I1556" s="6" t="s">
        <v>2184</v>
      </c>
      <c r="J1556" s="9">
        <v>8838801775</v>
      </c>
      <c r="K1556" s="68">
        <v>45351</v>
      </c>
      <c r="L1556" s="68">
        <v>46022</v>
      </c>
      <c r="M1556" s="68">
        <v>46203</v>
      </c>
      <c r="N1556" s="69">
        <f t="shared" si="78"/>
        <v>4</v>
      </c>
      <c r="O1556" s="69">
        <f t="shared" si="79"/>
        <v>3</v>
      </c>
      <c r="P1556" s="70">
        <v>8</v>
      </c>
      <c r="Q1556" s="70">
        <v>9</v>
      </c>
      <c r="R1556" s="70">
        <v>12</v>
      </c>
      <c r="S1556" s="68" t="str">
        <f t="shared" si="80"/>
        <v/>
      </c>
      <c r="T1556" s="68"/>
      <c r="U1556" s="95"/>
      <c r="V1556" s="68"/>
      <c r="W1556" s="9"/>
      <c r="X1556" s="10"/>
      <c r="Y1556" s="71">
        <f t="shared" si="81"/>
        <v>9</v>
      </c>
      <c r="Z1556" s="73">
        <f t="shared" si="82"/>
        <v>12</v>
      </c>
      <c r="AA1556" s="11" t="str">
        <f t="shared" si="83"/>
        <v/>
      </c>
      <c r="AB1556" s="73">
        <f t="shared" si="84"/>
        <v>4</v>
      </c>
      <c r="AC1556" s="11" t="str">
        <f t="shared" si="85"/>
        <v/>
      </c>
      <c r="AD1556" s="73">
        <f t="shared" si="86"/>
        <v>3</v>
      </c>
      <c r="AE1556" s="11" t="str">
        <f t="shared" si="87"/>
        <v/>
      </c>
      <c r="AF1556" s="73">
        <f t="shared" si="88"/>
        <v>4.0015559999999999</v>
      </c>
      <c r="AG1556" s="11" t="str">
        <f t="shared" si="89"/>
        <v/>
      </c>
      <c r="AH1556" s="73">
        <f t="shared" si="90"/>
        <v>3.0015559999999999</v>
      </c>
    </row>
    <row r="1557" spans="1:34" ht="14.25" customHeight="1">
      <c r="A1557" s="11">
        <v>1542</v>
      </c>
      <c r="B1557" s="66"/>
      <c r="C1557" s="67"/>
      <c r="D1557" s="67"/>
      <c r="E1557" s="67"/>
      <c r="F1557" s="67"/>
      <c r="G1557" s="67" t="s">
        <v>35</v>
      </c>
      <c r="H1557" s="67">
        <v>45482</v>
      </c>
      <c r="I1557" s="6" t="s">
        <v>2185</v>
      </c>
      <c r="J1557" s="9">
        <v>8838803297</v>
      </c>
      <c r="K1557" s="68">
        <v>45473</v>
      </c>
      <c r="L1557" s="68">
        <v>46022</v>
      </c>
      <c r="M1557" s="68">
        <v>46203</v>
      </c>
      <c r="N1557" s="69">
        <f t="shared" si="78"/>
        <v>28</v>
      </c>
      <c r="O1557" s="69">
        <f t="shared" si="79"/>
        <v>9</v>
      </c>
      <c r="P1557" s="70">
        <v>0</v>
      </c>
      <c r="Q1557" s="70">
        <v>19</v>
      </c>
      <c r="R1557" s="70">
        <v>28</v>
      </c>
      <c r="S1557" s="68" t="str">
        <f t="shared" si="80"/>
        <v/>
      </c>
      <c r="T1557" s="68"/>
      <c r="U1557" s="95"/>
      <c r="V1557" s="68"/>
      <c r="W1557" s="9"/>
      <c r="X1557" s="10"/>
      <c r="Y1557" s="71">
        <f t="shared" si="81"/>
        <v>19</v>
      </c>
      <c r="Z1557" s="73">
        <f t="shared" si="82"/>
        <v>28</v>
      </c>
      <c r="AA1557" s="11" t="str">
        <f t="shared" si="83"/>
        <v/>
      </c>
      <c r="AB1557" s="73">
        <f t="shared" si="84"/>
        <v>28</v>
      </c>
      <c r="AC1557" s="11" t="str">
        <f t="shared" si="85"/>
        <v/>
      </c>
      <c r="AD1557" s="73">
        <f t="shared" si="86"/>
        <v>9</v>
      </c>
      <c r="AE1557" s="11" t="str">
        <f t="shared" si="87"/>
        <v/>
      </c>
      <c r="AF1557" s="73">
        <f t="shared" si="88"/>
        <v>28.001556999999998</v>
      </c>
      <c r="AG1557" s="11" t="str">
        <f t="shared" si="89"/>
        <v/>
      </c>
      <c r="AH1557" s="73">
        <f t="shared" si="90"/>
        <v>9.001557</v>
      </c>
    </row>
    <row r="1558" spans="1:34" ht="14.25" customHeight="1">
      <c r="A1558" s="11">
        <v>1543</v>
      </c>
      <c r="B1558" s="66"/>
      <c r="C1558" s="67"/>
      <c r="D1558" s="67"/>
      <c r="E1558" s="67"/>
      <c r="F1558" s="67"/>
      <c r="G1558" s="67" t="s">
        <v>35</v>
      </c>
      <c r="H1558" s="67">
        <v>45513</v>
      </c>
      <c r="I1558" s="6" t="s">
        <v>2186</v>
      </c>
      <c r="J1558" s="9">
        <v>8848101731</v>
      </c>
      <c r="K1558" s="68">
        <v>45504</v>
      </c>
      <c r="L1558" s="68">
        <v>46022</v>
      </c>
      <c r="M1558" s="68">
        <v>46203</v>
      </c>
      <c r="N1558" s="69">
        <f t="shared" si="78"/>
        <v>15</v>
      </c>
      <c r="O1558" s="69">
        <f t="shared" si="79"/>
        <v>12</v>
      </c>
      <c r="P1558" s="70">
        <v>25</v>
      </c>
      <c r="Q1558" s="70">
        <v>28</v>
      </c>
      <c r="R1558" s="70">
        <v>40</v>
      </c>
      <c r="S1558" s="68" t="str">
        <f t="shared" si="80"/>
        <v/>
      </c>
      <c r="T1558" s="68"/>
      <c r="U1558" s="95"/>
      <c r="V1558" s="68"/>
      <c r="W1558" s="9"/>
      <c r="X1558" s="10"/>
      <c r="Y1558" s="71">
        <f t="shared" si="81"/>
        <v>28</v>
      </c>
      <c r="Z1558" s="73">
        <f t="shared" si="82"/>
        <v>40</v>
      </c>
      <c r="AA1558" s="11" t="str">
        <f t="shared" si="83"/>
        <v/>
      </c>
      <c r="AB1558" s="73">
        <f t="shared" si="84"/>
        <v>15</v>
      </c>
      <c r="AC1558" s="11" t="str">
        <f t="shared" si="85"/>
        <v/>
      </c>
      <c r="AD1558" s="73">
        <f t="shared" si="86"/>
        <v>12</v>
      </c>
      <c r="AE1558" s="11" t="str">
        <f t="shared" si="87"/>
        <v/>
      </c>
      <c r="AF1558" s="73">
        <f t="shared" si="88"/>
        <v>15.001557999999999</v>
      </c>
      <c r="AG1558" s="11" t="str">
        <f t="shared" si="89"/>
        <v/>
      </c>
      <c r="AH1558" s="73">
        <f t="shared" si="90"/>
        <v>12.001557999999999</v>
      </c>
    </row>
    <row r="1559" spans="1:34" ht="14.25" customHeight="1">
      <c r="A1559" s="11">
        <v>1544</v>
      </c>
      <c r="B1559" s="66" t="s">
        <v>35</v>
      </c>
      <c r="C1559" s="67">
        <v>46023</v>
      </c>
      <c r="D1559" s="67"/>
      <c r="E1559" s="67"/>
      <c r="F1559" s="67"/>
      <c r="G1559" s="67" t="s">
        <v>35</v>
      </c>
      <c r="H1559" s="67">
        <v>45532</v>
      </c>
      <c r="I1559" s="6" t="s">
        <v>2187</v>
      </c>
      <c r="J1559" s="9">
        <v>8848601890</v>
      </c>
      <c r="K1559" s="68">
        <v>45504</v>
      </c>
      <c r="L1559" s="68">
        <v>46022</v>
      </c>
      <c r="M1559" s="68">
        <v>46203</v>
      </c>
      <c r="N1559" s="69">
        <f t="shared" si="78"/>
        <v>-8</v>
      </c>
      <c r="O1559" s="69">
        <f t="shared" si="79"/>
        <v>-6</v>
      </c>
      <c r="P1559" s="70">
        <v>11</v>
      </c>
      <c r="Q1559" s="70">
        <v>9</v>
      </c>
      <c r="R1559" s="70">
        <v>3</v>
      </c>
      <c r="S1559" s="68" t="str">
        <f t="shared" si="80"/>
        <v/>
      </c>
      <c r="T1559" s="68"/>
      <c r="U1559" s="95"/>
      <c r="V1559" s="68"/>
      <c r="W1559" s="9"/>
      <c r="X1559" s="10"/>
      <c r="Y1559" s="71">
        <f t="shared" si="81"/>
        <v>9</v>
      </c>
      <c r="Z1559" s="73">
        <f t="shared" si="82"/>
        <v>3</v>
      </c>
      <c r="AA1559" s="73">
        <f t="shared" si="83"/>
        <v>-8</v>
      </c>
      <c r="AB1559" s="73">
        <f t="shared" si="84"/>
        <v>-8</v>
      </c>
      <c r="AC1559" s="73">
        <f t="shared" si="85"/>
        <v>-6</v>
      </c>
      <c r="AD1559" s="73">
        <f t="shared" si="86"/>
        <v>-6</v>
      </c>
      <c r="AE1559" s="73">
        <f t="shared" si="87"/>
        <v>-7.9984409999999997</v>
      </c>
      <c r="AF1559" s="73">
        <f t="shared" si="88"/>
        <v>-7.9984409999999997</v>
      </c>
      <c r="AG1559" s="73">
        <f t="shared" si="89"/>
        <v>-5.9984409999999997</v>
      </c>
      <c r="AH1559" s="73">
        <f t="shared" si="90"/>
        <v>-5.9984409999999997</v>
      </c>
    </row>
    <row r="1560" spans="1:34" ht="14.25" customHeight="1">
      <c r="A1560" s="11">
        <v>1545</v>
      </c>
      <c r="B1560" s="66" t="s">
        <v>35</v>
      </c>
      <c r="C1560" s="67">
        <v>44896</v>
      </c>
      <c r="D1560" s="67"/>
      <c r="E1560" s="67"/>
      <c r="F1560" s="67"/>
      <c r="G1560" s="67"/>
      <c r="H1560" s="67"/>
      <c r="I1560" s="6" t="s">
        <v>2188</v>
      </c>
      <c r="J1560" s="9">
        <v>8858701167</v>
      </c>
      <c r="K1560" s="68">
        <v>44895</v>
      </c>
      <c r="L1560" s="68">
        <v>46022</v>
      </c>
      <c r="M1560" s="68">
        <v>46203</v>
      </c>
      <c r="N1560" s="69">
        <f t="shared" si="78"/>
        <v>1</v>
      </c>
      <c r="O1560" s="69">
        <f t="shared" si="79"/>
        <v>0</v>
      </c>
      <c r="P1560" s="70">
        <v>7</v>
      </c>
      <c r="Q1560" s="70">
        <v>8</v>
      </c>
      <c r="R1560" s="70">
        <v>8</v>
      </c>
      <c r="S1560" s="68" t="str">
        <f t="shared" si="80"/>
        <v/>
      </c>
      <c r="T1560" s="68"/>
      <c r="U1560" s="95"/>
      <c r="V1560" s="68"/>
      <c r="W1560" s="9"/>
      <c r="X1560" s="10"/>
      <c r="Y1560" s="71">
        <f t="shared" si="81"/>
        <v>8</v>
      </c>
      <c r="Z1560" s="73">
        <f t="shared" si="82"/>
        <v>8</v>
      </c>
      <c r="AA1560" s="73">
        <f t="shared" si="83"/>
        <v>1</v>
      </c>
      <c r="AB1560" s="11" t="str">
        <f t="shared" si="84"/>
        <v/>
      </c>
      <c r="AC1560" s="73">
        <f t="shared" si="85"/>
        <v>0</v>
      </c>
      <c r="AD1560" s="11" t="str">
        <f t="shared" si="86"/>
        <v/>
      </c>
      <c r="AE1560" s="73">
        <f t="shared" si="87"/>
        <v>1.00156</v>
      </c>
      <c r="AF1560" s="11" t="str">
        <f t="shared" si="88"/>
        <v/>
      </c>
      <c r="AG1560" s="73">
        <f t="shared" si="89"/>
        <v>1.56E-3</v>
      </c>
      <c r="AH1560" s="11" t="str">
        <f t="shared" si="90"/>
        <v/>
      </c>
    </row>
    <row r="1561" spans="1:34" ht="14.25" customHeight="1">
      <c r="A1561" s="11">
        <v>1546</v>
      </c>
      <c r="B1561" s="66" t="s">
        <v>35</v>
      </c>
      <c r="C1561" s="67"/>
      <c r="D1561" s="67"/>
      <c r="E1561" s="67"/>
      <c r="F1561" s="67">
        <v>46184</v>
      </c>
      <c r="G1561" s="67"/>
      <c r="H1561" s="67"/>
      <c r="I1561" s="6" t="s">
        <v>2189</v>
      </c>
      <c r="J1561" s="37">
        <v>8858702467</v>
      </c>
      <c r="K1561" s="68">
        <v>46173</v>
      </c>
      <c r="L1561" s="68" t="s">
        <v>230</v>
      </c>
      <c r="M1561" s="68">
        <v>46203</v>
      </c>
      <c r="N1561" s="69">
        <f t="shared" si="78"/>
        <v>0</v>
      </c>
      <c r="O1561" s="69">
        <f t="shared" si="79"/>
        <v>0</v>
      </c>
      <c r="P1561" s="70">
        <v>0</v>
      </c>
      <c r="Q1561" s="70"/>
      <c r="R1561" s="70">
        <v>0</v>
      </c>
      <c r="S1561" s="68" t="str">
        <f t="shared" si="80"/>
        <v/>
      </c>
      <c r="T1561" s="68"/>
      <c r="U1561" s="95"/>
      <c r="V1561" s="68"/>
      <c r="W1561" s="6"/>
      <c r="X1561" s="93"/>
      <c r="Y1561" s="71">
        <f t="shared" si="81"/>
        <v>0</v>
      </c>
      <c r="Z1561" s="73">
        <f t="shared" si="82"/>
        <v>0</v>
      </c>
      <c r="AA1561" s="73">
        <f t="shared" si="83"/>
        <v>0</v>
      </c>
      <c r="AB1561" s="11" t="str">
        <f t="shared" si="84"/>
        <v/>
      </c>
      <c r="AC1561" s="73">
        <f t="shared" si="85"/>
        <v>0</v>
      </c>
      <c r="AD1561" s="11" t="str">
        <f t="shared" si="86"/>
        <v/>
      </c>
      <c r="AE1561" s="73">
        <f t="shared" si="87"/>
        <v>1.5610000000000001E-3</v>
      </c>
      <c r="AF1561" s="11" t="str">
        <f t="shared" si="88"/>
        <v/>
      </c>
      <c r="AG1561" s="73">
        <f t="shared" si="89"/>
        <v>1.5610000000000001E-3</v>
      </c>
      <c r="AH1561" s="11" t="str">
        <f t="shared" si="90"/>
        <v/>
      </c>
    </row>
    <row r="1562" spans="1:34" ht="14.25" customHeight="1">
      <c r="A1562" s="11">
        <v>1547</v>
      </c>
      <c r="B1562" s="66"/>
      <c r="C1562" s="67"/>
      <c r="D1562" s="67"/>
      <c r="E1562" s="67"/>
      <c r="F1562" s="67"/>
      <c r="G1562" s="67" t="s">
        <v>35</v>
      </c>
      <c r="H1562" s="67">
        <v>44977</v>
      </c>
      <c r="I1562" s="6" t="s">
        <v>2190</v>
      </c>
      <c r="J1562" s="9">
        <v>8858801067</v>
      </c>
      <c r="K1562" s="68">
        <v>44957</v>
      </c>
      <c r="L1562" s="68">
        <v>46022</v>
      </c>
      <c r="M1562" s="68">
        <v>46203</v>
      </c>
      <c r="N1562" s="69">
        <f t="shared" si="78"/>
        <v>-2</v>
      </c>
      <c r="O1562" s="69">
        <f t="shared" si="79"/>
        <v>-1</v>
      </c>
      <c r="P1562" s="70">
        <v>8</v>
      </c>
      <c r="Q1562" s="70">
        <v>7</v>
      </c>
      <c r="R1562" s="70">
        <v>6</v>
      </c>
      <c r="S1562" s="68" t="str">
        <f t="shared" si="80"/>
        <v/>
      </c>
      <c r="T1562" s="68"/>
      <c r="U1562" s="95"/>
      <c r="V1562" s="68"/>
      <c r="W1562" s="9"/>
      <c r="X1562" s="10"/>
      <c r="Y1562" s="71">
        <f t="shared" si="81"/>
        <v>7</v>
      </c>
      <c r="Z1562" s="73">
        <f t="shared" si="82"/>
        <v>6</v>
      </c>
      <c r="AA1562" s="11" t="str">
        <f t="shared" si="83"/>
        <v/>
      </c>
      <c r="AB1562" s="73">
        <f t="shared" si="84"/>
        <v>-2</v>
      </c>
      <c r="AC1562" s="11" t="str">
        <f t="shared" si="85"/>
        <v/>
      </c>
      <c r="AD1562" s="73">
        <f t="shared" si="86"/>
        <v>-1</v>
      </c>
      <c r="AE1562" s="11" t="str">
        <f t="shared" si="87"/>
        <v/>
      </c>
      <c r="AF1562" s="73">
        <f t="shared" si="88"/>
        <v>-1.9984379999999999</v>
      </c>
      <c r="AG1562" s="11" t="str">
        <f t="shared" si="89"/>
        <v/>
      </c>
      <c r="AH1562" s="73">
        <f t="shared" si="90"/>
        <v>-0.99843800000000005</v>
      </c>
    </row>
    <row r="1563" spans="1:34" ht="14.25" customHeight="1">
      <c r="A1563" s="11">
        <v>1548</v>
      </c>
      <c r="B1563" s="66"/>
      <c r="C1563" s="67"/>
      <c r="D1563" s="67"/>
      <c r="E1563" s="67"/>
      <c r="F1563" s="67"/>
      <c r="G1563" s="67" t="s">
        <v>35</v>
      </c>
      <c r="H1563" s="67">
        <v>45967</v>
      </c>
      <c r="I1563" s="6" t="s">
        <v>2191</v>
      </c>
      <c r="J1563" s="94">
        <v>8868600067</v>
      </c>
      <c r="K1563" s="68">
        <v>45961</v>
      </c>
      <c r="L1563" s="68">
        <v>46022</v>
      </c>
      <c r="M1563" s="68">
        <v>46203</v>
      </c>
      <c r="N1563" s="69">
        <f t="shared" si="78"/>
        <v>-100</v>
      </c>
      <c r="O1563" s="69">
        <f t="shared" si="79"/>
        <v>-103</v>
      </c>
      <c r="P1563" s="70">
        <v>410</v>
      </c>
      <c r="Q1563" s="70">
        <v>413</v>
      </c>
      <c r="R1563" s="70">
        <v>310</v>
      </c>
      <c r="S1563" s="68" t="str">
        <f t="shared" si="80"/>
        <v/>
      </c>
      <c r="T1563" s="68"/>
      <c r="U1563" s="95"/>
      <c r="V1563" s="68"/>
      <c r="W1563" s="6"/>
      <c r="X1563" s="10"/>
      <c r="Y1563" s="71">
        <f t="shared" si="81"/>
        <v>413</v>
      </c>
      <c r="Z1563" s="73">
        <f t="shared" si="82"/>
        <v>310</v>
      </c>
      <c r="AA1563" s="11" t="str">
        <f t="shared" si="83"/>
        <v/>
      </c>
      <c r="AB1563" s="73">
        <f t="shared" si="84"/>
        <v>-100</v>
      </c>
      <c r="AC1563" s="11" t="str">
        <f t="shared" si="85"/>
        <v/>
      </c>
      <c r="AD1563" s="73">
        <f t="shared" si="86"/>
        <v>-103</v>
      </c>
      <c r="AE1563" s="11" t="str">
        <f t="shared" si="87"/>
        <v/>
      </c>
      <c r="AF1563" s="73">
        <f t="shared" si="88"/>
        <v>-99.998436999999996</v>
      </c>
      <c r="AG1563" s="11" t="str">
        <f t="shared" si="89"/>
        <v/>
      </c>
      <c r="AH1563" s="73">
        <f t="shared" si="90"/>
        <v>-102.998437</v>
      </c>
    </row>
    <row r="1564" spans="1:34" ht="14.25" customHeight="1">
      <c r="A1564" s="11">
        <v>1549</v>
      </c>
      <c r="B1564" s="66" t="s">
        <v>35</v>
      </c>
      <c r="C1564" s="67">
        <v>46023</v>
      </c>
      <c r="D1564" s="67">
        <v>44494</v>
      </c>
      <c r="E1564" s="67"/>
      <c r="F1564" s="67"/>
      <c r="G1564" s="67" t="s">
        <v>35</v>
      </c>
      <c r="H1564" s="67">
        <v>44491</v>
      </c>
      <c r="I1564" s="6" t="s">
        <v>2192</v>
      </c>
      <c r="J1564" s="9">
        <v>8878602559</v>
      </c>
      <c r="K1564" s="68">
        <v>44469</v>
      </c>
      <c r="L1564" s="68">
        <v>46022</v>
      </c>
      <c r="M1564" s="68">
        <v>46203</v>
      </c>
      <c r="N1564" s="69">
        <f t="shared" si="78"/>
        <v>0</v>
      </c>
      <c r="O1564" s="69">
        <f t="shared" si="79"/>
        <v>-1</v>
      </c>
      <c r="P1564" s="70">
        <v>4</v>
      </c>
      <c r="Q1564" s="70">
        <v>5</v>
      </c>
      <c r="R1564" s="70">
        <v>4</v>
      </c>
      <c r="S1564" s="68" t="str">
        <f t="shared" si="80"/>
        <v/>
      </c>
      <c r="T1564" s="68"/>
      <c r="U1564" s="95"/>
      <c r="V1564" s="68"/>
      <c r="W1564" s="9"/>
      <c r="X1564" s="10"/>
      <c r="Y1564" s="71">
        <f t="shared" si="81"/>
        <v>5</v>
      </c>
      <c r="Z1564" s="73">
        <f t="shared" si="82"/>
        <v>4</v>
      </c>
      <c r="AA1564" s="73">
        <f t="shared" si="83"/>
        <v>0</v>
      </c>
      <c r="AB1564" s="73">
        <f t="shared" si="84"/>
        <v>0</v>
      </c>
      <c r="AC1564" s="73">
        <f t="shared" si="85"/>
        <v>-1</v>
      </c>
      <c r="AD1564" s="73">
        <f t="shared" si="86"/>
        <v>-1</v>
      </c>
      <c r="AE1564" s="73">
        <f t="shared" si="87"/>
        <v>1.5640000000000001E-3</v>
      </c>
      <c r="AF1564" s="73">
        <f t="shared" si="88"/>
        <v>1.5640000000000001E-3</v>
      </c>
      <c r="AG1564" s="73">
        <f t="shared" si="89"/>
        <v>-0.99843599999999999</v>
      </c>
      <c r="AH1564" s="73">
        <f t="shared" si="90"/>
        <v>-0.99843599999999999</v>
      </c>
    </row>
    <row r="1565" spans="1:34" ht="14.25" customHeight="1">
      <c r="A1565" s="11">
        <v>1550</v>
      </c>
      <c r="B1565" s="66" t="s">
        <v>35</v>
      </c>
      <c r="C1565" s="67">
        <v>45444</v>
      </c>
      <c r="D1565" s="67"/>
      <c r="E1565" s="67"/>
      <c r="F1565" s="67"/>
      <c r="G1565" s="67"/>
      <c r="H1565" s="67"/>
      <c r="I1565" s="6" t="s">
        <v>2193</v>
      </c>
      <c r="J1565" s="9">
        <v>8888102538</v>
      </c>
      <c r="K1565" s="68">
        <v>45443</v>
      </c>
      <c r="L1565" s="68">
        <v>46022</v>
      </c>
      <c r="M1565" s="68">
        <v>46203</v>
      </c>
      <c r="N1565" s="69">
        <f t="shared" si="78"/>
        <v>4</v>
      </c>
      <c r="O1565" s="69">
        <f t="shared" si="79"/>
        <v>-1</v>
      </c>
      <c r="P1565" s="70">
        <v>6</v>
      </c>
      <c r="Q1565" s="70">
        <v>11</v>
      </c>
      <c r="R1565" s="70">
        <v>10</v>
      </c>
      <c r="S1565" s="68" t="str">
        <f t="shared" si="80"/>
        <v/>
      </c>
      <c r="T1565" s="68"/>
      <c r="U1565" s="95"/>
      <c r="V1565" s="68"/>
      <c r="W1565" s="9"/>
      <c r="X1565" s="10"/>
      <c r="Y1565" s="71">
        <f t="shared" si="81"/>
        <v>11</v>
      </c>
      <c r="Z1565" s="73">
        <f t="shared" si="82"/>
        <v>10</v>
      </c>
      <c r="AA1565" s="73">
        <f t="shared" si="83"/>
        <v>4</v>
      </c>
      <c r="AB1565" s="11" t="str">
        <f t="shared" si="84"/>
        <v/>
      </c>
      <c r="AC1565" s="73">
        <f t="shared" si="85"/>
        <v>-1</v>
      </c>
      <c r="AD1565" s="11" t="str">
        <f t="shared" si="86"/>
        <v/>
      </c>
      <c r="AE1565" s="73">
        <f t="shared" si="87"/>
        <v>4.0015650000000003</v>
      </c>
      <c r="AF1565" s="11" t="str">
        <f t="shared" si="88"/>
        <v/>
      </c>
      <c r="AG1565" s="73">
        <f t="shared" si="89"/>
        <v>-0.99843499999999996</v>
      </c>
      <c r="AH1565" s="11" t="str">
        <f t="shared" si="90"/>
        <v/>
      </c>
    </row>
    <row r="1566" spans="1:34" ht="14.25" customHeight="1">
      <c r="A1566" s="11">
        <v>1551</v>
      </c>
      <c r="B1566" s="66"/>
      <c r="C1566" s="67"/>
      <c r="D1566" s="67"/>
      <c r="E1566" s="67"/>
      <c r="F1566" s="67"/>
      <c r="G1566" s="67" t="s">
        <v>35</v>
      </c>
      <c r="H1566" s="67">
        <v>45624</v>
      </c>
      <c r="I1566" s="6" t="s">
        <v>2194</v>
      </c>
      <c r="J1566" s="9">
        <v>8888102988</v>
      </c>
      <c r="K1566" s="68">
        <v>45596</v>
      </c>
      <c r="L1566" s="68">
        <v>46022</v>
      </c>
      <c r="M1566" s="68">
        <v>46203</v>
      </c>
      <c r="N1566" s="69">
        <f t="shared" si="78"/>
        <v>10</v>
      </c>
      <c r="O1566" s="69">
        <f t="shared" si="79"/>
        <v>-2</v>
      </c>
      <c r="P1566" s="70">
        <v>18</v>
      </c>
      <c r="Q1566" s="70">
        <v>30</v>
      </c>
      <c r="R1566" s="70">
        <v>28</v>
      </c>
      <c r="S1566" s="68" t="str">
        <f t="shared" si="80"/>
        <v/>
      </c>
      <c r="T1566" s="68"/>
      <c r="U1566" s="95"/>
      <c r="V1566" s="68"/>
      <c r="W1566" s="9"/>
      <c r="X1566" s="10"/>
      <c r="Y1566" s="71">
        <f t="shared" si="81"/>
        <v>30</v>
      </c>
      <c r="Z1566" s="73">
        <f t="shared" si="82"/>
        <v>28</v>
      </c>
      <c r="AA1566" s="11" t="str">
        <f t="shared" si="83"/>
        <v/>
      </c>
      <c r="AB1566" s="73">
        <f t="shared" si="84"/>
        <v>10</v>
      </c>
      <c r="AC1566" s="11" t="str">
        <f t="shared" si="85"/>
        <v/>
      </c>
      <c r="AD1566" s="73">
        <f t="shared" si="86"/>
        <v>-2</v>
      </c>
      <c r="AE1566" s="11" t="str">
        <f t="shared" si="87"/>
        <v/>
      </c>
      <c r="AF1566" s="73">
        <f t="shared" si="88"/>
        <v>10.001566</v>
      </c>
      <c r="AG1566" s="11" t="str">
        <f t="shared" si="89"/>
        <v/>
      </c>
      <c r="AH1566" s="73">
        <f t="shared" si="90"/>
        <v>-1.998434</v>
      </c>
    </row>
    <row r="1567" spans="1:34" ht="14.25" customHeight="1">
      <c r="A1567" s="11">
        <v>1552</v>
      </c>
      <c r="B1567" s="66"/>
      <c r="C1567" s="67"/>
      <c r="D1567" s="67"/>
      <c r="E1567" s="67"/>
      <c r="F1567" s="67"/>
      <c r="G1567" s="67" t="s">
        <v>35</v>
      </c>
      <c r="H1567" s="67">
        <v>45561</v>
      </c>
      <c r="I1567" s="6" t="s">
        <v>2195</v>
      </c>
      <c r="J1567" s="9">
        <v>8888602926</v>
      </c>
      <c r="K1567" s="68">
        <v>45535</v>
      </c>
      <c r="L1567" s="68">
        <v>46022</v>
      </c>
      <c r="M1567" s="68">
        <v>46203</v>
      </c>
      <c r="N1567" s="69">
        <f t="shared" si="78"/>
        <v>5</v>
      </c>
      <c r="O1567" s="69">
        <f t="shared" si="79"/>
        <v>-2</v>
      </c>
      <c r="P1567" s="70">
        <v>11</v>
      </c>
      <c r="Q1567" s="70">
        <v>18</v>
      </c>
      <c r="R1567" s="70">
        <v>16</v>
      </c>
      <c r="S1567" s="68" t="str">
        <f t="shared" si="80"/>
        <v/>
      </c>
      <c r="T1567" s="68"/>
      <c r="U1567" s="95"/>
      <c r="V1567" s="68"/>
      <c r="W1567" s="9"/>
      <c r="X1567" s="10"/>
      <c r="Y1567" s="71">
        <f t="shared" si="81"/>
        <v>18</v>
      </c>
      <c r="Z1567" s="73">
        <f t="shared" si="82"/>
        <v>16</v>
      </c>
      <c r="AA1567" s="11" t="str">
        <f t="shared" si="83"/>
        <v/>
      </c>
      <c r="AB1567" s="73">
        <f t="shared" si="84"/>
        <v>5</v>
      </c>
      <c r="AC1567" s="11" t="str">
        <f t="shared" si="85"/>
        <v/>
      </c>
      <c r="AD1567" s="73">
        <f t="shared" si="86"/>
        <v>-2</v>
      </c>
      <c r="AE1567" s="11" t="str">
        <f t="shared" si="87"/>
        <v/>
      </c>
      <c r="AF1567" s="73">
        <f t="shared" si="88"/>
        <v>5.0015669999999997</v>
      </c>
      <c r="AG1567" s="11" t="str">
        <f t="shared" si="89"/>
        <v/>
      </c>
      <c r="AH1567" s="73">
        <f t="shared" si="90"/>
        <v>-1.9984329999999999</v>
      </c>
    </row>
    <row r="1568" spans="1:34" ht="14.25" customHeight="1">
      <c r="A1568" s="11">
        <v>1553</v>
      </c>
      <c r="B1568" s="66" t="s">
        <v>35</v>
      </c>
      <c r="C1568" s="67"/>
      <c r="D1568" s="67"/>
      <c r="E1568" s="67"/>
      <c r="F1568" s="67">
        <v>46154</v>
      </c>
      <c r="G1568" s="67"/>
      <c r="H1568" s="67"/>
      <c r="I1568" s="6" t="s">
        <v>2196</v>
      </c>
      <c r="J1568" s="37">
        <v>8888801542</v>
      </c>
      <c r="K1568" s="68">
        <v>46142</v>
      </c>
      <c r="L1568" s="68" t="s">
        <v>230</v>
      </c>
      <c r="M1568" s="68">
        <v>46203</v>
      </c>
      <c r="N1568" s="69">
        <f t="shared" si="78"/>
        <v>-4</v>
      </c>
      <c r="O1568" s="69">
        <f t="shared" si="79"/>
        <v>-4</v>
      </c>
      <c r="P1568" s="70">
        <v>76</v>
      </c>
      <c r="Q1568" s="70"/>
      <c r="R1568" s="70">
        <v>72</v>
      </c>
      <c r="S1568" s="68" t="str">
        <f t="shared" si="80"/>
        <v/>
      </c>
      <c r="T1568" s="68"/>
      <c r="U1568" s="95"/>
      <c r="V1568" s="68"/>
      <c r="W1568" s="6"/>
      <c r="X1568" s="93"/>
      <c r="Y1568" s="71">
        <f t="shared" si="81"/>
        <v>76</v>
      </c>
      <c r="Z1568" s="73">
        <f t="shared" si="82"/>
        <v>72</v>
      </c>
      <c r="AA1568" s="73">
        <f t="shared" si="83"/>
        <v>-4</v>
      </c>
      <c r="AB1568" s="11" t="str">
        <f t="shared" si="84"/>
        <v/>
      </c>
      <c r="AC1568" s="73">
        <f t="shared" si="85"/>
        <v>-4</v>
      </c>
      <c r="AD1568" s="11" t="str">
        <f t="shared" si="86"/>
        <v/>
      </c>
      <c r="AE1568" s="73">
        <f t="shared" si="87"/>
        <v>-3.9984320000000002</v>
      </c>
      <c r="AF1568" s="11" t="str">
        <f t="shared" si="88"/>
        <v/>
      </c>
      <c r="AG1568" s="73">
        <f t="shared" si="89"/>
        <v>-3.9984320000000002</v>
      </c>
      <c r="AH1568" s="11" t="str">
        <f t="shared" si="90"/>
        <v/>
      </c>
    </row>
    <row r="1569" spans="1:34" ht="14.25" customHeight="1">
      <c r="A1569" s="11">
        <v>1554</v>
      </c>
      <c r="B1569" s="66" t="s">
        <v>35</v>
      </c>
      <c r="C1569" s="67">
        <v>44050</v>
      </c>
      <c r="D1569" s="67"/>
      <c r="E1569" s="67"/>
      <c r="F1569" s="67"/>
      <c r="G1569" s="67"/>
      <c r="H1569" s="67"/>
      <c r="I1569" s="6" t="s">
        <v>2197</v>
      </c>
      <c r="J1569" s="9">
        <v>8898701572</v>
      </c>
      <c r="K1569" s="68">
        <v>44043</v>
      </c>
      <c r="L1569" s="68">
        <v>46022</v>
      </c>
      <c r="M1569" s="68">
        <v>46203</v>
      </c>
      <c r="N1569" s="69">
        <f t="shared" si="78"/>
        <v>1</v>
      </c>
      <c r="O1569" s="69">
        <f t="shared" si="79"/>
        <v>1</v>
      </c>
      <c r="P1569" s="70">
        <v>4</v>
      </c>
      <c r="Q1569" s="70">
        <v>4</v>
      </c>
      <c r="R1569" s="70">
        <v>5</v>
      </c>
      <c r="S1569" s="68" t="str">
        <f t="shared" si="80"/>
        <v/>
      </c>
      <c r="T1569" s="68"/>
      <c r="U1569" s="95"/>
      <c r="V1569" s="68"/>
      <c r="W1569" s="9"/>
      <c r="X1569" s="10"/>
      <c r="Y1569" s="71">
        <f t="shared" si="81"/>
        <v>4</v>
      </c>
      <c r="Z1569" s="73">
        <f t="shared" si="82"/>
        <v>5</v>
      </c>
      <c r="AA1569" s="73">
        <f t="shared" si="83"/>
        <v>1</v>
      </c>
      <c r="AB1569" s="11" t="str">
        <f t="shared" si="84"/>
        <v/>
      </c>
      <c r="AC1569" s="73">
        <f t="shared" si="85"/>
        <v>1</v>
      </c>
      <c r="AD1569" s="11" t="str">
        <f t="shared" si="86"/>
        <v/>
      </c>
      <c r="AE1569" s="73">
        <f t="shared" si="87"/>
        <v>1.0015689999999999</v>
      </c>
      <c r="AF1569" s="11" t="str">
        <f t="shared" si="88"/>
        <v/>
      </c>
      <c r="AG1569" s="73">
        <f t="shared" si="89"/>
        <v>1.0015689999999999</v>
      </c>
      <c r="AH1569" s="11" t="str">
        <f t="shared" si="90"/>
        <v/>
      </c>
    </row>
    <row r="1570" spans="1:34" ht="14.25" customHeight="1">
      <c r="A1570" s="11">
        <v>1555</v>
      </c>
      <c r="B1570" s="66" t="s">
        <v>35</v>
      </c>
      <c r="C1570" s="67">
        <v>44896</v>
      </c>
      <c r="D1570" s="67"/>
      <c r="E1570" s="67"/>
      <c r="F1570" s="67"/>
      <c r="G1570" s="67" t="s">
        <v>35</v>
      </c>
      <c r="H1570" s="67">
        <v>45264</v>
      </c>
      <c r="I1570" s="6" t="s">
        <v>2198</v>
      </c>
      <c r="J1570" s="9">
        <v>8898702756</v>
      </c>
      <c r="K1570" s="68">
        <v>44895</v>
      </c>
      <c r="L1570" s="68">
        <v>46022</v>
      </c>
      <c r="M1570" s="68">
        <v>46203</v>
      </c>
      <c r="N1570" s="69">
        <f t="shared" si="78"/>
        <v>1</v>
      </c>
      <c r="O1570" s="69">
        <f t="shared" si="79"/>
        <v>-1</v>
      </c>
      <c r="P1570" s="70">
        <v>5</v>
      </c>
      <c r="Q1570" s="70">
        <v>7</v>
      </c>
      <c r="R1570" s="70">
        <v>6</v>
      </c>
      <c r="S1570" s="68" t="str">
        <f t="shared" si="80"/>
        <v/>
      </c>
      <c r="T1570" s="68"/>
      <c r="U1570" s="95"/>
      <c r="V1570" s="68"/>
      <c r="W1570" s="9"/>
      <c r="X1570" s="10"/>
      <c r="Y1570" s="71">
        <f t="shared" si="81"/>
        <v>7</v>
      </c>
      <c r="Z1570" s="73">
        <f t="shared" si="82"/>
        <v>6</v>
      </c>
      <c r="AA1570" s="73">
        <f t="shared" si="83"/>
        <v>1</v>
      </c>
      <c r="AB1570" s="73">
        <f t="shared" si="84"/>
        <v>1</v>
      </c>
      <c r="AC1570" s="73">
        <f t="shared" si="85"/>
        <v>-1</v>
      </c>
      <c r="AD1570" s="73">
        <f t="shared" si="86"/>
        <v>-1</v>
      </c>
      <c r="AE1570" s="73">
        <f t="shared" si="87"/>
        <v>1.0015700000000001</v>
      </c>
      <c r="AF1570" s="73">
        <f t="shared" si="88"/>
        <v>1.0015700000000001</v>
      </c>
      <c r="AG1570" s="73">
        <f t="shared" si="89"/>
        <v>-0.99843000000000004</v>
      </c>
      <c r="AH1570" s="73">
        <f t="shared" si="90"/>
        <v>-0.99843000000000004</v>
      </c>
    </row>
    <row r="1571" spans="1:34" ht="14.25" customHeight="1">
      <c r="A1571" s="11">
        <v>1556</v>
      </c>
      <c r="B1571" s="66"/>
      <c r="C1571" s="67"/>
      <c r="D1571" s="67"/>
      <c r="E1571" s="67"/>
      <c r="F1571" s="67"/>
      <c r="G1571" s="67" t="s">
        <v>35</v>
      </c>
      <c r="H1571" s="67">
        <v>45287</v>
      </c>
      <c r="I1571" s="6" t="s">
        <v>2199</v>
      </c>
      <c r="J1571" s="9">
        <v>8908102356</v>
      </c>
      <c r="K1571" s="68">
        <v>45260</v>
      </c>
      <c r="L1571" s="68">
        <v>46022</v>
      </c>
      <c r="M1571" s="68">
        <v>46203</v>
      </c>
      <c r="N1571" s="69">
        <f t="shared" si="78"/>
        <v>-6</v>
      </c>
      <c r="O1571" s="69">
        <f t="shared" si="79"/>
        <v>-2</v>
      </c>
      <c r="P1571" s="70">
        <v>8</v>
      </c>
      <c r="Q1571" s="70">
        <v>4</v>
      </c>
      <c r="R1571" s="70">
        <v>2</v>
      </c>
      <c r="S1571" s="68" t="str">
        <f t="shared" si="80"/>
        <v/>
      </c>
      <c r="T1571" s="68"/>
      <c r="U1571" s="95"/>
      <c r="V1571" s="68"/>
      <c r="W1571" s="9"/>
      <c r="X1571" s="10"/>
      <c r="Y1571" s="71">
        <f t="shared" si="81"/>
        <v>4</v>
      </c>
      <c r="Z1571" s="73">
        <f t="shared" si="82"/>
        <v>2</v>
      </c>
      <c r="AA1571" s="11" t="str">
        <f t="shared" si="83"/>
        <v/>
      </c>
      <c r="AB1571" s="73">
        <f t="shared" si="84"/>
        <v>-6</v>
      </c>
      <c r="AC1571" s="11" t="str">
        <f t="shared" si="85"/>
        <v/>
      </c>
      <c r="AD1571" s="73">
        <f t="shared" si="86"/>
        <v>-2</v>
      </c>
      <c r="AE1571" s="11" t="str">
        <f t="shared" si="87"/>
        <v/>
      </c>
      <c r="AF1571" s="73">
        <f t="shared" si="88"/>
        <v>-5.9984289999999998</v>
      </c>
      <c r="AG1571" s="11" t="str">
        <f t="shared" si="89"/>
        <v/>
      </c>
      <c r="AH1571" s="73">
        <f t="shared" si="90"/>
        <v>-1.998429</v>
      </c>
    </row>
    <row r="1572" spans="1:34" ht="14.25" customHeight="1">
      <c r="A1572" s="11">
        <v>1557</v>
      </c>
      <c r="B1572" s="66" t="s">
        <v>35</v>
      </c>
      <c r="C1572" s="67">
        <v>42905</v>
      </c>
      <c r="D1572" s="67"/>
      <c r="E1572" s="67"/>
      <c r="F1572" s="67"/>
      <c r="G1572" s="67" t="s">
        <v>283</v>
      </c>
      <c r="H1572" s="67">
        <v>44053</v>
      </c>
      <c r="I1572" s="6" t="s">
        <v>2200</v>
      </c>
      <c r="J1572" s="9">
        <v>8908601008</v>
      </c>
      <c r="K1572" s="68">
        <v>42886</v>
      </c>
      <c r="L1572" s="68">
        <v>46022</v>
      </c>
      <c r="M1572" s="68">
        <v>46203</v>
      </c>
      <c r="N1572" s="69">
        <f t="shared" si="78"/>
        <v>16</v>
      </c>
      <c r="O1572" s="69">
        <f t="shared" si="79"/>
        <v>-1</v>
      </c>
      <c r="P1572" s="70">
        <v>0</v>
      </c>
      <c r="Q1572" s="70">
        <v>17</v>
      </c>
      <c r="R1572" s="70">
        <v>16</v>
      </c>
      <c r="S1572" s="68" t="str">
        <f t="shared" si="80"/>
        <v/>
      </c>
      <c r="T1572" s="68"/>
      <c r="U1572" s="95"/>
      <c r="V1572" s="68"/>
      <c r="W1572" s="68">
        <v>45721</v>
      </c>
      <c r="X1572" s="10"/>
      <c r="Y1572" s="71">
        <f t="shared" si="81"/>
        <v>17</v>
      </c>
      <c r="Z1572" s="73">
        <f t="shared" si="82"/>
        <v>16</v>
      </c>
      <c r="AA1572" s="73">
        <f t="shared" si="83"/>
        <v>16</v>
      </c>
      <c r="AB1572" s="73">
        <f t="shared" si="84"/>
        <v>16</v>
      </c>
      <c r="AC1572" s="73">
        <f t="shared" si="85"/>
        <v>-1</v>
      </c>
      <c r="AD1572" s="73">
        <f t="shared" si="86"/>
        <v>-1</v>
      </c>
      <c r="AE1572" s="73">
        <f t="shared" si="87"/>
        <v>16.001571999999999</v>
      </c>
      <c r="AF1572" s="73">
        <f t="shared" si="88"/>
        <v>16.001571999999999</v>
      </c>
      <c r="AG1572" s="73">
        <f t="shared" si="89"/>
        <v>-0.99842799999999998</v>
      </c>
      <c r="AH1572" s="73">
        <f t="shared" si="90"/>
        <v>-0.99842799999999998</v>
      </c>
    </row>
    <row r="1573" spans="1:34" ht="14.25" customHeight="1">
      <c r="A1573" s="11">
        <v>1558</v>
      </c>
      <c r="B1573" s="66" t="s">
        <v>35</v>
      </c>
      <c r="C1573" s="67"/>
      <c r="D1573" s="67"/>
      <c r="E1573" s="67"/>
      <c r="F1573" s="67">
        <v>46122</v>
      </c>
      <c r="G1573" s="67"/>
      <c r="H1573" s="67"/>
      <c r="I1573" s="6" t="s">
        <v>2201</v>
      </c>
      <c r="J1573" s="37">
        <v>8928603792</v>
      </c>
      <c r="K1573" s="68">
        <v>46112</v>
      </c>
      <c r="L1573" s="68" t="s">
        <v>230</v>
      </c>
      <c r="M1573" s="68">
        <v>46203</v>
      </c>
      <c r="N1573" s="69">
        <f t="shared" si="78"/>
        <v>0</v>
      </c>
      <c r="O1573" s="69">
        <f t="shared" si="79"/>
        <v>0</v>
      </c>
      <c r="P1573" s="70">
        <v>1</v>
      </c>
      <c r="Q1573" s="70"/>
      <c r="R1573" s="70">
        <v>1</v>
      </c>
      <c r="S1573" s="68" t="str">
        <f t="shared" si="80"/>
        <v/>
      </c>
      <c r="T1573" s="68"/>
      <c r="U1573" s="95"/>
      <c r="V1573" s="68"/>
      <c r="W1573" s="6"/>
      <c r="X1573" s="93"/>
      <c r="Y1573" s="71">
        <f t="shared" si="81"/>
        <v>1</v>
      </c>
      <c r="Z1573" s="73">
        <f t="shared" si="82"/>
        <v>1</v>
      </c>
      <c r="AA1573" s="73">
        <f t="shared" si="83"/>
        <v>0</v>
      </c>
      <c r="AB1573" s="11" t="str">
        <f t="shared" si="84"/>
        <v/>
      </c>
      <c r="AC1573" s="73">
        <f t="shared" si="85"/>
        <v>0</v>
      </c>
      <c r="AD1573" s="11" t="str">
        <f t="shared" si="86"/>
        <v/>
      </c>
      <c r="AE1573" s="73">
        <f t="shared" si="87"/>
        <v>1.573E-3</v>
      </c>
      <c r="AF1573" s="11" t="str">
        <f t="shared" si="88"/>
        <v/>
      </c>
      <c r="AG1573" s="73">
        <f t="shared" si="89"/>
        <v>1.573E-3</v>
      </c>
      <c r="AH1573" s="11" t="str">
        <f t="shared" si="90"/>
        <v/>
      </c>
    </row>
    <row r="1574" spans="1:34" ht="14.25" customHeight="1">
      <c r="A1574" s="11">
        <v>1559</v>
      </c>
      <c r="B1574" s="66"/>
      <c r="C1574" s="67"/>
      <c r="D1574" s="67"/>
      <c r="E1574" s="67"/>
      <c r="F1574" s="67"/>
      <c r="G1574" s="67" t="s">
        <v>35</v>
      </c>
      <c r="H1574" s="67">
        <v>44651</v>
      </c>
      <c r="I1574" s="6" t="s">
        <v>2202</v>
      </c>
      <c r="J1574" s="9">
        <v>8938101579</v>
      </c>
      <c r="K1574" s="68">
        <v>44620</v>
      </c>
      <c r="L1574" s="68">
        <v>46022</v>
      </c>
      <c r="M1574" s="68">
        <v>46203</v>
      </c>
      <c r="N1574" s="69">
        <f t="shared" si="78"/>
        <v>-8</v>
      </c>
      <c r="O1574" s="69">
        <f t="shared" si="79"/>
        <v>0</v>
      </c>
      <c r="P1574" s="70">
        <v>13</v>
      </c>
      <c r="Q1574" s="70">
        <v>5</v>
      </c>
      <c r="R1574" s="70">
        <v>5</v>
      </c>
      <c r="S1574" s="68" t="str">
        <f t="shared" si="80"/>
        <v/>
      </c>
      <c r="T1574" s="68"/>
      <c r="U1574" s="95"/>
      <c r="V1574" s="68"/>
      <c r="W1574" s="9"/>
      <c r="X1574" s="10"/>
      <c r="Y1574" s="71">
        <f t="shared" si="81"/>
        <v>5</v>
      </c>
      <c r="Z1574" s="73">
        <f t="shared" si="82"/>
        <v>5</v>
      </c>
      <c r="AA1574" s="11" t="str">
        <f t="shared" si="83"/>
        <v/>
      </c>
      <c r="AB1574" s="73">
        <f t="shared" si="84"/>
        <v>-8</v>
      </c>
      <c r="AC1574" s="11" t="str">
        <f t="shared" si="85"/>
        <v/>
      </c>
      <c r="AD1574" s="73">
        <f t="shared" si="86"/>
        <v>0</v>
      </c>
      <c r="AE1574" s="11" t="str">
        <f t="shared" si="87"/>
        <v/>
      </c>
      <c r="AF1574" s="73">
        <f t="shared" si="88"/>
        <v>-7.9984260000000003</v>
      </c>
      <c r="AG1574" s="11" t="str">
        <f t="shared" si="89"/>
        <v/>
      </c>
      <c r="AH1574" s="73">
        <f t="shared" si="90"/>
        <v>1.5740000000000001E-3</v>
      </c>
    </row>
    <row r="1575" spans="1:34" ht="14.25" customHeight="1">
      <c r="A1575" s="11">
        <v>1560</v>
      </c>
      <c r="B1575" s="66"/>
      <c r="C1575" s="67"/>
      <c r="D1575" s="67"/>
      <c r="E1575" s="67"/>
      <c r="F1575" s="67"/>
      <c r="G1575" s="67" t="s">
        <v>35</v>
      </c>
      <c r="H1575" s="67">
        <v>45156</v>
      </c>
      <c r="I1575" s="6" t="s">
        <v>2203</v>
      </c>
      <c r="J1575" s="9">
        <v>8938101716</v>
      </c>
      <c r="K1575" s="68">
        <v>45138</v>
      </c>
      <c r="L1575" s="68">
        <v>46022</v>
      </c>
      <c r="M1575" s="68">
        <v>46203</v>
      </c>
      <c r="N1575" s="69">
        <f t="shared" si="78"/>
        <v>-11</v>
      </c>
      <c r="O1575" s="69">
        <f t="shared" si="79"/>
        <v>-1</v>
      </c>
      <c r="P1575" s="70">
        <v>18</v>
      </c>
      <c r="Q1575" s="70">
        <v>8</v>
      </c>
      <c r="R1575" s="70">
        <v>7</v>
      </c>
      <c r="S1575" s="68" t="str">
        <f t="shared" si="80"/>
        <v/>
      </c>
      <c r="T1575" s="68"/>
      <c r="U1575" s="95"/>
      <c r="V1575" s="68"/>
      <c r="W1575" s="9"/>
      <c r="X1575" s="10"/>
      <c r="Y1575" s="71">
        <f t="shared" si="81"/>
        <v>8</v>
      </c>
      <c r="Z1575" s="73">
        <f t="shared" si="82"/>
        <v>7</v>
      </c>
      <c r="AA1575" s="11" t="str">
        <f t="shared" si="83"/>
        <v/>
      </c>
      <c r="AB1575" s="73">
        <f t="shared" si="84"/>
        <v>-11</v>
      </c>
      <c r="AC1575" s="11" t="str">
        <f t="shared" si="85"/>
        <v/>
      </c>
      <c r="AD1575" s="73">
        <f t="shared" si="86"/>
        <v>-1</v>
      </c>
      <c r="AE1575" s="11" t="str">
        <f t="shared" si="87"/>
        <v/>
      </c>
      <c r="AF1575" s="73">
        <f t="shared" si="88"/>
        <v>-10.998424999999999</v>
      </c>
      <c r="AG1575" s="11" t="str">
        <f t="shared" si="89"/>
        <v/>
      </c>
      <c r="AH1575" s="73">
        <f t="shared" si="90"/>
        <v>-0.99842500000000001</v>
      </c>
    </row>
    <row r="1576" spans="1:34" ht="14.25" customHeight="1">
      <c r="A1576" s="11">
        <v>1561</v>
      </c>
      <c r="B1576" s="66"/>
      <c r="C1576" s="67"/>
      <c r="D1576" s="67"/>
      <c r="E1576" s="67"/>
      <c r="F1576" s="67"/>
      <c r="G1576" s="67" t="s">
        <v>35</v>
      </c>
      <c r="H1576" s="67">
        <v>43280</v>
      </c>
      <c r="I1576" s="6" t="s">
        <v>2204</v>
      </c>
      <c r="J1576" s="9">
        <v>8938800768</v>
      </c>
      <c r="K1576" s="68">
        <v>43251</v>
      </c>
      <c r="L1576" s="68">
        <v>46022</v>
      </c>
      <c r="M1576" s="68">
        <v>46203</v>
      </c>
      <c r="N1576" s="69">
        <f t="shared" si="78"/>
        <v>51</v>
      </c>
      <c r="O1576" s="69">
        <f t="shared" si="79"/>
        <v>-2</v>
      </c>
      <c r="P1576" s="70">
        <v>2</v>
      </c>
      <c r="Q1576" s="70">
        <v>55</v>
      </c>
      <c r="R1576" s="70">
        <v>53</v>
      </c>
      <c r="S1576" s="68" t="str">
        <f t="shared" si="80"/>
        <v/>
      </c>
      <c r="T1576" s="68"/>
      <c r="U1576" s="95"/>
      <c r="V1576" s="68"/>
      <c r="W1576" s="9"/>
      <c r="X1576" s="10"/>
      <c r="Y1576" s="71">
        <f t="shared" si="81"/>
        <v>55</v>
      </c>
      <c r="Z1576" s="73">
        <f t="shared" si="82"/>
        <v>53</v>
      </c>
      <c r="AA1576" s="11" t="str">
        <f t="shared" si="83"/>
        <v/>
      </c>
      <c r="AB1576" s="73">
        <f t="shared" si="84"/>
        <v>51</v>
      </c>
      <c r="AC1576" s="11" t="str">
        <f t="shared" si="85"/>
        <v/>
      </c>
      <c r="AD1576" s="73">
        <f t="shared" si="86"/>
        <v>-2</v>
      </c>
      <c r="AE1576" s="11" t="str">
        <f t="shared" si="87"/>
        <v/>
      </c>
      <c r="AF1576" s="73">
        <f t="shared" si="88"/>
        <v>51.001576</v>
      </c>
      <c r="AG1576" s="11" t="str">
        <f t="shared" si="89"/>
        <v/>
      </c>
      <c r="AH1576" s="73">
        <f t="shared" si="90"/>
        <v>-1.998424</v>
      </c>
    </row>
    <row r="1577" spans="1:34" ht="14.25" customHeight="1">
      <c r="A1577" s="11">
        <v>1562</v>
      </c>
      <c r="B1577" s="66" t="s">
        <v>35</v>
      </c>
      <c r="C1577" s="67"/>
      <c r="D1577" s="67"/>
      <c r="E1577" s="67"/>
      <c r="F1577" s="67">
        <v>45911</v>
      </c>
      <c r="G1577" s="67"/>
      <c r="H1577" s="67"/>
      <c r="I1577" s="6" t="s">
        <v>2205</v>
      </c>
      <c r="J1577" s="37">
        <v>8938801559</v>
      </c>
      <c r="K1577" s="68">
        <v>45900</v>
      </c>
      <c r="L1577" s="68">
        <v>46022</v>
      </c>
      <c r="M1577" s="68">
        <v>46203</v>
      </c>
      <c r="N1577" s="69">
        <f t="shared" si="78"/>
        <v>-16</v>
      </c>
      <c r="O1577" s="69">
        <f t="shared" si="79"/>
        <v>-17</v>
      </c>
      <c r="P1577" s="70">
        <v>49</v>
      </c>
      <c r="Q1577" s="70">
        <v>50</v>
      </c>
      <c r="R1577" s="70">
        <v>33</v>
      </c>
      <c r="S1577" s="68" t="str">
        <f t="shared" si="80"/>
        <v/>
      </c>
      <c r="T1577" s="68"/>
      <c r="U1577" s="95"/>
      <c r="V1577" s="68"/>
      <c r="W1577" s="6"/>
      <c r="X1577" s="93"/>
      <c r="Y1577" s="71">
        <f t="shared" si="81"/>
        <v>50</v>
      </c>
      <c r="Z1577" s="73">
        <f t="shared" si="82"/>
        <v>33</v>
      </c>
      <c r="AA1577" s="73">
        <f t="shared" si="83"/>
        <v>-16</v>
      </c>
      <c r="AB1577" s="11" t="str">
        <f t="shared" si="84"/>
        <v/>
      </c>
      <c r="AC1577" s="73">
        <f t="shared" si="85"/>
        <v>-17</v>
      </c>
      <c r="AD1577" s="11" t="str">
        <f t="shared" si="86"/>
        <v/>
      </c>
      <c r="AE1577" s="73">
        <f t="shared" si="87"/>
        <v>-15.998423000000001</v>
      </c>
      <c r="AF1577" s="11" t="str">
        <f t="shared" si="88"/>
        <v/>
      </c>
      <c r="AG1577" s="73">
        <f t="shared" si="89"/>
        <v>-16.998422999999999</v>
      </c>
      <c r="AH1577" s="11" t="str">
        <f t="shared" si="90"/>
        <v/>
      </c>
    </row>
    <row r="1578" spans="1:34" ht="14.25" customHeight="1">
      <c r="A1578" s="11">
        <v>1563</v>
      </c>
      <c r="B1578" s="66"/>
      <c r="C1578" s="67"/>
      <c r="D1578" s="67"/>
      <c r="E1578" s="67"/>
      <c r="F1578" s="67"/>
      <c r="G1578" s="67" t="s">
        <v>24</v>
      </c>
      <c r="H1578" s="67">
        <v>43073</v>
      </c>
      <c r="I1578" s="6" t="s">
        <v>2206</v>
      </c>
      <c r="J1578" s="9">
        <v>8948600831</v>
      </c>
      <c r="K1578" s="68">
        <v>43069</v>
      </c>
      <c r="L1578" s="68" t="s">
        <v>230</v>
      </c>
      <c r="M1578" s="68">
        <v>45808</v>
      </c>
      <c r="N1578" s="69">
        <f t="shared" si="78"/>
        <v>-5</v>
      </c>
      <c r="O1578" s="69" t="str">
        <f t="shared" si="79"/>
        <v>N/A</v>
      </c>
      <c r="P1578" s="70">
        <v>5</v>
      </c>
      <c r="Q1578" s="70"/>
      <c r="R1578" s="70">
        <v>0</v>
      </c>
      <c r="S1578" s="68">
        <f t="shared" si="80"/>
        <v>45808</v>
      </c>
      <c r="T1578" s="68">
        <v>45808</v>
      </c>
      <c r="U1578" s="95"/>
      <c r="V1578" s="68"/>
      <c r="W1578" s="9"/>
      <c r="X1578" s="10"/>
      <c r="Y1578" s="65" t="str">
        <f t="shared" si="81"/>
        <v/>
      </c>
      <c r="Z1578" s="11" t="str">
        <f t="shared" si="82"/>
        <v/>
      </c>
      <c r="AA1578" s="11" t="str">
        <f t="shared" si="83"/>
        <v/>
      </c>
      <c r="AB1578" s="73">
        <f t="shared" si="84"/>
        <v>-5</v>
      </c>
      <c r="AC1578" s="11" t="str">
        <f t="shared" si="85"/>
        <v/>
      </c>
      <c r="AD1578" s="11" t="str">
        <f t="shared" si="86"/>
        <v/>
      </c>
      <c r="AE1578" s="11" t="str">
        <f t="shared" si="87"/>
        <v/>
      </c>
      <c r="AF1578" s="73">
        <f t="shared" si="88"/>
        <v>-4.9984219999999997</v>
      </c>
      <c r="AG1578" s="11" t="str">
        <f t="shared" si="89"/>
        <v/>
      </c>
      <c r="AH1578" s="11" t="str">
        <f t="shared" si="90"/>
        <v/>
      </c>
    </row>
    <row r="1579" spans="1:34" ht="14.25" customHeight="1">
      <c r="A1579" s="11">
        <v>1564</v>
      </c>
      <c r="B1579" s="66"/>
      <c r="C1579" s="67"/>
      <c r="D1579" s="67"/>
      <c r="E1579" s="67"/>
      <c r="F1579" s="67"/>
      <c r="G1579" s="67" t="s">
        <v>35</v>
      </c>
      <c r="H1579" s="67">
        <v>45607</v>
      </c>
      <c r="I1579" s="6" t="s">
        <v>2207</v>
      </c>
      <c r="J1579" s="9">
        <v>8948603162</v>
      </c>
      <c r="K1579" s="68">
        <v>45596</v>
      </c>
      <c r="L1579" s="68">
        <v>46022</v>
      </c>
      <c r="M1579" s="68">
        <v>46203</v>
      </c>
      <c r="N1579" s="69">
        <f t="shared" si="78"/>
        <v>5</v>
      </c>
      <c r="O1579" s="69">
        <f t="shared" si="79"/>
        <v>1</v>
      </c>
      <c r="P1579" s="70">
        <v>7</v>
      </c>
      <c r="Q1579" s="70">
        <v>11</v>
      </c>
      <c r="R1579" s="70">
        <v>12</v>
      </c>
      <c r="S1579" s="68" t="str">
        <f t="shared" si="80"/>
        <v/>
      </c>
      <c r="T1579" s="68"/>
      <c r="U1579" s="95"/>
      <c r="V1579" s="68"/>
      <c r="W1579" s="9"/>
      <c r="X1579" s="10"/>
      <c r="Y1579" s="71">
        <f t="shared" si="81"/>
        <v>11</v>
      </c>
      <c r="Z1579" s="73">
        <f t="shared" si="82"/>
        <v>12</v>
      </c>
      <c r="AA1579" s="11" t="str">
        <f t="shared" si="83"/>
        <v/>
      </c>
      <c r="AB1579" s="73">
        <f t="shared" si="84"/>
        <v>5</v>
      </c>
      <c r="AC1579" s="11" t="str">
        <f t="shared" si="85"/>
        <v/>
      </c>
      <c r="AD1579" s="73">
        <f t="shared" si="86"/>
        <v>1</v>
      </c>
      <c r="AE1579" s="11" t="str">
        <f t="shared" si="87"/>
        <v/>
      </c>
      <c r="AF1579" s="73">
        <f t="shared" si="88"/>
        <v>5.0015790000000004</v>
      </c>
      <c r="AG1579" s="11" t="str">
        <f t="shared" si="89"/>
        <v/>
      </c>
      <c r="AH1579" s="73">
        <f t="shared" si="90"/>
        <v>1.001579</v>
      </c>
    </row>
    <row r="1580" spans="1:34" ht="14.25" customHeight="1">
      <c r="A1580" s="11">
        <v>1565</v>
      </c>
      <c r="B1580" s="66"/>
      <c r="C1580" s="67"/>
      <c r="D1580" s="67"/>
      <c r="E1580" s="67"/>
      <c r="F1580" s="67"/>
      <c r="G1580" s="67" t="s">
        <v>35</v>
      </c>
      <c r="H1580" s="67">
        <v>44914</v>
      </c>
      <c r="I1580" s="6" t="s">
        <v>2208</v>
      </c>
      <c r="J1580" s="9">
        <v>8958102614</v>
      </c>
      <c r="K1580" s="68">
        <v>44895</v>
      </c>
      <c r="L1580" s="68">
        <v>46022</v>
      </c>
      <c r="M1580" s="68">
        <v>46203</v>
      </c>
      <c r="N1580" s="69">
        <f t="shared" si="78"/>
        <v>-12</v>
      </c>
      <c r="O1580" s="69">
        <f t="shared" si="79"/>
        <v>-1</v>
      </c>
      <c r="P1580" s="70">
        <v>12</v>
      </c>
      <c r="Q1580" s="70">
        <v>1</v>
      </c>
      <c r="R1580" s="70">
        <v>0</v>
      </c>
      <c r="S1580" s="68" t="str">
        <f t="shared" si="80"/>
        <v/>
      </c>
      <c r="T1580" s="68"/>
      <c r="U1580" s="95"/>
      <c r="V1580" s="68"/>
      <c r="W1580" s="9"/>
      <c r="X1580" s="10"/>
      <c r="Y1580" s="71">
        <f t="shared" si="81"/>
        <v>1</v>
      </c>
      <c r="Z1580" s="73">
        <f t="shared" si="82"/>
        <v>0</v>
      </c>
      <c r="AA1580" s="11" t="str">
        <f t="shared" si="83"/>
        <v/>
      </c>
      <c r="AB1580" s="73">
        <f t="shared" si="84"/>
        <v>-12</v>
      </c>
      <c r="AC1580" s="11" t="str">
        <f t="shared" si="85"/>
        <v/>
      </c>
      <c r="AD1580" s="73">
        <f t="shared" si="86"/>
        <v>-1</v>
      </c>
      <c r="AE1580" s="11" t="str">
        <f t="shared" si="87"/>
        <v/>
      </c>
      <c r="AF1580" s="73">
        <f t="shared" si="88"/>
        <v>-11.998419999999999</v>
      </c>
      <c r="AG1580" s="11" t="str">
        <f t="shared" si="89"/>
        <v/>
      </c>
      <c r="AH1580" s="73">
        <f t="shared" si="90"/>
        <v>-0.99841999999999997</v>
      </c>
    </row>
    <row r="1581" spans="1:34" ht="14.25" customHeight="1">
      <c r="A1581" s="11">
        <v>1566</v>
      </c>
      <c r="B1581" s="66"/>
      <c r="C1581" s="67"/>
      <c r="D1581" s="67"/>
      <c r="E1581" s="67"/>
      <c r="F1581" s="67"/>
      <c r="G1581" s="67" t="s">
        <v>35</v>
      </c>
      <c r="H1581" s="67">
        <v>44061</v>
      </c>
      <c r="I1581" s="6" t="s">
        <v>2209</v>
      </c>
      <c r="J1581" s="9">
        <v>8968601516</v>
      </c>
      <c r="K1581" s="68">
        <v>44043</v>
      </c>
      <c r="L1581" s="68">
        <v>46022</v>
      </c>
      <c r="M1581" s="68">
        <v>46203</v>
      </c>
      <c r="N1581" s="69">
        <f t="shared" si="78"/>
        <v>-3</v>
      </c>
      <c r="O1581" s="69">
        <f t="shared" si="79"/>
        <v>0</v>
      </c>
      <c r="P1581" s="70">
        <v>8</v>
      </c>
      <c r="Q1581" s="70">
        <v>5</v>
      </c>
      <c r="R1581" s="70">
        <v>5</v>
      </c>
      <c r="S1581" s="68" t="str">
        <f t="shared" si="80"/>
        <v/>
      </c>
      <c r="T1581" s="68"/>
      <c r="U1581" s="95"/>
      <c r="V1581" s="68"/>
      <c r="W1581" s="9"/>
      <c r="X1581" s="10"/>
      <c r="Y1581" s="71">
        <f t="shared" si="81"/>
        <v>5</v>
      </c>
      <c r="Z1581" s="73">
        <f t="shared" si="82"/>
        <v>5</v>
      </c>
      <c r="AA1581" s="11" t="str">
        <f t="shared" si="83"/>
        <v/>
      </c>
      <c r="AB1581" s="73">
        <f t="shared" si="84"/>
        <v>-3</v>
      </c>
      <c r="AC1581" s="11" t="str">
        <f t="shared" si="85"/>
        <v/>
      </c>
      <c r="AD1581" s="73">
        <f t="shared" si="86"/>
        <v>0</v>
      </c>
      <c r="AE1581" s="11" t="str">
        <f t="shared" si="87"/>
        <v/>
      </c>
      <c r="AF1581" s="73">
        <f t="shared" si="88"/>
        <v>-2.9984190000000002</v>
      </c>
      <c r="AG1581" s="11" t="str">
        <f t="shared" si="89"/>
        <v/>
      </c>
      <c r="AH1581" s="73">
        <f t="shared" si="90"/>
        <v>1.5809999999999999E-3</v>
      </c>
    </row>
    <row r="1582" spans="1:34" ht="14.25" customHeight="1">
      <c r="A1582" s="11">
        <v>1567</v>
      </c>
      <c r="B1582" s="66"/>
      <c r="C1582" s="67"/>
      <c r="D1582" s="67"/>
      <c r="E1582" s="67"/>
      <c r="F1582" s="67"/>
      <c r="G1582" s="67" t="s">
        <v>35</v>
      </c>
      <c r="H1582" s="67">
        <v>45009</v>
      </c>
      <c r="I1582" s="6" t="s">
        <v>2210</v>
      </c>
      <c r="J1582" s="9">
        <v>8968802372</v>
      </c>
      <c r="K1582" s="68">
        <v>44985</v>
      </c>
      <c r="L1582" s="68">
        <v>46022</v>
      </c>
      <c r="M1582" s="68">
        <v>46203</v>
      </c>
      <c r="N1582" s="69">
        <f t="shared" si="78"/>
        <v>4</v>
      </c>
      <c r="O1582" s="69">
        <f t="shared" si="79"/>
        <v>-3</v>
      </c>
      <c r="P1582" s="70">
        <v>7</v>
      </c>
      <c r="Q1582" s="70">
        <v>14</v>
      </c>
      <c r="R1582" s="70">
        <v>11</v>
      </c>
      <c r="S1582" s="68" t="str">
        <f t="shared" si="80"/>
        <v/>
      </c>
      <c r="T1582" s="68"/>
      <c r="U1582" s="95"/>
      <c r="V1582" s="68"/>
      <c r="W1582" s="9"/>
      <c r="X1582" s="10"/>
      <c r="Y1582" s="71">
        <f t="shared" si="81"/>
        <v>14</v>
      </c>
      <c r="Z1582" s="73">
        <f t="shared" si="82"/>
        <v>11</v>
      </c>
      <c r="AA1582" s="11" t="str">
        <f t="shared" si="83"/>
        <v/>
      </c>
      <c r="AB1582" s="73">
        <f t="shared" si="84"/>
        <v>4</v>
      </c>
      <c r="AC1582" s="11" t="str">
        <f t="shared" si="85"/>
        <v/>
      </c>
      <c r="AD1582" s="73">
        <f t="shared" si="86"/>
        <v>-3</v>
      </c>
      <c r="AE1582" s="11" t="str">
        <f t="shared" si="87"/>
        <v/>
      </c>
      <c r="AF1582" s="73">
        <f t="shared" si="88"/>
        <v>4.001582</v>
      </c>
      <c r="AG1582" s="11" t="str">
        <f t="shared" si="89"/>
        <v/>
      </c>
      <c r="AH1582" s="73">
        <f t="shared" si="90"/>
        <v>-2.998418</v>
      </c>
    </row>
    <row r="1583" spans="1:34" ht="14.25" customHeight="1">
      <c r="A1583" s="11"/>
      <c r="B1583" s="66"/>
      <c r="C1583" s="66"/>
      <c r="D1583" s="66"/>
      <c r="E1583" s="66"/>
      <c r="F1583" s="66"/>
      <c r="G1583" s="66"/>
      <c r="H1583" s="66"/>
      <c r="I1583" s="6"/>
      <c r="J1583" s="6"/>
      <c r="K1583" s="6"/>
      <c r="L1583" s="6"/>
      <c r="M1583" s="68"/>
      <c r="N1583" s="127">
        <f t="shared" ref="N1583:R1583" si="91">SUM(N16:N1582)</f>
        <v>19866</v>
      </c>
      <c r="O1583" s="127">
        <f t="shared" si="91"/>
        <v>420</v>
      </c>
      <c r="P1583" s="127">
        <f t="shared" si="91"/>
        <v>22724</v>
      </c>
      <c r="Q1583" s="127">
        <f t="shared" si="91"/>
        <v>40789</v>
      </c>
      <c r="R1583" s="127">
        <f t="shared" si="91"/>
        <v>42590</v>
      </c>
      <c r="S1583" s="127"/>
      <c r="T1583" s="128"/>
      <c r="U1583" s="6"/>
      <c r="V1583" s="9"/>
      <c r="W1583" s="6"/>
      <c r="X1583" s="10"/>
      <c r="Y1583" s="65" t="str">
        <f t="shared" si="81"/>
        <v/>
      </c>
      <c r="Z1583" s="11" t="str">
        <f t="shared" si="82"/>
        <v/>
      </c>
      <c r="AA1583" s="11" t="str">
        <f t="shared" si="83"/>
        <v/>
      </c>
      <c r="AB1583" s="11" t="str">
        <f t="shared" si="84"/>
        <v/>
      </c>
      <c r="AC1583" s="11" t="str">
        <f t="shared" si="85"/>
        <v/>
      </c>
      <c r="AD1583" s="11" t="str">
        <f t="shared" si="86"/>
        <v/>
      </c>
      <c r="AE1583" s="11" t="str">
        <f t="shared" si="87"/>
        <v/>
      </c>
      <c r="AF1583" s="11" t="str">
        <f t="shared" si="88"/>
        <v/>
      </c>
      <c r="AG1583" s="11" t="str">
        <f t="shared" si="89"/>
        <v/>
      </c>
      <c r="AH1583" s="11" t="str">
        <f t="shared" si="90"/>
        <v/>
      </c>
    </row>
    <row r="1584" spans="1:34" ht="14.25" customHeight="1">
      <c r="A1584" s="11"/>
      <c r="B1584" s="66"/>
      <c r="C1584" s="66"/>
      <c r="D1584" s="66"/>
      <c r="E1584" s="66"/>
      <c r="F1584" s="66"/>
      <c r="G1584" s="66"/>
      <c r="H1584" s="66"/>
      <c r="I1584" s="6"/>
      <c r="J1584" s="6"/>
      <c r="K1584" s="6"/>
      <c r="L1584" s="6"/>
      <c r="M1584" s="68"/>
      <c r="N1584" s="19"/>
      <c r="O1584" s="19"/>
      <c r="P1584" s="6"/>
      <c r="Q1584" s="6"/>
      <c r="R1584" s="6"/>
      <c r="S1584" s="6"/>
      <c r="T1584" s="9"/>
      <c r="U1584" s="6"/>
      <c r="V1584" s="9"/>
      <c r="W1584" s="6"/>
      <c r="X1584" s="10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</row>
    <row r="1585" spans="1:34" ht="14.25" customHeight="1">
      <c r="A1585" s="11"/>
      <c r="B1585" s="66"/>
      <c r="C1585" s="66"/>
      <c r="D1585" s="66"/>
      <c r="E1585" s="66"/>
      <c r="F1585" s="66"/>
      <c r="G1585" s="66"/>
      <c r="H1585" s="66"/>
      <c r="I1585" s="6"/>
      <c r="J1585" s="6"/>
      <c r="K1585" s="6"/>
      <c r="L1585" s="6"/>
      <c r="M1585" s="68"/>
      <c r="N1585" s="19"/>
      <c r="O1585" s="19"/>
      <c r="P1585" s="6"/>
      <c r="Q1585" s="6"/>
      <c r="R1585" s="6"/>
      <c r="S1585" s="6"/>
      <c r="T1585" s="9"/>
      <c r="U1585" s="6"/>
      <c r="V1585" s="9"/>
      <c r="W1585" s="6"/>
      <c r="X1585" s="10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</row>
    <row r="1586" spans="1:34" ht="14.25" customHeight="1">
      <c r="A1586" s="11"/>
      <c r="B1586" s="66"/>
      <c r="C1586" s="66"/>
      <c r="D1586" s="66"/>
      <c r="E1586" s="66"/>
      <c r="F1586" s="66"/>
      <c r="G1586" s="66"/>
      <c r="H1586" s="66"/>
      <c r="I1586" s="6"/>
      <c r="J1586" s="6"/>
      <c r="K1586" s="6"/>
      <c r="L1586" s="6"/>
      <c r="M1586" s="68"/>
      <c r="N1586" s="19"/>
      <c r="O1586" s="19"/>
      <c r="P1586" s="6"/>
      <c r="Q1586" s="6"/>
      <c r="R1586" s="6"/>
      <c r="S1586" s="6"/>
      <c r="T1586" s="9"/>
      <c r="U1586" s="6"/>
      <c r="V1586" s="9"/>
      <c r="W1586" s="6"/>
      <c r="X1586" s="10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</row>
    <row r="1587" spans="1:34" ht="14.25" customHeight="1">
      <c r="A1587" s="11"/>
      <c r="B1587" s="66"/>
      <c r="C1587" s="66"/>
      <c r="D1587" s="66"/>
      <c r="E1587" s="66"/>
      <c r="F1587" s="66"/>
      <c r="G1587" s="66"/>
      <c r="H1587" s="66"/>
      <c r="I1587" s="6"/>
      <c r="J1587" s="6"/>
      <c r="K1587" s="6"/>
      <c r="L1587" s="6"/>
      <c r="M1587" s="68"/>
      <c r="N1587" s="19"/>
      <c r="O1587" s="19"/>
      <c r="P1587" s="6"/>
      <c r="Q1587" s="6"/>
      <c r="R1587" s="6"/>
      <c r="S1587" s="6"/>
      <c r="T1587" s="9"/>
      <c r="U1587" s="6"/>
      <c r="V1587" s="9"/>
      <c r="W1587" s="6"/>
      <c r="X1587" s="10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</row>
    <row r="1588" spans="1:34" ht="14.25" customHeight="1">
      <c r="A1588" s="11"/>
      <c r="B1588" s="66"/>
      <c r="C1588" s="66"/>
      <c r="D1588" s="66"/>
      <c r="E1588" s="66"/>
      <c r="F1588" s="66"/>
      <c r="G1588" s="66"/>
      <c r="H1588" s="66"/>
      <c r="I1588" s="6"/>
      <c r="J1588" s="6"/>
      <c r="K1588" s="6"/>
      <c r="L1588" s="6"/>
      <c r="M1588" s="68"/>
      <c r="N1588" s="19"/>
      <c r="O1588" s="19"/>
      <c r="P1588" s="6"/>
      <c r="Q1588" s="6"/>
      <c r="R1588" s="6"/>
      <c r="S1588" s="6"/>
      <c r="T1588" s="9"/>
      <c r="U1588" s="6"/>
      <c r="V1588" s="9"/>
      <c r="W1588" s="6"/>
      <c r="X1588" s="10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</row>
    <row r="1589" spans="1:34" ht="14.25" customHeight="1">
      <c r="A1589" s="11"/>
      <c r="B1589" s="66"/>
      <c r="C1589" s="66"/>
      <c r="D1589" s="66"/>
      <c r="E1589" s="66"/>
      <c r="F1589" s="66"/>
      <c r="G1589" s="66"/>
      <c r="H1589" s="66"/>
      <c r="I1589" s="6"/>
      <c r="J1589" s="6"/>
      <c r="K1589" s="6"/>
      <c r="L1589" s="6"/>
      <c r="M1589" s="68"/>
      <c r="N1589" s="19"/>
      <c r="O1589" s="19"/>
      <c r="P1589" s="6"/>
      <c r="Q1589" s="6"/>
      <c r="R1589" s="6"/>
      <c r="S1589" s="6"/>
      <c r="T1589" s="9"/>
      <c r="U1589" s="6"/>
      <c r="V1589" s="9"/>
      <c r="W1589" s="6"/>
      <c r="X1589" s="10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</row>
  </sheetData>
  <autoFilter ref="A15:X1583" xr:uid="{00000000-0009-0000-0000-000001000000}">
    <sortState xmlns:xlrd2="http://schemas.microsoft.com/office/spreadsheetml/2017/richdata2" ref="A15:X1583">
      <sortCondition ref="J15:J1583"/>
    </sortState>
  </autoFilter>
  <phoneticPr fontId="36" type="noConversion"/>
  <hyperlinks>
    <hyperlink ref="N3" r:id="rId1" xr:uid="{00000000-0004-0000-0100-000000000000}"/>
    <hyperlink ref="N4" r:id="rId2" xr:uid="{00000000-0004-0000-0100-000001000000}"/>
    <hyperlink ref="N7" r:id="rId3" xr:uid="{00000000-0004-0000-0100-000002000000}"/>
    <hyperlink ref="N8" r:id="rId4" xr:uid="{00000000-0004-0000-0100-000003000000}"/>
    <hyperlink ref="N9" r:id="rId5" xr:uid="{00000000-0004-0000-0100-000004000000}"/>
    <hyperlink ref="N10" r:id="rId6" xr:uid="{00000000-0004-0000-0100-000005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" customHeight="1"/>
  <cols>
    <col min="1" max="1" width="5.08984375" customWidth="1"/>
    <col min="2" max="2" width="9.6328125" customWidth="1"/>
    <col min="3" max="3" width="9.453125" customWidth="1"/>
    <col min="4" max="4" width="9.26953125" customWidth="1"/>
    <col min="5" max="5" width="7" customWidth="1"/>
    <col min="6" max="6" width="11.7265625" customWidth="1"/>
    <col min="7" max="7" width="5.7265625" customWidth="1"/>
    <col min="8" max="8" width="10.453125" customWidth="1"/>
    <col min="9" max="9" width="55.36328125" customWidth="1"/>
    <col min="10" max="10" width="14.7265625" customWidth="1"/>
    <col min="11" max="11" width="29.08984375" customWidth="1"/>
    <col min="12" max="13" width="9.26953125" customWidth="1"/>
    <col min="14" max="14" width="7.6328125" customWidth="1"/>
    <col min="15" max="15" width="9.453125" customWidth="1"/>
    <col min="16" max="26" width="7.6328125" customWidth="1"/>
  </cols>
  <sheetData>
    <row r="1" spans="1:26" ht="12" customHeight="1">
      <c r="A1" s="1" t="s">
        <v>0</v>
      </c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>
      <c r="A2" s="1"/>
      <c r="B2" s="3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>
      <c r="A3" s="12"/>
      <c r="B3" s="13"/>
      <c r="C3" s="13"/>
      <c r="D3" s="13"/>
      <c r="E3" s="13"/>
      <c r="F3" s="13"/>
      <c r="G3" s="15"/>
      <c r="H3" s="15"/>
      <c r="I3" s="15"/>
      <c r="J3" s="17"/>
      <c r="K3" s="1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>
      <c r="A4" s="20" t="s">
        <v>6</v>
      </c>
      <c r="B4" s="22" t="s">
        <v>8</v>
      </c>
      <c r="C4" s="23" t="s">
        <v>9</v>
      </c>
      <c r="D4" s="23" t="s">
        <v>10</v>
      </c>
      <c r="E4" s="23" t="s">
        <v>11</v>
      </c>
      <c r="F4" s="23" t="s">
        <v>13</v>
      </c>
      <c r="G4" s="24" t="s">
        <v>14</v>
      </c>
      <c r="H4" s="25" t="s">
        <v>10</v>
      </c>
      <c r="I4" s="27" t="s">
        <v>19</v>
      </c>
      <c r="J4" s="17" t="s">
        <v>21</v>
      </c>
      <c r="K4" s="17" t="s">
        <v>23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>
      <c r="A5" s="3">
        <v>1</v>
      </c>
      <c r="B5" s="28" t="s">
        <v>24</v>
      </c>
      <c r="C5" s="29">
        <v>44896</v>
      </c>
      <c r="D5" s="30"/>
      <c r="E5" s="3"/>
      <c r="F5" s="3"/>
      <c r="G5" s="3"/>
      <c r="H5" s="3"/>
      <c r="I5" s="3"/>
      <c r="J5" s="30" t="s">
        <v>26</v>
      </c>
      <c r="K5" s="31" t="s">
        <v>27</v>
      </c>
      <c r="L5" s="3"/>
      <c r="M5" s="3"/>
      <c r="N5" s="3"/>
      <c r="O5" s="32"/>
      <c r="P5" s="28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>
      <c r="A6" s="3">
        <v>2</v>
      </c>
      <c r="B6" s="3" t="s">
        <v>28</v>
      </c>
      <c r="C6" s="29">
        <v>42705</v>
      </c>
      <c r="D6" s="30"/>
      <c r="E6" s="3"/>
      <c r="F6" s="3"/>
      <c r="G6" s="3"/>
      <c r="H6" s="3"/>
      <c r="I6" s="3"/>
      <c r="J6" s="30" t="s">
        <v>26</v>
      </c>
      <c r="K6" s="31" t="s">
        <v>29</v>
      </c>
      <c r="L6" s="3"/>
      <c r="M6" s="3"/>
      <c r="N6" s="3"/>
      <c r="O6" s="32"/>
      <c r="P6" s="28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>
      <c r="A7" s="3">
        <v>3</v>
      </c>
      <c r="B7" s="28" t="s">
        <v>24</v>
      </c>
      <c r="C7" s="29">
        <v>42767</v>
      </c>
      <c r="D7" s="30"/>
      <c r="E7" s="3"/>
      <c r="F7" s="3"/>
      <c r="G7" s="3"/>
      <c r="H7" s="3"/>
      <c r="I7" s="3"/>
      <c r="J7" s="30" t="s">
        <v>26</v>
      </c>
      <c r="K7" s="31" t="s">
        <v>30</v>
      </c>
      <c r="L7" s="3"/>
      <c r="M7" s="3"/>
      <c r="N7" s="3"/>
      <c r="O7" s="32"/>
      <c r="P7" s="28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>
      <c r="A8" s="3">
        <v>4</v>
      </c>
      <c r="B8" s="28" t="s">
        <v>24</v>
      </c>
      <c r="C8" s="29">
        <v>42552</v>
      </c>
      <c r="D8" s="30"/>
      <c r="E8" s="3"/>
      <c r="F8" s="3"/>
      <c r="G8" s="3"/>
      <c r="H8" s="3"/>
      <c r="I8" s="3"/>
      <c r="J8" s="30" t="s">
        <v>26</v>
      </c>
      <c r="K8" s="31" t="s">
        <v>31</v>
      </c>
      <c r="L8" s="3"/>
      <c r="M8" s="3"/>
      <c r="N8" s="3"/>
      <c r="O8" s="32"/>
      <c r="P8" s="28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>
      <c r="A9" s="3">
        <v>5</v>
      </c>
      <c r="B9" s="28" t="s">
        <v>32</v>
      </c>
      <c r="C9" s="29">
        <v>44896</v>
      </c>
      <c r="D9" s="34">
        <v>44923</v>
      </c>
      <c r="E9" s="3"/>
      <c r="F9" s="3"/>
      <c r="G9" s="3"/>
      <c r="H9" s="3"/>
      <c r="I9" s="3"/>
      <c r="J9" s="30">
        <v>2950473</v>
      </c>
      <c r="K9" s="31" t="s">
        <v>33</v>
      </c>
      <c r="L9" s="3"/>
      <c r="M9" s="3"/>
      <c r="N9" s="3"/>
      <c r="O9" s="32"/>
      <c r="P9" s="28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" customHeight="1">
      <c r="A10" s="3">
        <v>6</v>
      </c>
      <c r="B10" s="3" t="s">
        <v>35</v>
      </c>
      <c r="C10" s="3"/>
      <c r="D10" s="3"/>
      <c r="E10" s="3"/>
      <c r="F10" s="36">
        <v>46122</v>
      </c>
      <c r="G10" s="3"/>
      <c r="H10" s="3"/>
      <c r="I10" s="3"/>
      <c r="J10" s="37">
        <v>365163347</v>
      </c>
      <c r="K10" s="6" t="s">
        <v>36</v>
      </c>
      <c r="L10" s="3"/>
      <c r="M10" s="3"/>
      <c r="N10" s="3"/>
      <c r="O10" s="3"/>
      <c r="P10" s="28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" customHeight="1">
      <c r="A11" s="3">
        <v>7</v>
      </c>
      <c r="B11" s="3"/>
      <c r="C11" s="36">
        <v>46023</v>
      </c>
      <c r="D11" s="3"/>
      <c r="E11" s="3"/>
      <c r="F11" s="3"/>
      <c r="G11" s="30" t="s">
        <v>14</v>
      </c>
      <c r="H11" s="32">
        <v>45904</v>
      </c>
      <c r="I11" s="28" t="s">
        <v>39</v>
      </c>
      <c r="J11" s="37">
        <v>393956729</v>
      </c>
      <c r="K11" s="6" t="s">
        <v>40</v>
      </c>
      <c r="L11" s="3"/>
      <c r="M11" s="3"/>
      <c r="N11" s="3"/>
      <c r="O11" s="3"/>
      <c r="P11" s="28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" customHeight="1">
      <c r="A12" s="3">
        <v>8</v>
      </c>
      <c r="B12" s="3"/>
      <c r="C12" s="3"/>
      <c r="D12" s="3"/>
      <c r="E12" s="3"/>
      <c r="F12" s="3"/>
      <c r="G12" s="30" t="s">
        <v>14</v>
      </c>
      <c r="H12" s="32">
        <v>45992</v>
      </c>
      <c r="I12" s="28" t="s">
        <v>41</v>
      </c>
      <c r="J12" s="39" t="s">
        <v>42</v>
      </c>
      <c r="K12" s="28" t="s">
        <v>43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" customHeight="1">
      <c r="A13" s="3">
        <v>9</v>
      </c>
      <c r="B13" s="3"/>
      <c r="C13" s="3"/>
      <c r="D13" s="3"/>
      <c r="E13" s="3"/>
      <c r="F13" s="3"/>
      <c r="G13" s="30" t="s">
        <v>14</v>
      </c>
      <c r="H13" s="32">
        <v>45604</v>
      </c>
      <c r="I13" s="28" t="s">
        <v>44</v>
      </c>
      <c r="J13" s="39" t="s">
        <v>42</v>
      </c>
      <c r="K13" s="28" t="s">
        <v>45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" customHeight="1">
      <c r="A14" s="3">
        <v>10</v>
      </c>
      <c r="B14" s="3"/>
      <c r="C14" s="3"/>
      <c r="D14" s="3"/>
      <c r="E14" s="3"/>
      <c r="F14" s="3"/>
      <c r="G14" s="30" t="s">
        <v>14</v>
      </c>
      <c r="H14" s="32">
        <v>42867</v>
      </c>
      <c r="I14" s="28" t="s">
        <v>46</v>
      </c>
      <c r="J14" s="39" t="s">
        <v>47</v>
      </c>
      <c r="K14" s="28" t="s">
        <v>48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" customHeight="1">
      <c r="A15" s="3">
        <v>11</v>
      </c>
      <c r="B15" s="3"/>
      <c r="C15" s="3"/>
      <c r="D15" s="3"/>
      <c r="E15" s="3"/>
      <c r="F15" s="3"/>
      <c r="G15" s="30" t="s">
        <v>14</v>
      </c>
      <c r="H15" s="32">
        <v>43761</v>
      </c>
      <c r="I15" s="28" t="s">
        <v>49</v>
      </c>
      <c r="J15" s="39" t="s">
        <v>42</v>
      </c>
      <c r="K15" s="28" t="s">
        <v>50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" customHeight="1">
      <c r="A16" s="3">
        <v>12</v>
      </c>
      <c r="B16" s="3"/>
      <c r="C16" s="3"/>
      <c r="D16" s="3"/>
      <c r="E16" s="3"/>
      <c r="F16" s="3"/>
      <c r="G16" s="30" t="s">
        <v>14</v>
      </c>
      <c r="H16" s="32">
        <v>42234</v>
      </c>
      <c r="I16" s="28" t="s">
        <v>49</v>
      </c>
      <c r="J16" s="39" t="s">
        <v>42</v>
      </c>
      <c r="K16" s="28" t="s">
        <v>51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>
      <c r="A17" s="3">
        <v>13</v>
      </c>
      <c r="B17" s="3"/>
      <c r="C17" s="3"/>
      <c r="D17" s="3"/>
      <c r="E17" s="3"/>
      <c r="F17" s="3"/>
      <c r="G17" s="30" t="s">
        <v>14</v>
      </c>
      <c r="H17" s="32">
        <v>42755</v>
      </c>
      <c r="I17" s="28" t="s">
        <v>52</v>
      </c>
      <c r="J17" s="39" t="s">
        <v>54</v>
      </c>
      <c r="K17" s="28" t="s">
        <v>55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" customHeight="1">
      <c r="A18" s="3">
        <v>14</v>
      </c>
      <c r="B18" s="3"/>
      <c r="C18" s="3"/>
      <c r="D18" s="3"/>
      <c r="E18" s="3"/>
      <c r="F18" s="3"/>
      <c r="G18" s="30" t="s">
        <v>14</v>
      </c>
      <c r="H18" s="32">
        <v>45166</v>
      </c>
      <c r="I18" s="28" t="s">
        <v>56</v>
      </c>
      <c r="J18" s="39" t="s">
        <v>57</v>
      </c>
      <c r="K18" s="28" t="s">
        <v>58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>
      <c r="A19" s="3">
        <v>15</v>
      </c>
      <c r="B19" s="3"/>
      <c r="C19" s="3"/>
      <c r="D19" s="3"/>
      <c r="E19" s="3"/>
      <c r="F19" s="3"/>
      <c r="G19" s="30" t="s">
        <v>14</v>
      </c>
      <c r="H19" s="32">
        <v>42790</v>
      </c>
      <c r="I19" s="28" t="s">
        <v>46</v>
      </c>
      <c r="J19" s="39" t="s">
        <v>59</v>
      </c>
      <c r="K19" s="28" t="s">
        <v>60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" customHeight="1">
      <c r="A20" s="3">
        <v>16</v>
      </c>
      <c r="B20" s="3"/>
      <c r="C20" s="3"/>
      <c r="D20" s="3"/>
      <c r="E20" s="3"/>
      <c r="F20" s="3"/>
      <c r="G20" s="30" t="s">
        <v>14</v>
      </c>
      <c r="H20" s="32">
        <v>45436</v>
      </c>
      <c r="I20" s="28" t="s">
        <v>61</v>
      </c>
      <c r="J20" s="39" t="s">
        <v>42</v>
      </c>
      <c r="K20" s="28" t="s">
        <v>62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" customHeight="1">
      <c r="A21" s="3">
        <v>17</v>
      </c>
      <c r="B21" s="3"/>
      <c r="C21" s="3"/>
      <c r="D21" s="3"/>
      <c r="E21" s="3"/>
      <c r="F21" s="3"/>
      <c r="G21" s="30" t="s">
        <v>14</v>
      </c>
      <c r="H21" s="32">
        <v>45821</v>
      </c>
      <c r="I21" s="28" t="s">
        <v>64</v>
      </c>
      <c r="J21" s="39" t="s">
        <v>42</v>
      </c>
      <c r="K21" s="28" t="s">
        <v>65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" customHeight="1">
      <c r="A22" s="3">
        <v>18</v>
      </c>
      <c r="B22" s="3"/>
      <c r="C22" s="3"/>
      <c r="D22" s="3"/>
      <c r="E22" s="3"/>
      <c r="F22" s="3"/>
      <c r="G22" s="30" t="s">
        <v>14</v>
      </c>
      <c r="H22" s="32">
        <v>45918</v>
      </c>
      <c r="I22" s="28" t="s">
        <v>68</v>
      </c>
      <c r="J22" s="39" t="s">
        <v>42</v>
      </c>
      <c r="K22" s="28" t="s">
        <v>69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" customHeight="1">
      <c r="A23" s="3">
        <v>19</v>
      </c>
      <c r="B23" s="3"/>
      <c r="C23" s="3"/>
      <c r="D23" s="3"/>
      <c r="E23" s="3"/>
      <c r="F23" s="3"/>
      <c r="G23" s="30" t="s">
        <v>14</v>
      </c>
      <c r="H23" s="32">
        <v>45627</v>
      </c>
      <c r="I23" s="28" t="s">
        <v>70</v>
      </c>
      <c r="J23" s="39" t="s">
        <v>42</v>
      </c>
      <c r="K23" s="28" t="s">
        <v>71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>
      <c r="A24" s="3">
        <v>20</v>
      </c>
      <c r="B24" s="3"/>
      <c r="C24" s="3"/>
      <c r="D24" s="3"/>
      <c r="E24" s="3"/>
      <c r="F24" s="3"/>
      <c r="G24" s="30" t="s">
        <v>14</v>
      </c>
      <c r="H24" s="32">
        <v>45992</v>
      </c>
      <c r="I24" s="28" t="s">
        <v>70</v>
      </c>
      <c r="J24" s="39" t="s">
        <v>42</v>
      </c>
      <c r="K24" s="28" t="s">
        <v>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>
      <c r="A25" s="3">
        <v>21</v>
      </c>
      <c r="B25" s="3"/>
      <c r="C25" s="3"/>
      <c r="D25" s="3"/>
      <c r="E25" s="3"/>
      <c r="F25" s="3"/>
      <c r="G25" s="30" t="s">
        <v>14</v>
      </c>
      <c r="H25" s="32">
        <v>42979</v>
      </c>
      <c r="I25" s="28" t="s">
        <v>76</v>
      </c>
      <c r="J25" s="39" t="s">
        <v>42</v>
      </c>
      <c r="K25" s="28" t="s">
        <v>77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>
      <c r="A26" s="3">
        <v>22</v>
      </c>
      <c r="B26" s="3"/>
      <c r="C26" s="3"/>
      <c r="D26" s="3"/>
      <c r="E26" s="3"/>
      <c r="F26" s="3"/>
      <c r="G26" s="30" t="s">
        <v>14</v>
      </c>
      <c r="H26" s="32">
        <v>45294</v>
      </c>
      <c r="I26" s="28" t="s">
        <v>78</v>
      </c>
      <c r="J26" s="39" t="s">
        <v>42</v>
      </c>
      <c r="K26" s="28" t="s">
        <v>79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" customHeight="1">
      <c r="A27" s="3">
        <v>23</v>
      </c>
      <c r="B27" s="3"/>
      <c r="C27" s="3"/>
      <c r="D27" s="3"/>
      <c r="E27" s="3"/>
      <c r="F27" s="3"/>
      <c r="G27" s="30" t="s">
        <v>14</v>
      </c>
      <c r="H27" s="32">
        <v>45498</v>
      </c>
      <c r="I27" s="28" t="s">
        <v>41</v>
      </c>
      <c r="J27" s="39" t="s">
        <v>42</v>
      </c>
      <c r="K27" s="28" t="s">
        <v>82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" customHeight="1">
      <c r="A28" s="3">
        <v>24</v>
      </c>
      <c r="B28" s="3"/>
      <c r="C28" s="3"/>
      <c r="D28" s="3"/>
      <c r="E28" s="3"/>
      <c r="F28" s="3"/>
      <c r="G28" s="30" t="s">
        <v>14</v>
      </c>
      <c r="H28" s="32">
        <v>45874</v>
      </c>
      <c r="I28" s="28" t="s">
        <v>39</v>
      </c>
      <c r="J28" s="39" t="s">
        <v>42</v>
      </c>
      <c r="K28" s="28" t="s">
        <v>85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>
      <c r="A29" s="3">
        <v>25</v>
      </c>
      <c r="B29" s="3"/>
      <c r="C29" s="3"/>
      <c r="D29" s="3"/>
      <c r="E29" s="3"/>
      <c r="F29" s="3"/>
      <c r="G29" s="30" t="s">
        <v>14</v>
      </c>
      <c r="H29" s="32">
        <v>45911</v>
      </c>
      <c r="I29" s="28" t="s">
        <v>64</v>
      </c>
      <c r="J29" s="39" t="s">
        <v>42</v>
      </c>
      <c r="K29" s="28" t="s">
        <v>86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" customHeight="1">
      <c r="A30" s="3">
        <v>26</v>
      </c>
      <c r="B30" s="3"/>
      <c r="C30" s="3"/>
      <c r="D30" s="3"/>
      <c r="E30" s="3"/>
      <c r="F30" s="3"/>
      <c r="G30" s="30" t="s">
        <v>14</v>
      </c>
      <c r="H30" s="32">
        <v>45033</v>
      </c>
      <c r="I30" s="28" t="s">
        <v>87</v>
      </c>
      <c r="J30" s="39" t="s">
        <v>42</v>
      </c>
      <c r="K30" s="28" t="s">
        <v>88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>
      <c r="A31" s="3">
        <v>27</v>
      </c>
      <c r="B31" s="3"/>
      <c r="C31" s="3"/>
      <c r="D31" s="3"/>
      <c r="E31" s="3"/>
      <c r="F31" s="3"/>
      <c r="G31" s="30" t="s">
        <v>14</v>
      </c>
      <c r="H31" s="32">
        <v>45635</v>
      </c>
      <c r="I31" s="28" t="s">
        <v>90</v>
      </c>
      <c r="J31" s="39" t="s">
        <v>92</v>
      </c>
      <c r="K31" s="28" t="s">
        <v>93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" customHeight="1">
      <c r="A32" s="3">
        <v>28</v>
      </c>
      <c r="B32" s="3"/>
      <c r="C32" s="3"/>
      <c r="D32" s="3"/>
      <c r="E32" s="3"/>
      <c r="F32" s="3"/>
      <c r="G32" s="30" t="s">
        <v>14</v>
      </c>
      <c r="H32" s="32">
        <v>45336</v>
      </c>
      <c r="I32" s="28" t="s">
        <v>87</v>
      </c>
      <c r="J32" s="39" t="s">
        <v>42</v>
      </c>
      <c r="K32" s="28" t="s">
        <v>95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>
      <c r="A33" s="3">
        <v>29</v>
      </c>
      <c r="B33" s="3"/>
      <c r="C33" s="3"/>
      <c r="D33" s="3"/>
      <c r="E33" s="3"/>
      <c r="F33" s="3"/>
      <c r="G33" s="30" t="s">
        <v>14</v>
      </c>
      <c r="H33" s="32">
        <v>45261</v>
      </c>
      <c r="I33" s="28" t="s">
        <v>70</v>
      </c>
      <c r="J33" s="39" t="s">
        <v>42</v>
      </c>
      <c r="K33" s="28" t="s">
        <v>96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" customHeight="1">
      <c r="A34" s="3">
        <v>30</v>
      </c>
      <c r="B34" s="3"/>
      <c r="C34" s="3"/>
      <c r="D34" s="3"/>
      <c r="E34" s="3"/>
      <c r="F34" s="3"/>
      <c r="G34" s="30" t="s">
        <v>14</v>
      </c>
      <c r="H34" s="32">
        <v>45041</v>
      </c>
      <c r="I34" s="28" t="s">
        <v>97</v>
      </c>
      <c r="J34" s="39" t="s">
        <v>42</v>
      </c>
      <c r="K34" s="28" t="s">
        <v>98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" customHeight="1">
      <c r="A35" s="3">
        <v>31</v>
      </c>
      <c r="B35" s="3"/>
      <c r="C35" s="3"/>
      <c r="D35" s="3"/>
      <c r="E35" s="3"/>
      <c r="F35" s="3"/>
      <c r="G35" s="30" t="s">
        <v>14</v>
      </c>
      <c r="H35" s="32">
        <v>45847</v>
      </c>
      <c r="I35" s="28" t="s">
        <v>100</v>
      </c>
      <c r="J35" s="39" t="s">
        <v>42</v>
      </c>
      <c r="K35" s="28" t="s">
        <v>102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" customHeight="1">
      <c r="A36" s="3">
        <v>32</v>
      </c>
      <c r="B36" s="3"/>
      <c r="C36" s="3"/>
      <c r="D36" s="3"/>
      <c r="E36" s="3"/>
      <c r="F36" s="3"/>
      <c r="G36" s="30" t="s">
        <v>14</v>
      </c>
      <c r="H36" s="32">
        <v>45139</v>
      </c>
      <c r="I36" s="28" t="s">
        <v>70</v>
      </c>
      <c r="J36" s="39" t="s">
        <v>42</v>
      </c>
      <c r="K36" s="28" t="s">
        <v>103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" customHeight="1">
      <c r="A37" s="3">
        <v>33</v>
      </c>
      <c r="B37" s="3"/>
      <c r="C37" s="3"/>
      <c r="D37" s="3"/>
      <c r="E37" s="3"/>
      <c r="F37" s="3"/>
      <c r="G37" s="30" t="s">
        <v>14</v>
      </c>
      <c r="H37" s="32">
        <v>45905</v>
      </c>
      <c r="I37" s="28" t="s">
        <v>104</v>
      </c>
      <c r="J37" s="39" t="s">
        <v>42</v>
      </c>
      <c r="K37" s="28" t="s">
        <v>105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" customHeight="1">
      <c r="A38" s="3">
        <v>34</v>
      </c>
      <c r="B38" s="3"/>
      <c r="C38" s="3"/>
      <c r="D38" s="3"/>
      <c r="E38" s="3"/>
      <c r="F38" s="3"/>
      <c r="G38" s="30" t="s">
        <v>14</v>
      </c>
      <c r="H38" s="32">
        <v>45639</v>
      </c>
      <c r="I38" s="28" t="s">
        <v>107</v>
      </c>
      <c r="J38" s="39" t="s">
        <v>42</v>
      </c>
      <c r="K38" s="28" t="s">
        <v>108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>
      <c r="A39" s="3">
        <v>35</v>
      </c>
      <c r="B39" s="3"/>
      <c r="C39" s="3"/>
      <c r="D39" s="3"/>
      <c r="E39" s="3"/>
      <c r="F39" s="3"/>
      <c r="G39" s="30" t="s">
        <v>14</v>
      </c>
      <c r="H39" s="32">
        <v>42241</v>
      </c>
      <c r="I39" s="28" t="s">
        <v>49</v>
      </c>
      <c r="J39" s="39" t="s">
        <v>42</v>
      </c>
      <c r="K39" s="28" t="s">
        <v>109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" customHeight="1">
      <c r="A40" s="3">
        <v>36</v>
      </c>
      <c r="B40" s="3"/>
      <c r="C40" s="3"/>
      <c r="D40" s="3"/>
      <c r="E40" s="3"/>
      <c r="F40" s="3"/>
      <c r="G40" s="30" t="s">
        <v>14</v>
      </c>
      <c r="H40" s="32">
        <v>45931</v>
      </c>
      <c r="I40" s="28" t="s">
        <v>107</v>
      </c>
      <c r="J40" s="39" t="s">
        <v>42</v>
      </c>
      <c r="K40" s="28" t="s">
        <v>111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>
      <c r="A41" s="3">
        <v>37</v>
      </c>
      <c r="B41" s="3"/>
      <c r="C41" s="3"/>
      <c r="D41" s="3"/>
      <c r="E41" s="3"/>
      <c r="F41" s="3"/>
      <c r="G41" s="30" t="s">
        <v>14</v>
      </c>
      <c r="H41" s="32">
        <v>44567</v>
      </c>
      <c r="I41" s="28" t="s">
        <v>112</v>
      </c>
      <c r="J41" s="39" t="s">
        <v>42</v>
      </c>
      <c r="K41" s="28" t="s">
        <v>113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" customHeight="1">
      <c r="A42" s="3">
        <v>38</v>
      </c>
      <c r="B42" s="3"/>
      <c r="C42" s="3"/>
      <c r="D42" s="3"/>
      <c r="E42" s="3"/>
      <c r="F42" s="3"/>
      <c r="G42" s="30" t="s">
        <v>14</v>
      </c>
      <c r="H42" s="32">
        <v>45953</v>
      </c>
      <c r="I42" s="28" t="s">
        <v>114</v>
      </c>
      <c r="J42" s="39" t="s">
        <v>42</v>
      </c>
      <c r="K42" s="28" t="s">
        <v>115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" customHeight="1">
      <c r="A43" s="3">
        <v>39</v>
      </c>
      <c r="B43" s="3"/>
      <c r="C43" s="3"/>
      <c r="D43" s="3"/>
      <c r="E43" s="3"/>
      <c r="F43" s="3"/>
      <c r="G43" s="30" t="s">
        <v>14</v>
      </c>
      <c r="H43" s="32">
        <v>45411</v>
      </c>
      <c r="I43" s="28" t="s">
        <v>56</v>
      </c>
      <c r="J43" s="39" t="s">
        <v>42</v>
      </c>
      <c r="K43" s="28" t="s">
        <v>116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" customHeight="1">
      <c r="A44" s="3">
        <v>40</v>
      </c>
      <c r="B44" s="3"/>
      <c r="C44" s="3"/>
      <c r="D44" s="3"/>
      <c r="E44" s="3"/>
      <c r="F44" s="3"/>
      <c r="G44" s="30" t="s">
        <v>14</v>
      </c>
      <c r="H44" s="32">
        <v>44713</v>
      </c>
      <c r="I44" s="28" t="s">
        <v>70</v>
      </c>
      <c r="J44" s="39" t="s">
        <v>42</v>
      </c>
      <c r="K44" s="28" t="s">
        <v>117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>
      <c r="A45" s="3">
        <v>41</v>
      </c>
      <c r="B45" s="3"/>
      <c r="C45" s="3"/>
      <c r="D45" s="3"/>
      <c r="E45" s="3"/>
      <c r="F45" s="3"/>
      <c r="G45" s="30" t="s">
        <v>14</v>
      </c>
      <c r="H45" s="32">
        <v>45702</v>
      </c>
      <c r="I45" s="28" t="s">
        <v>78</v>
      </c>
      <c r="J45" s="39" t="s">
        <v>42</v>
      </c>
      <c r="K45" s="28" t="s">
        <v>120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" customHeight="1">
      <c r="A46" s="3">
        <v>42</v>
      </c>
      <c r="B46" s="3"/>
      <c r="C46" s="3"/>
      <c r="D46" s="3"/>
      <c r="E46" s="3"/>
      <c r="F46" s="3"/>
      <c r="G46" s="30" t="s">
        <v>14</v>
      </c>
      <c r="H46" s="32">
        <v>45910</v>
      </c>
      <c r="I46" s="28" t="s">
        <v>104</v>
      </c>
      <c r="J46" s="39" t="s">
        <v>42</v>
      </c>
      <c r="K46" s="28" t="s">
        <v>123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>
      <c r="A47" s="3">
        <v>43</v>
      </c>
      <c r="B47" s="3"/>
      <c r="C47" s="3"/>
      <c r="D47" s="3"/>
      <c r="E47" s="3"/>
      <c r="F47" s="3"/>
      <c r="G47" s="30" t="s">
        <v>14</v>
      </c>
      <c r="H47" s="32">
        <v>42657</v>
      </c>
      <c r="I47" s="28" t="s">
        <v>46</v>
      </c>
      <c r="J47" s="39" t="s">
        <v>92</v>
      </c>
      <c r="K47" s="28" t="s">
        <v>126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>
      <c r="A48" s="3">
        <v>44</v>
      </c>
      <c r="B48" s="3"/>
      <c r="C48" s="3"/>
      <c r="D48" s="3"/>
      <c r="E48" s="3"/>
      <c r="F48" s="3"/>
      <c r="G48" s="30" t="s">
        <v>14</v>
      </c>
      <c r="H48" s="32">
        <v>43364</v>
      </c>
      <c r="I48" s="28" t="s">
        <v>129</v>
      </c>
      <c r="J48" s="39" t="s">
        <v>54</v>
      </c>
      <c r="K48" s="28" t="s">
        <v>131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>
      <c r="A49" s="3">
        <v>45</v>
      </c>
      <c r="B49" s="3"/>
      <c r="C49" s="3"/>
      <c r="D49" s="3"/>
      <c r="E49" s="3"/>
      <c r="F49" s="3"/>
      <c r="G49" s="30" t="s">
        <v>14</v>
      </c>
      <c r="H49" s="32">
        <v>45912</v>
      </c>
      <c r="I49" s="28" t="s">
        <v>136</v>
      </c>
      <c r="J49" s="39" t="s">
        <v>92</v>
      </c>
      <c r="K49" s="28" t="s">
        <v>137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>
      <c r="A50" s="3">
        <v>46</v>
      </c>
      <c r="B50" s="3"/>
      <c r="C50" s="3"/>
      <c r="D50" s="3"/>
      <c r="E50" s="3"/>
      <c r="F50" s="3"/>
      <c r="G50" s="30" t="s">
        <v>14</v>
      </c>
      <c r="H50" s="32">
        <v>43132</v>
      </c>
      <c r="I50" s="28" t="s">
        <v>76</v>
      </c>
      <c r="J50" s="39" t="s">
        <v>42</v>
      </c>
      <c r="K50" s="28" t="s">
        <v>138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" customHeight="1">
      <c r="A51" s="3">
        <v>47</v>
      </c>
      <c r="B51" s="3"/>
      <c r="C51" s="3"/>
      <c r="D51" s="3"/>
      <c r="E51" s="3"/>
      <c r="F51" s="3"/>
      <c r="G51" s="30" t="s">
        <v>14</v>
      </c>
      <c r="H51" s="32">
        <v>44368</v>
      </c>
      <c r="I51" s="28" t="s">
        <v>139</v>
      </c>
      <c r="J51" s="39" t="s">
        <v>42</v>
      </c>
      <c r="K51" s="28" t="s">
        <v>140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>
      <c r="A52" s="3">
        <v>48</v>
      </c>
      <c r="B52" s="3"/>
      <c r="C52" s="3"/>
      <c r="D52" s="3"/>
      <c r="E52" s="3"/>
      <c r="F52" s="3"/>
      <c r="G52" s="30" t="s">
        <v>14</v>
      </c>
      <c r="H52" s="32">
        <v>45925</v>
      </c>
      <c r="I52" s="28" t="s">
        <v>141</v>
      </c>
      <c r="J52" s="39" t="s">
        <v>42</v>
      </c>
      <c r="K52" s="28" t="s">
        <v>142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" customHeight="1">
      <c r="A53" s="3">
        <v>49</v>
      </c>
      <c r="B53" s="3"/>
      <c r="C53" s="3"/>
      <c r="D53" s="3"/>
      <c r="E53" s="3"/>
      <c r="F53" s="3"/>
      <c r="G53" s="30" t="s">
        <v>14</v>
      </c>
      <c r="H53" s="32">
        <v>42186</v>
      </c>
      <c r="I53" s="28" t="s">
        <v>144</v>
      </c>
      <c r="J53" s="39" t="s">
        <v>42</v>
      </c>
      <c r="K53" s="28" t="s">
        <v>146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" customHeight="1">
      <c r="A54" s="3">
        <v>50</v>
      </c>
      <c r="B54" s="3"/>
      <c r="C54" s="3"/>
      <c r="D54" s="3"/>
      <c r="E54" s="3"/>
      <c r="F54" s="3"/>
      <c r="G54" s="30" t="s">
        <v>14</v>
      </c>
      <c r="H54" s="32">
        <v>45231</v>
      </c>
      <c r="I54" s="28" t="s">
        <v>70</v>
      </c>
      <c r="J54" s="39" t="s">
        <v>42</v>
      </c>
      <c r="K54" s="28" t="s">
        <v>148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" customHeight="1">
      <c r="A55" s="3">
        <v>51</v>
      </c>
      <c r="B55" s="3"/>
      <c r="C55" s="3"/>
      <c r="D55" s="3"/>
      <c r="E55" s="3"/>
      <c r="F55" s="3"/>
      <c r="G55" s="30" t="s">
        <v>14</v>
      </c>
      <c r="H55" s="32">
        <v>42643</v>
      </c>
      <c r="I55" s="28" t="s">
        <v>49</v>
      </c>
      <c r="J55" s="39" t="s">
        <v>42</v>
      </c>
      <c r="K55" s="28" t="s">
        <v>152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" customHeight="1">
      <c r="A56" s="3">
        <v>52</v>
      </c>
      <c r="B56" s="3"/>
      <c r="C56" s="3"/>
      <c r="D56" s="3"/>
      <c r="E56" s="3"/>
      <c r="F56" s="3"/>
      <c r="G56" s="30" t="s">
        <v>14</v>
      </c>
      <c r="H56" s="32">
        <v>44909</v>
      </c>
      <c r="I56" s="28" t="s">
        <v>155</v>
      </c>
      <c r="J56" s="39" t="s">
        <v>156</v>
      </c>
      <c r="K56" s="28" t="s">
        <v>157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" customHeight="1">
      <c r="A57" s="3">
        <v>53</v>
      </c>
      <c r="B57" s="3"/>
      <c r="C57" s="3"/>
      <c r="D57" s="3"/>
      <c r="E57" s="3"/>
      <c r="F57" s="3"/>
      <c r="G57" s="30" t="s">
        <v>14</v>
      </c>
      <c r="H57" s="32">
        <v>42065</v>
      </c>
      <c r="I57" s="28" t="s">
        <v>163</v>
      </c>
      <c r="J57" s="39" t="s">
        <v>42</v>
      </c>
      <c r="K57" s="28" t="s">
        <v>164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>
      <c r="A58" s="3">
        <v>54</v>
      </c>
      <c r="B58" s="3"/>
      <c r="C58" s="3"/>
      <c r="D58" s="3"/>
      <c r="E58" s="3"/>
      <c r="F58" s="3"/>
      <c r="G58" s="30" t="s">
        <v>14</v>
      </c>
      <c r="H58" s="32">
        <v>43900</v>
      </c>
      <c r="I58" s="28" t="s">
        <v>139</v>
      </c>
      <c r="J58" s="39" t="s">
        <v>42</v>
      </c>
      <c r="K58" s="28" t="s">
        <v>171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" customHeight="1">
      <c r="A59" s="3">
        <v>55</v>
      </c>
      <c r="B59" s="3"/>
      <c r="C59" s="3"/>
      <c r="D59" s="3"/>
      <c r="E59" s="3"/>
      <c r="F59" s="3"/>
      <c r="G59" s="30" t="s">
        <v>14</v>
      </c>
      <c r="H59" s="32">
        <v>46000</v>
      </c>
      <c r="I59" s="28" t="s">
        <v>172</v>
      </c>
      <c r="J59" s="39" t="s">
        <v>42</v>
      </c>
      <c r="K59" s="28" t="s">
        <v>173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>
      <c r="A60" s="3">
        <v>56</v>
      </c>
      <c r="B60" s="3"/>
      <c r="C60" s="3"/>
      <c r="D60" s="3"/>
      <c r="E60" s="3"/>
      <c r="F60" s="3"/>
      <c r="G60" s="30" t="s">
        <v>14</v>
      </c>
      <c r="H60" s="32">
        <v>43781</v>
      </c>
      <c r="I60" s="28" t="s">
        <v>49</v>
      </c>
      <c r="J60" s="39" t="s">
        <v>42</v>
      </c>
      <c r="K60" s="28" t="s">
        <v>175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" customHeight="1">
      <c r="A61" s="3">
        <v>57</v>
      </c>
      <c r="B61" s="3"/>
      <c r="C61" s="3"/>
      <c r="D61" s="3"/>
      <c r="E61" s="3"/>
      <c r="F61" s="3"/>
      <c r="G61" s="30" t="s">
        <v>14</v>
      </c>
      <c r="H61" s="32">
        <v>43132</v>
      </c>
      <c r="I61" s="28" t="s">
        <v>76</v>
      </c>
      <c r="J61" s="39" t="s">
        <v>42</v>
      </c>
      <c r="K61" s="28" t="s">
        <v>176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>
      <c r="A62" s="3">
        <v>58</v>
      </c>
      <c r="B62" s="3"/>
      <c r="C62" s="3"/>
      <c r="D62" s="3"/>
      <c r="E62" s="3"/>
      <c r="F62" s="3"/>
      <c r="G62" s="30" t="s">
        <v>14</v>
      </c>
      <c r="H62" s="32">
        <v>42156</v>
      </c>
      <c r="I62" s="28" t="s">
        <v>144</v>
      </c>
      <c r="J62" s="39" t="s">
        <v>42</v>
      </c>
      <c r="K62" s="28" t="s">
        <v>177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" customHeight="1">
      <c r="A63" s="3">
        <v>59</v>
      </c>
      <c r="B63" s="3"/>
      <c r="C63" s="3"/>
      <c r="D63" s="3"/>
      <c r="E63" s="3"/>
      <c r="F63" s="3"/>
      <c r="G63" s="30" t="s">
        <v>14</v>
      </c>
      <c r="H63" s="32">
        <v>42300</v>
      </c>
      <c r="I63" s="28" t="s">
        <v>52</v>
      </c>
      <c r="J63" s="39" t="s">
        <v>54</v>
      </c>
      <c r="K63" s="28" t="s">
        <v>178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" customHeight="1">
      <c r="A64" s="3">
        <v>60</v>
      </c>
      <c r="B64" s="3"/>
      <c r="C64" s="3"/>
      <c r="D64" s="3"/>
      <c r="E64" s="3"/>
      <c r="F64" s="3"/>
      <c r="G64" s="30" t="s">
        <v>14</v>
      </c>
      <c r="H64" s="32">
        <v>45071</v>
      </c>
      <c r="I64" s="28" t="s">
        <v>56</v>
      </c>
      <c r="J64" s="39" t="s">
        <v>179</v>
      </c>
      <c r="K64" s="28" t="s">
        <v>180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>
      <c r="A65" s="3">
        <v>61</v>
      </c>
      <c r="B65" s="3"/>
      <c r="C65" s="3"/>
      <c r="D65" s="3"/>
      <c r="E65" s="3"/>
      <c r="F65" s="3"/>
      <c r="G65" s="30" t="s">
        <v>14</v>
      </c>
      <c r="H65" s="32">
        <v>45839</v>
      </c>
      <c r="I65" s="28" t="s">
        <v>181</v>
      </c>
      <c r="J65" s="39" t="s">
        <v>42</v>
      </c>
      <c r="K65" s="28" t="s">
        <v>182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" customHeight="1">
      <c r="A66" s="3">
        <v>62</v>
      </c>
      <c r="B66" s="3"/>
      <c r="C66" s="3"/>
      <c r="D66" s="3"/>
      <c r="E66" s="3"/>
      <c r="F66" s="3"/>
      <c r="G66" s="30" t="s">
        <v>14</v>
      </c>
      <c r="H66" s="32">
        <v>45495</v>
      </c>
      <c r="I66" s="28" t="s">
        <v>107</v>
      </c>
      <c r="J66" s="39" t="s">
        <v>42</v>
      </c>
      <c r="K66" s="28" t="s">
        <v>183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" customHeight="1">
      <c r="A67" s="3">
        <v>63</v>
      </c>
      <c r="B67" s="3"/>
      <c r="C67" s="3"/>
      <c r="D67" s="3"/>
      <c r="E67" s="3"/>
      <c r="F67" s="3"/>
      <c r="G67" s="30" t="s">
        <v>14</v>
      </c>
      <c r="H67" s="32">
        <v>45016</v>
      </c>
      <c r="I67" s="28" t="s">
        <v>56</v>
      </c>
      <c r="J67" s="39" t="s">
        <v>184</v>
      </c>
      <c r="K67" s="28" t="s">
        <v>185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" customHeight="1">
      <c r="A68" s="3">
        <v>64</v>
      </c>
      <c r="B68" s="3"/>
      <c r="C68" s="3"/>
      <c r="D68" s="3"/>
      <c r="E68" s="3"/>
      <c r="F68" s="3"/>
      <c r="G68" s="30" t="s">
        <v>14</v>
      </c>
      <c r="H68" s="32">
        <v>45225</v>
      </c>
      <c r="I68" s="28" t="s">
        <v>39</v>
      </c>
      <c r="J68" s="39" t="s">
        <v>42</v>
      </c>
      <c r="K68" s="28" t="s">
        <v>186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>
      <c r="A69" s="3">
        <v>65</v>
      </c>
      <c r="B69" s="3"/>
      <c r="C69" s="3"/>
      <c r="D69" s="3"/>
      <c r="E69" s="3"/>
      <c r="F69" s="3"/>
      <c r="G69" s="30" t="s">
        <v>14</v>
      </c>
      <c r="H69" s="32">
        <v>42767</v>
      </c>
      <c r="I69" s="28" t="s">
        <v>76</v>
      </c>
      <c r="J69" s="39" t="s">
        <v>42</v>
      </c>
      <c r="K69" s="28" t="s">
        <v>187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" customHeight="1">
      <c r="A70" s="3">
        <v>66</v>
      </c>
      <c r="B70" s="3"/>
      <c r="C70" s="3"/>
      <c r="D70" s="3"/>
      <c r="E70" s="3"/>
      <c r="F70" s="3"/>
      <c r="G70" s="30" t="s">
        <v>14</v>
      </c>
      <c r="H70" s="32">
        <v>44153</v>
      </c>
      <c r="I70" s="28" t="s">
        <v>139</v>
      </c>
      <c r="J70" s="39" t="s">
        <v>42</v>
      </c>
      <c r="K70" s="28" t="s">
        <v>188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" customHeight="1">
      <c r="A71" s="3">
        <v>67</v>
      </c>
      <c r="B71" s="3"/>
      <c r="C71" s="3"/>
      <c r="D71" s="3"/>
      <c r="E71" s="3"/>
      <c r="F71" s="3"/>
      <c r="G71" s="30" t="s">
        <v>14</v>
      </c>
      <c r="H71" s="32">
        <v>45708</v>
      </c>
      <c r="I71" s="28" t="s">
        <v>114</v>
      </c>
      <c r="J71" s="39" t="s">
        <v>42</v>
      </c>
      <c r="K71" s="28" t="s">
        <v>189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" customHeight="1">
      <c r="A72" s="3">
        <v>68</v>
      </c>
      <c r="B72" s="3"/>
      <c r="C72" s="3"/>
      <c r="D72" s="3"/>
      <c r="E72" s="3"/>
      <c r="F72" s="3"/>
      <c r="G72" s="30" t="s">
        <v>14</v>
      </c>
      <c r="H72" s="32">
        <v>44699</v>
      </c>
      <c r="I72" s="28" t="s">
        <v>87</v>
      </c>
      <c r="J72" s="39" t="s">
        <v>42</v>
      </c>
      <c r="K72" s="28" t="s">
        <v>190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" customHeight="1">
      <c r="A73" s="3">
        <v>69</v>
      </c>
      <c r="B73" s="3"/>
      <c r="C73" s="3"/>
      <c r="D73" s="3"/>
      <c r="E73" s="3"/>
      <c r="F73" s="3"/>
      <c r="G73" s="30" t="s">
        <v>14</v>
      </c>
      <c r="H73" s="32">
        <v>42409</v>
      </c>
      <c r="I73" s="28" t="s">
        <v>49</v>
      </c>
      <c r="J73" s="39" t="s">
        <v>42</v>
      </c>
      <c r="K73" s="28" t="s">
        <v>191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" customHeight="1">
      <c r="A74" s="3">
        <v>70</v>
      </c>
      <c r="B74" s="3"/>
      <c r="C74" s="3"/>
      <c r="D74" s="3"/>
      <c r="E74" s="3"/>
      <c r="F74" s="3"/>
      <c r="G74" s="30" t="s">
        <v>14</v>
      </c>
      <c r="H74" s="32">
        <v>43518</v>
      </c>
      <c r="I74" s="28" t="s">
        <v>139</v>
      </c>
      <c r="J74" s="39" t="s">
        <v>42</v>
      </c>
      <c r="K74" s="28" t="s">
        <v>192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" customHeight="1">
      <c r="A75" s="3">
        <v>71</v>
      </c>
      <c r="B75" s="3"/>
      <c r="C75" s="3"/>
      <c r="D75" s="3"/>
      <c r="E75" s="3"/>
      <c r="F75" s="3"/>
      <c r="G75" s="30" t="s">
        <v>14</v>
      </c>
      <c r="H75" s="32">
        <v>43910</v>
      </c>
      <c r="I75" s="28" t="s">
        <v>139</v>
      </c>
      <c r="J75" s="39" t="s">
        <v>42</v>
      </c>
      <c r="K75" s="28" t="s">
        <v>193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" customHeight="1">
      <c r="A76" s="3">
        <v>72</v>
      </c>
      <c r="B76" s="3"/>
      <c r="C76" s="3"/>
      <c r="D76" s="3"/>
      <c r="E76" s="3"/>
      <c r="F76" s="3"/>
      <c r="G76" s="30" t="s">
        <v>14</v>
      </c>
      <c r="H76" s="32">
        <v>42856</v>
      </c>
      <c r="I76" s="28" t="s">
        <v>76</v>
      </c>
      <c r="J76" s="39" t="s">
        <v>42</v>
      </c>
      <c r="K76" s="28" t="s">
        <v>195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" customHeight="1">
      <c r="A77" s="3">
        <v>73</v>
      </c>
      <c r="B77" s="3"/>
      <c r="C77" s="3"/>
      <c r="D77" s="3"/>
      <c r="E77" s="3"/>
      <c r="F77" s="3"/>
      <c r="G77" s="30" t="s">
        <v>14</v>
      </c>
      <c r="H77" s="32">
        <v>45534</v>
      </c>
      <c r="I77" s="28" t="s">
        <v>78</v>
      </c>
      <c r="J77" s="39" t="s">
        <v>42</v>
      </c>
      <c r="K77" s="28" t="s">
        <v>197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" customHeight="1">
      <c r="A78" s="3">
        <v>74</v>
      </c>
      <c r="B78" s="3"/>
      <c r="C78" s="3"/>
      <c r="D78" s="3"/>
      <c r="E78" s="3"/>
      <c r="F78" s="3"/>
      <c r="G78" s="30" t="s">
        <v>14</v>
      </c>
      <c r="H78" s="32">
        <v>45839</v>
      </c>
      <c r="I78" s="28" t="s">
        <v>70</v>
      </c>
      <c r="J78" s="39" t="s">
        <v>42</v>
      </c>
      <c r="K78" s="28" t="s">
        <v>199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" customHeight="1">
      <c r="A79" s="3">
        <v>75</v>
      </c>
      <c r="B79" s="3"/>
      <c r="C79" s="3"/>
      <c r="D79" s="3"/>
      <c r="E79" s="3"/>
      <c r="F79" s="3"/>
      <c r="G79" s="30" t="s">
        <v>14</v>
      </c>
      <c r="H79" s="32">
        <v>45971</v>
      </c>
      <c r="I79" s="28" t="s">
        <v>200</v>
      </c>
      <c r="J79" s="39" t="s">
        <v>42</v>
      </c>
      <c r="K79" s="28" t="s">
        <v>202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" customHeight="1">
      <c r="A80" s="3">
        <v>76</v>
      </c>
      <c r="B80" s="3"/>
      <c r="C80" s="3"/>
      <c r="D80" s="3"/>
      <c r="E80" s="3"/>
      <c r="F80" s="3"/>
      <c r="G80" s="30" t="s">
        <v>14</v>
      </c>
      <c r="H80" s="32">
        <v>45586</v>
      </c>
      <c r="I80" s="28" t="s">
        <v>107</v>
      </c>
      <c r="J80" s="39" t="s">
        <v>42</v>
      </c>
      <c r="K80" s="28" t="s">
        <v>203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" customHeight="1">
      <c r="A81" s="3">
        <v>77</v>
      </c>
      <c r="B81" s="3"/>
      <c r="C81" s="3"/>
      <c r="D81" s="3"/>
      <c r="E81" s="3"/>
      <c r="F81" s="3"/>
      <c r="G81" s="30" t="s">
        <v>14</v>
      </c>
      <c r="H81" s="32">
        <v>45072</v>
      </c>
      <c r="I81" s="28" t="s">
        <v>155</v>
      </c>
      <c r="J81" s="39" t="s">
        <v>205</v>
      </c>
      <c r="K81" s="28" t="s">
        <v>206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" customHeight="1">
      <c r="A82" s="3">
        <v>78</v>
      </c>
      <c r="B82" s="3"/>
      <c r="C82" s="3"/>
      <c r="D82" s="3"/>
      <c r="E82" s="3"/>
      <c r="F82" s="3"/>
      <c r="G82" s="30" t="s">
        <v>14</v>
      </c>
      <c r="H82" s="32">
        <v>43866</v>
      </c>
      <c r="I82" s="28" t="s">
        <v>139</v>
      </c>
      <c r="J82" s="39" t="s">
        <v>42</v>
      </c>
      <c r="K82" s="28" t="s">
        <v>208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" customHeight="1">
      <c r="A83" s="3">
        <v>79</v>
      </c>
      <c r="B83" s="3"/>
      <c r="C83" s="3"/>
      <c r="D83" s="3"/>
      <c r="E83" s="3"/>
      <c r="F83" s="3"/>
      <c r="G83" s="30" t="s">
        <v>14</v>
      </c>
      <c r="H83" s="32">
        <v>45504</v>
      </c>
      <c r="I83" s="28" t="s">
        <v>97</v>
      </c>
      <c r="J83" s="39" t="s">
        <v>42</v>
      </c>
      <c r="K83" s="28" t="s">
        <v>210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" customHeight="1">
      <c r="A84" s="3">
        <v>80</v>
      </c>
      <c r="B84" s="3"/>
      <c r="C84" s="3"/>
      <c r="D84" s="3"/>
      <c r="E84" s="3"/>
      <c r="F84" s="3"/>
      <c r="G84" s="30" t="s">
        <v>14</v>
      </c>
      <c r="H84" s="32">
        <v>43342</v>
      </c>
      <c r="I84" s="28" t="s">
        <v>213</v>
      </c>
      <c r="J84" s="39" t="s">
        <v>92</v>
      </c>
      <c r="K84" s="28" t="s">
        <v>214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" customHeight="1">
      <c r="A85" s="3">
        <v>81</v>
      </c>
      <c r="B85" s="3"/>
      <c r="C85" s="3"/>
      <c r="D85" s="3"/>
      <c r="E85" s="3"/>
      <c r="F85" s="3"/>
      <c r="G85" s="30" t="s">
        <v>14</v>
      </c>
      <c r="H85" s="32">
        <v>45932</v>
      </c>
      <c r="I85" s="28" t="s">
        <v>215</v>
      </c>
      <c r="J85" s="39" t="s">
        <v>42</v>
      </c>
      <c r="K85" s="28" t="s">
        <v>216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" customHeight="1">
      <c r="A86" s="3">
        <v>82</v>
      </c>
      <c r="B86" s="3"/>
      <c r="C86" s="3"/>
      <c r="D86" s="3"/>
      <c r="E86" s="3"/>
      <c r="F86" s="3"/>
      <c r="G86" s="30" t="s">
        <v>14</v>
      </c>
      <c r="H86" s="32">
        <v>43657</v>
      </c>
      <c r="I86" s="28" t="s">
        <v>139</v>
      </c>
      <c r="J86" s="39" t="s">
        <v>42</v>
      </c>
      <c r="K86" s="28" t="s">
        <v>218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" customHeight="1">
      <c r="A87" s="3">
        <v>83</v>
      </c>
      <c r="B87" s="3"/>
      <c r="C87" s="3"/>
      <c r="D87" s="3"/>
      <c r="E87" s="3"/>
      <c r="F87" s="3"/>
      <c r="G87" s="30" t="s">
        <v>14</v>
      </c>
      <c r="H87" s="32">
        <v>45841</v>
      </c>
      <c r="I87" s="28" t="s">
        <v>64</v>
      </c>
      <c r="J87" s="39" t="s">
        <v>42</v>
      </c>
      <c r="K87" s="28" t="s">
        <v>221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" customHeight="1">
      <c r="A88" s="3">
        <v>84</v>
      </c>
      <c r="B88" s="3"/>
      <c r="C88" s="3"/>
      <c r="D88" s="3"/>
      <c r="E88" s="3"/>
      <c r="F88" s="3"/>
      <c r="G88" s="30" t="s">
        <v>14</v>
      </c>
      <c r="H88" s="32">
        <v>45888</v>
      </c>
      <c r="I88" s="28" t="s">
        <v>78</v>
      </c>
      <c r="J88" s="39" t="s">
        <v>42</v>
      </c>
      <c r="K88" s="28" t="s">
        <v>222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" customHeight="1">
      <c r="A89" s="3">
        <v>85</v>
      </c>
      <c r="B89" s="3"/>
      <c r="C89" s="3"/>
      <c r="D89" s="3"/>
      <c r="E89" s="3"/>
      <c r="F89" s="3"/>
      <c r="G89" s="30" t="s">
        <v>14</v>
      </c>
      <c r="H89" s="32">
        <v>41944</v>
      </c>
      <c r="I89" s="28" t="s">
        <v>144</v>
      </c>
      <c r="J89" s="39" t="s">
        <v>42</v>
      </c>
      <c r="K89" s="28" t="s">
        <v>224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" customHeight="1">
      <c r="A90" s="3">
        <v>86</v>
      </c>
      <c r="B90" s="3"/>
      <c r="C90" s="3"/>
      <c r="D90" s="3"/>
      <c r="E90" s="3"/>
      <c r="F90" s="3"/>
      <c r="G90" s="30" t="s">
        <v>14</v>
      </c>
      <c r="H90" s="32">
        <v>45483</v>
      </c>
      <c r="I90" s="28" t="s">
        <v>64</v>
      </c>
      <c r="J90" s="39" t="s">
        <v>42</v>
      </c>
      <c r="K90" s="28" t="s">
        <v>226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" customHeight="1">
      <c r="A91" s="3">
        <v>87</v>
      </c>
      <c r="B91" s="3"/>
      <c r="C91" s="3"/>
      <c r="D91" s="3"/>
      <c r="E91" s="3"/>
      <c r="F91" s="3"/>
      <c r="G91" s="30" t="s">
        <v>14</v>
      </c>
      <c r="H91" s="32">
        <v>43623</v>
      </c>
      <c r="I91" s="28" t="s">
        <v>227</v>
      </c>
      <c r="J91" s="39" t="s">
        <v>42</v>
      </c>
      <c r="K91" s="28" t="s">
        <v>228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" customHeight="1">
      <c r="A92" s="3">
        <v>88</v>
      </c>
      <c r="B92" s="3"/>
      <c r="C92" s="3"/>
      <c r="D92" s="3"/>
      <c r="E92" s="3"/>
      <c r="F92" s="3"/>
      <c r="G92" s="30" t="s">
        <v>14</v>
      </c>
      <c r="H92" s="32">
        <v>42590</v>
      </c>
      <c r="I92" s="28" t="s">
        <v>49</v>
      </c>
      <c r="J92" s="39" t="s">
        <v>42</v>
      </c>
      <c r="K92" s="28" t="s">
        <v>231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" customHeight="1">
      <c r="A93" s="3">
        <v>89</v>
      </c>
      <c r="B93" s="3"/>
      <c r="C93" s="3"/>
      <c r="D93" s="3"/>
      <c r="E93" s="3"/>
      <c r="F93" s="3"/>
      <c r="G93" s="30" t="s">
        <v>14</v>
      </c>
      <c r="H93" s="32">
        <v>44463</v>
      </c>
      <c r="I93" s="28" t="s">
        <v>112</v>
      </c>
      <c r="J93" s="39" t="s">
        <v>42</v>
      </c>
      <c r="K93" s="28" t="s">
        <v>233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" customHeight="1">
      <c r="A94" s="3">
        <v>90</v>
      </c>
      <c r="B94" s="3"/>
      <c r="C94" s="3"/>
      <c r="D94" s="3"/>
      <c r="E94" s="3"/>
      <c r="F94" s="3"/>
      <c r="G94" s="30" t="s">
        <v>14</v>
      </c>
      <c r="H94" s="32">
        <v>45169</v>
      </c>
      <c r="I94" s="28" t="s">
        <v>97</v>
      </c>
      <c r="J94" s="39" t="s">
        <v>42</v>
      </c>
      <c r="K94" s="28" t="s">
        <v>237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" customHeight="1">
      <c r="A95" s="3">
        <v>91</v>
      </c>
      <c r="B95" s="3"/>
      <c r="C95" s="3"/>
      <c r="D95" s="3"/>
      <c r="E95" s="3"/>
      <c r="F95" s="3"/>
      <c r="G95" s="30" t="s">
        <v>14</v>
      </c>
      <c r="H95" s="32">
        <v>45358</v>
      </c>
      <c r="I95" s="28" t="s">
        <v>114</v>
      </c>
      <c r="J95" s="39" t="s">
        <v>239</v>
      </c>
      <c r="K95" s="28" t="s">
        <v>240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" customHeight="1">
      <c r="A96" s="3">
        <v>92</v>
      </c>
      <c r="B96" s="3"/>
      <c r="C96" s="3"/>
      <c r="D96" s="3"/>
      <c r="E96" s="3"/>
      <c r="F96" s="3"/>
      <c r="G96" s="30" t="s">
        <v>14</v>
      </c>
      <c r="H96" s="32">
        <v>45548</v>
      </c>
      <c r="I96" s="28" t="s">
        <v>97</v>
      </c>
      <c r="J96" s="39" t="s">
        <v>42</v>
      </c>
      <c r="K96" s="28" t="s">
        <v>242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" customHeight="1">
      <c r="A97" s="3">
        <v>93</v>
      </c>
      <c r="B97" s="3"/>
      <c r="C97" s="3"/>
      <c r="D97" s="3"/>
      <c r="E97" s="3"/>
      <c r="F97" s="3"/>
      <c r="G97" s="30" t="s">
        <v>14</v>
      </c>
      <c r="H97" s="32">
        <v>45807</v>
      </c>
      <c r="I97" s="28" t="s">
        <v>104</v>
      </c>
      <c r="J97" s="39" t="s">
        <v>42</v>
      </c>
      <c r="K97" s="28" t="s">
        <v>243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" customHeight="1">
      <c r="A98" s="3">
        <v>94</v>
      </c>
      <c r="B98" s="3"/>
      <c r="C98" s="3"/>
      <c r="D98" s="3"/>
      <c r="E98" s="3"/>
      <c r="F98" s="3"/>
      <c r="G98" s="30" t="s">
        <v>14</v>
      </c>
      <c r="H98" s="32">
        <v>44587</v>
      </c>
      <c r="I98" s="28" t="s">
        <v>87</v>
      </c>
      <c r="J98" s="39" t="s">
        <v>42</v>
      </c>
      <c r="K98" s="28" t="s">
        <v>244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" customHeight="1">
      <c r="A99" s="3">
        <v>95</v>
      </c>
      <c r="B99" s="3"/>
      <c r="C99" s="3"/>
      <c r="D99" s="3"/>
      <c r="E99" s="3"/>
      <c r="F99" s="3"/>
      <c r="G99" s="30" t="s">
        <v>14</v>
      </c>
      <c r="H99" s="32">
        <v>45652</v>
      </c>
      <c r="I99" s="28" t="s">
        <v>107</v>
      </c>
      <c r="J99" s="39" t="s">
        <v>42</v>
      </c>
      <c r="K99" s="28" t="s">
        <v>245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" customHeight="1">
      <c r="A100" s="3">
        <v>96</v>
      </c>
      <c r="B100" s="3"/>
      <c r="C100" s="3"/>
      <c r="D100" s="3"/>
      <c r="E100" s="3"/>
      <c r="F100" s="3"/>
      <c r="G100" s="30" t="s">
        <v>14</v>
      </c>
      <c r="H100" s="32">
        <v>45336</v>
      </c>
      <c r="I100" s="28" t="s">
        <v>39</v>
      </c>
      <c r="J100" s="39" t="s">
        <v>42</v>
      </c>
      <c r="K100" s="28" t="s">
        <v>247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" customHeight="1">
      <c r="A101" s="3">
        <v>97</v>
      </c>
      <c r="B101" s="3"/>
      <c r="C101" s="3"/>
      <c r="D101" s="3"/>
      <c r="E101" s="3"/>
      <c r="F101" s="3"/>
      <c r="G101" s="30" t="s">
        <v>14</v>
      </c>
      <c r="H101" s="32">
        <v>45329</v>
      </c>
      <c r="I101" s="28" t="s">
        <v>104</v>
      </c>
      <c r="J101" s="39" t="s">
        <v>248</v>
      </c>
      <c r="K101" s="28" t="s">
        <v>249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" customHeight="1">
      <c r="A102" s="3">
        <v>98</v>
      </c>
      <c r="B102" s="3"/>
      <c r="C102" s="3"/>
      <c r="D102" s="3"/>
      <c r="E102" s="3"/>
      <c r="F102" s="3"/>
      <c r="G102" s="30" t="s">
        <v>14</v>
      </c>
      <c r="H102" s="32">
        <v>45436</v>
      </c>
      <c r="I102" s="28" t="s">
        <v>41</v>
      </c>
      <c r="J102" s="39" t="s">
        <v>42</v>
      </c>
      <c r="K102" s="28" t="s">
        <v>250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" customHeight="1">
      <c r="A103" s="3">
        <v>99</v>
      </c>
      <c r="B103" s="3"/>
      <c r="C103" s="3"/>
      <c r="D103" s="3"/>
      <c r="E103" s="3"/>
      <c r="F103" s="3"/>
      <c r="G103" s="30" t="s">
        <v>14</v>
      </c>
      <c r="H103" s="32">
        <v>42248</v>
      </c>
      <c r="I103" s="28" t="s">
        <v>144</v>
      </c>
      <c r="J103" s="39" t="s">
        <v>42</v>
      </c>
      <c r="K103" s="28" t="s">
        <v>251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" customHeight="1">
      <c r="A104" s="3">
        <v>100</v>
      </c>
      <c r="B104" s="3"/>
      <c r="C104" s="3"/>
      <c r="D104" s="3"/>
      <c r="E104" s="3"/>
      <c r="F104" s="3"/>
      <c r="G104" s="30" t="s">
        <v>14</v>
      </c>
      <c r="H104" s="32">
        <v>46015</v>
      </c>
      <c r="I104" s="28" t="s">
        <v>107</v>
      </c>
      <c r="J104" s="39" t="s">
        <v>42</v>
      </c>
      <c r="K104" s="28" t="s">
        <v>253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" customHeight="1">
      <c r="A105" s="3">
        <v>101</v>
      </c>
      <c r="B105" s="3"/>
      <c r="C105" s="3"/>
      <c r="D105" s="3"/>
      <c r="E105" s="3"/>
      <c r="F105" s="3"/>
      <c r="G105" s="30" t="s">
        <v>14</v>
      </c>
      <c r="H105" s="32">
        <v>45098</v>
      </c>
      <c r="I105" s="28" t="s">
        <v>56</v>
      </c>
      <c r="J105" s="39" t="s">
        <v>254</v>
      </c>
      <c r="K105" s="28" t="s">
        <v>255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" customHeight="1">
      <c r="A106" s="3">
        <v>102</v>
      </c>
      <c r="B106" s="3"/>
      <c r="C106" s="3"/>
      <c r="D106" s="3"/>
      <c r="E106" s="3"/>
      <c r="F106" s="3"/>
      <c r="G106" s="30" t="s">
        <v>14</v>
      </c>
      <c r="H106" s="32">
        <v>45726</v>
      </c>
      <c r="I106" s="28" t="s">
        <v>97</v>
      </c>
      <c r="J106" s="39" t="s">
        <v>42</v>
      </c>
      <c r="K106" s="28" t="s">
        <v>256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" customHeight="1">
      <c r="A107" s="3">
        <v>103</v>
      </c>
      <c r="B107" s="3"/>
      <c r="C107" s="3"/>
      <c r="D107" s="3"/>
      <c r="E107" s="3"/>
      <c r="F107" s="3"/>
      <c r="G107" s="30" t="s">
        <v>14</v>
      </c>
      <c r="H107" s="32">
        <v>43034</v>
      </c>
      <c r="I107" s="28" t="s">
        <v>49</v>
      </c>
      <c r="J107" s="39" t="s">
        <v>42</v>
      </c>
      <c r="K107" s="28" t="s">
        <v>257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" customHeight="1">
      <c r="A108" s="3">
        <v>104</v>
      </c>
      <c r="B108" s="3"/>
      <c r="C108" s="3"/>
      <c r="D108" s="3"/>
      <c r="E108" s="3"/>
      <c r="F108" s="3"/>
      <c r="G108" s="30" t="s">
        <v>14</v>
      </c>
      <c r="H108" s="32">
        <v>45257</v>
      </c>
      <c r="I108" s="28" t="s">
        <v>39</v>
      </c>
      <c r="J108" s="39" t="s">
        <v>42</v>
      </c>
      <c r="K108" s="28" t="s">
        <v>258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" customHeight="1">
      <c r="A109" s="3">
        <v>105</v>
      </c>
      <c r="B109" s="3"/>
      <c r="C109" s="3"/>
      <c r="D109" s="3"/>
      <c r="E109" s="3"/>
      <c r="F109" s="3"/>
      <c r="G109" s="30" t="s">
        <v>14</v>
      </c>
      <c r="H109" s="32">
        <v>42446</v>
      </c>
      <c r="I109" s="28" t="s">
        <v>49</v>
      </c>
      <c r="J109" s="39" t="s">
        <v>42</v>
      </c>
      <c r="K109" s="28" t="s">
        <v>260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" customHeight="1">
      <c r="A110" s="3">
        <v>106</v>
      </c>
      <c r="B110" s="3"/>
      <c r="C110" s="3"/>
      <c r="D110" s="3"/>
      <c r="E110" s="3"/>
      <c r="F110" s="3"/>
      <c r="G110" s="30" t="s">
        <v>14</v>
      </c>
      <c r="H110" s="32">
        <v>45925</v>
      </c>
      <c r="I110" s="28" t="s">
        <v>97</v>
      </c>
      <c r="J110" s="39" t="s">
        <v>42</v>
      </c>
      <c r="K110" s="28" t="s">
        <v>261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" customHeight="1">
      <c r="A111" s="3">
        <v>107</v>
      </c>
      <c r="B111" s="3"/>
      <c r="C111" s="3"/>
      <c r="D111" s="3"/>
      <c r="E111" s="3"/>
      <c r="F111" s="3"/>
      <c r="G111" s="30" t="s">
        <v>14</v>
      </c>
      <c r="H111" s="32">
        <v>44909</v>
      </c>
      <c r="I111" s="28" t="s">
        <v>97</v>
      </c>
      <c r="J111" s="39" t="s">
        <v>42</v>
      </c>
      <c r="K111" s="28" t="s">
        <v>262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" customHeight="1">
      <c r="A112" s="3">
        <v>108</v>
      </c>
      <c r="B112" s="3"/>
      <c r="C112" s="3"/>
      <c r="D112" s="3"/>
      <c r="E112" s="3"/>
      <c r="F112" s="3"/>
      <c r="G112" s="30" t="s">
        <v>14</v>
      </c>
      <c r="H112" s="32">
        <v>42826</v>
      </c>
      <c r="I112" s="28" t="s">
        <v>76</v>
      </c>
      <c r="J112" s="39" t="s">
        <v>42</v>
      </c>
      <c r="K112" s="28" t="s">
        <v>264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" customHeight="1">
      <c r="A113" s="3">
        <v>109</v>
      </c>
      <c r="B113" s="3"/>
      <c r="C113" s="3"/>
      <c r="D113" s="3"/>
      <c r="E113" s="3"/>
      <c r="F113" s="3"/>
      <c r="G113" s="30" t="s">
        <v>14</v>
      </c>
      <c r="H113" s="32">
        <v>44682</v>
      </c>
      <c r="I113" s="28" t="s">
        <v>70</v>
      </c>
      <c r="J113" s="39" t="s">
        <v>42</v>
      </c>
      <c r="K113" s="28" t="s">
        <v>265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" customHeight="1">
      <c r="A114" s="3">
        <v>110</v>
      </c>
      <c r="B114" s="3"/>
      <c r="C114" s="3"/>
      <c r="D114" s="3"/>
      <c r="E114" s="3"/>
      <c r="F114" s="3"/>
      <c r="G114" s="30" t="s">
        <v>14</v>
      </c>
      <c r="H114" s="32">
        <v>45477</v>
      </c>
      <c r="I114" s="28" t="s">
        <v>41</v>
      </c>
      <c r="J114" s="39" t="s">
        <v>42</v>
      </c>
      <c r="K114" s="28" t="s">
        <v>266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" customHeight="1">
      <c r="A115" s="3">
        <v>111</v>
      </c>
      <c r="B115" s="3"/>
      <c r="C115" s="3"/>
      <c r="D115" s="3"/>
      <c r="E115" s="3"/>
      <c r="F115" s="3"/>
      <c r="G115" s="30" t="s">
        <v>14</v>
      </c>
      <c r="H115" s="32">
        <v>45862</v>
      </c>
      <c r="I115" s="28" t="s">
        <v>64</v>
      </c>
      <c r="J115" s="39" t="s">
        <v>42</v>
      </c>
      <c r="K115" s="28" t="s">
        <v>267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" customHeight="1">
      <c r="A116" s="3">
        <v>112</v>
      </c>
      <c r="B116" s="3"/>
      <c r="C116" s="3"/>
      <c r="D116" s="3"/>
      <c r="E116" s="3"/>
      <c r="F116" s="3"/>
      <c r="G116" s="30" t="s">
        <v>14</v>
      </c>
      <c r="H116" s="32">
        <v>44663</v>
      </c>
      <c r="I116" s="28" t="s">
        <v>87</v>
      </c>
      <c r="J116" s="39" t="s">
        <v>42</v>
      </c>
      <c r="K116" s="28" t="s">
        <v>269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" customHeight="1">
      <c r="A117" s="3">
        <v>113</v>
      </c>
      <c r="B117" s="3"/>
      <c r="C117" s="3"/>
      <c r="D117" s="3"/>
      <c r="E117" s="3"/>
      <c r="F117" s="3"/>
      <c r="G117" s="30" t="s">
        <v>14</v>
      </c>
      <c r="H117" s="32">
        <v>42821</v>
      </c>
      <c r="I117" s="28" t="s">
        <v>49</v>
      </c>
      <c r="J117" s="39" t="s">
        <v>42</v>
      </c>
      <c r="K117" s="28" t="s">
        <v>270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" customHeight="1">
      <c r="A118" s="3">
        <v>114</v>
      </c>
      <c r="B118" s="3"/>
      <c r="C118" s="3"/>
      <c r="D118" s="3"/>
      <c r="E118" s="3"/>
      <c r="F118" s="3"/>
      <c r="G118" s="30" t="s">
        <v>14</v>
      </c>
      <c r="H118" s="32">
        <v>44958</v>
      </c>
      <c r="I118" s="28" t="s">
        <v>70</v>
      </c>
      <c r="J118" s="39" t="s">
        <v>42</v>
      </c>
      <c r="K118" s="28" t="s">
        <v>271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" customHeight="1">
      <c r="A119" s="3">
        <v>115</v>
      </c>
      <c r="B119" s="3"/>
      <c r="C119" s="3"/>
      <c r="D119" s="3"/>
      <c r="E119" s="3"/>
      <c r="F119" s="3"/>
      <c r="G119" s="30" t="s">
        <v>14</v>
      </c>
      <c r="H119" s="32">
        <v>45807</v>
      </c>
      <c r="I119" s="28" t="s">
        <v>64</v>
      </c>
      <c r="J119" s="39" t="s">
        <v>42</v>
      </c>
      <c r="K119" s="28" t="s">
        <v>272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" customHeight="1">
      <c r="A120" s="3">
        <v>116</v>
      </c>
      <c r="B120" s="3"/>
      <c r="C120" s="3"/>
      <c r="D120" s="3"/>
      <c r="E120" s="3"/>
      <c r="F120" s="3"/>
      <c r="G120" s="30" t="s">
        <v>14</v>
      </c>
      <c r="H120" s="32">
        <v>44831</v>
      </c>
      <c r="I120" s="28" t="s">
        <v>274</v>
      </c>
      <c r="J120" s="39" t="s">
        <v>42</v>
      </c>
      <c r="K120" s="28" t="s">
        <v>275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" customHeight="1">
      <c r="A121" s="3">
        <v>117</v>
      </c>
      <c r="B121" s="3"/>
      <c r="C121" s="3"/>
      <c r="D121" s="3"/>
      <c r="E121" s="3"/>
      <c r="F121" s="3"/>
      <c r="G121" s="30" t="s">
        <v>14</v>
      </c>
      <c r="H121" s="32">
        <v>44659</v>
      </c>
      <c r="I121" s="28" t="s">
        <v>112</v>
      </c>
      <c r="J121" s="39" t="s">
        <v>42</v>
      </c>
      <c r="K121" s="28" t="s">
        <v>276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" customHeight="1">
      <c r="A122" s="3">
        <v>118</v>
      </c>
      <c r="B122" s="3"/>
      <c r="C122" s="3"/>
      <c r="D122" s="3"/>
      <c r="E122" s="3"/>
      <c r="F122" s="3"/>
      <c r="G122" s="30" t="s">
        <v>14</v>
      </c>
      <c r="H122" s="32">
        <v>45946</v>
      </c>
      <c r="I122" s="28" t="s">
        <v>64</v>
      </c>
      <c r="J122" s="39" t="s">
        <v>42</v>
      </c>
      <c r="K122" s="28" t="s">
        <v>277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" customHeight="1">
      <c r="A123" s="3">
        <v>119</v>
      </c>
      <c r="B123" s="3"/>
      <c r="C123" s="3"/>
      <c r="D123" s="3"/>
      <c r="E123" s="3"/>
      <c r="F123" s="3"/>
      <c r="G123" s="30" t="s">
        <v>14</v>
      </c>
      <c r="H123" s="32">
        <v>45501</v>
      </c>
      <c r="I123" s="28" t="s">
        <v>39</v>
      </c>
      <c r="J123" s="39" t="s">
        <v>42</v>
      </c>
      <c r="K123" s="28" t="s">
        <v>278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" customHeight="1">
      <c r="A124" s="3">
        <v>120</v>
      </c>
      <c r="B124" s="3"/>
      <c r="C124" s="3"/>
      <c r="D124" s="3"/>
      <c r="E124" s="3"/>
      <c r="F124" s="3"/>
      <c r="G124" s="30" t="s">
        <v>14</v>
      </c>
      <c r="H124" s="32">
        <v>45499</v>
      </c>
      <c r="I124" s="28" t="s">
        <v>78</v>
      </c>
      <c r="J124" s="39" t="s">
        <v>42</v>
      </c>
      <c r="K124" s="28" t="s">
        <v>280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" customHeight="1">
      <c r="A125" s="3">
        <v>121</v>
      </c>
      <c r="B125" s="3"/>
      <c r="C125" s="3"/>
      <c r="D125" s="3"/>
      <c r="E125" s="3"/>
      <c r="F125" s="3"/>
      <c r="G125" s="30" t="s">
        <v>14</v>
      </c>
      <c r="H125" s="32">
        <v>45587</v>
      </c>
      <c r="I125" s="28" t="s">
        <v>107</v>
      </c>
      <c r="J125" s="39" t="s">
        <v>42</v>
      </c>
      <c r="K125" s="28" t="s">
        <v>281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" customHeight="1">
      <c r="A126" s="3">
        <v>122</v>
      </c>
      <c r="B126" s="3"/>
      <c r="C126" s="3"/>
      <c r="D126" s="3"/>
      <c r="E126" s="3"/>
      <c r="F126" s="3"/>
      <c r="G126" s="30" t="s">
        <v>14</v>
      </c>
      <c r="H126" s="32">
        <v>45548</v>
      </c>
      <c r="I126" s="28" t="s">
        <v>44</v>
      </c>
      <c r="J126" s="39" t="s">
        <v>42</v>
      </c>
      <c r="K126" s="28" t="s">
        <v>282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" customHeight="1">
      <c r="A127" s="3">
        <v>123</v>
      </c>
      <c r="B127" s="3"/>
      <c r="C127" s="3"/>
      <c r="D127" s="3"/>
      <c r="E127" s="3"/>
      <c r="F127" s="3"/>
      <c r="G127" s="30" t="s">
        <v>14</v>
      </c>
      <c r="H127" s="32">
        <v>43761</v>
      </c>
      <c r="I127" s="28" t="s">
        <v>139</v>
      </c>
      <c r="J127" s="39" t="s">
        <v>42</v>
      </c>
      <c r="K127" s="28" t="s">
        <v>285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" customHeight="1">
      <c r="A128" s="3">
        <v>124</v>
      </c>
      <c r="B128" s="3"/>
      <c r="C128" s="3"/>
      <c r="D128" s="3"/>
      <c r="E128" s="3"/>
      <c r="F128" s="3"/>
      <c r="G128" s="30" t="s">
        <v>14</v>
      </c>
      <c r="H128" s="32">
        <v>45362</v>
      </c>
      <c r="I128" s="28" t="s">
        <v>107</v>
      </c>
      <c r="J128" s="39" t="s">
        <v>42</v>
      </c>
      <c r="K128" s="28" t="s">
        <v>286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" customHeight="1">
      <c r="A129" s="3">
        <v>125</v>
      </c>
      <c r="B129" s="3"/>
      <c r="C129" s="3"/>
      <c r="D129" s="3"/>
      <c r="E129" s="3"/>
      <c r="F129" s="3"/>
      <c r="G129" s="30" t="s">
        <v>14</v>
      </c>
      <c r="H129" s="32">
        <v>44463</v>
      </c>
      <c r="I129" s="28" t="s">
        <v>112</v>
      </c>
      <c r="J129" s="39" t="s">
        <v>42</v>
      </c>
      <c r="K129" s="28" t="s">
        <v>287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" customHeight="1">
      <c r="A130" s="3">
        <v>126</v>
      </c>
      <c r="B130" s="3"/>
      <c r="C130" s="3"/>
      <c r="D130" s="3"/>
      <c r="E130" s="3"/>
      <c r="F130" s="3"/>
      <c r="G130" s="30" t="s">
        <v>14</v>
      </c>
      <c r="H130" s="32">
        <v>42657</v>
      </c>
      <c r="I130" s="28" t="s">
        <v>46</v>
      </c>
      <c r="J130" s="39" t="s">
        <v>289</v>
      </c>
      <c r="K130" s="28" t="s">
        <v>290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" customHeight="1">
      <c r="A131" s="3">
        <v>127</v>
      </c>
      <c r="B131" s="3"/>
      <c r="C131" s="3"/>
      <c r="D131" s="3"/>
      <c r="E131" s="3"/>
      <c r="F131" s="3"/>
      <c r="G131" s="30" t="s">
        <v>14</v>
      </c>
      <c r="H131" s="32">
        <v>45310</v>
      </c>
      <c r="I131" s="28" t="s">
        <v>39</v>
      </c>
      <c r="J131" s="39" t="s">
        <v>42</v>
      </c>
      <c r="K131" s="28" t="s">
        <v>291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" customHeight="1">
      <c r="A132" s="3">
        <v>128</v>
      </c>
      <c r="B132" s="3"/>
      <c r="C132" s="3"/>
      <c r="D132" s="3"/>
      <c r="E132" s="3"/>
      <c r="F132" s="3"/>
      <c r="G132" s="30" t="s">
        <v>14</v>
      </c>
      <c r="H132" s="32">
        <v>45673</v>
      </c>
      <c r="I132" s="28" t="s">
        <v>292</v>
      </c>
      <c r="J132" s="39" t="s">
        <v>42</v>
      </c>
      <c r="K132" s="28" t="s">
        <v>293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" customHeight="1">
      <c r="A133" s="3">
        <v>129</v>
      </c>
      <c r="B133" s="3"/>
      <c r="C133" s="3"/>
      <c r="D133" s="3"/>
      <c r="E133" s="3"/>
      <c r="F133" s="3"/>
      <c r="G133" s="30" t="s">
        <v>14</v>
      </c>
      <c r="H133" s="32">
        <v>45749</v>
      </c>
      <c r="I133" s="28" t="s">
        <v>107</v>
      </c>
      <c r="J133" s="39" t="s">
        <v>42</v>
      </c>
      <c r="K133" s="28" t="s">
        <v>294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" customHeight="1">
      <c r="A134" s="3">
        <v>130</v>
      </c>
      <c r="B134" s="3"/>
      <c r="C134" s="3"/>
      <c r="D134" s="3"/>
      <c r="E134" s="3"/>
      <c r="F134" s="3"/>
      <c r="G134" s="30" t="s">
        <v>14</v>
      </c>
      <c r="H134" s="32">
        <v>45597</v>
      </c>
      <c r="I134" s="28" t="s">
        <v>70</v>
      </c>
      <c r="J134" s="39" t="s">
        <v>42</v>
      </c>
      <c r="K134" s="28" t="s">
        <v>296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" customHeight="1">
      <c r="A135" s="3">
        <v>131</v>
      </c>
      <c r="B135" s="3"/>
      <c r="C135" s="3"/>
      <c r="D135" s="3"/>
      <c r="E135" s="3"/>
      <c r="F135" s="3"/>
      <c r="G135" s="30" t="s">
        <v>14</v>
      </c>
      <c r="H135" s="32">
        <v>42327</v>
      </c>
      <c r="I135" s="28" t="s">
        <v>49</v>
      </c>
      <c r="J135" s="39" t="s">
        <v>42</v>
      </c>
      <c r="K135" s="28" t="s">
        <v>297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" customHeight="1">
      <c r="A136" s="3">
        <v>132</v>
      </c>
      <c r="B136" s="3"/>
      <c r="C136" s="3"/>
      <c r="D136" s="3"/>
      <c r="E136" s="3"/>
      <c r="F136" s="3"/>
      <c r="G136" s="30" t="s">
        <v>14</v>
      </c>
      <c r="H136" s="32">
        <v>45869</v>
      </c>
      <c r="I136" s="28" t="s">
        <v>64</v>
      </c>
      <c r="J136" s="39" t="s">
        <v>42</v>
      </c>
      <c r="K136" s="28" t="s">
        <v>298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" customHeight="1">
      <c r="A137" s="3">
        <v>133</v>
      </c>
      <c r="B137" s="3"/>
      <c r="C137" s="3"/>
      <c r="D137" s="3"/>
      <c r="E137" s="3"/>
      <c r="F137" s="3"/>
      <c r="G137" s="30" t="s">
        <v>14</v>
      </c>
      <c r="H137" s="32">
        <v>45520</v>
      </c>
      <c r="I137" s="28" t="s">
        <v>44</v>
      </c>
      <c r="J137" s="39" t="s">
        <v>42</v>
      </c>
      <c r="K137" s="28" t="s">
        <v>300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" customHeight="1">
      <c r="A138" s="3">
        <v>134</v>
      </c>
      <c r="B138" s="3"/>
      <c r="C138" s="3"/>
      <c r="D138" s="3"/>
      <c r="E138" s="3"/>
      <c r="F138" s="3"/>
      <c r="G138" s="30" t="s">
        <v>14</v>
      </c>
      <c r="H138" s="32">
        <v>45982</v>
      </c>
      <c r="I138" s="28" t="s">
        <v>104</v>
      </c>
      <c r="J138" s="39" t="s">
        <v>42</v>
      </c>
      <c r="K138" s="28" t="s">
        <v>301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" customHeight="1">
      <c r="A139" s="3">
        <v>135</v>
      </c>
      <c r="B139" s="3"/>
      <c r="C139" s="3"/>
      <c r="D139" s="3"/>
      <c r="E139" s="3"/>
      <c r="F139" s="3"/>
      <c r="G139" s="30" t="s">
        <v>14</v>
      </c>
      <c r="H139" s="32">
        <v>42339</v>
      </c>
      <c r="I139" s="28" t="s">
        <v>144</v>
      </c>
      <c r="J139" s="39" t="s">
        <v>42</v>
      </c>
      <c r="K139" s="28" t="s">
        <v>302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" customHeight="1">
      <c r="A140" s="3">
        <v>136</v>
      </c>
      <c r="B140" s="3"/>
      <c r="C140" s="3"/>
      <c r="D140" s="3"/>
      <c r="E140" s="3"/>
      <c r="F140" s="3"/>
      <c r="G140" s="30" t="s">
        <v>14</v>
      </c>
      <c r="H140" s="32">
        <v>42789</v>
      </c>
      <c r="I140" s="28" t="s">
        <v>46</v>
      </c>
      <c r="J140" s="39" t="s">
        <v>303</v>
      </c>
      <c r="K140" s="28" t="s">
        <v>304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" customHeight="1">
      <c r="A141" s="3">
        <v>137</v>
      </c>
      <c r="B141" s="3"/>
      <c r="C141" s="3"/>
      <c r="D141" s="3"/>
      <c r="E141" s="3"/>
      <c r="F141" s="3"/>
      <c r="G141" s="30" t="s">
        <v>14</v>
      </c>
      <c r="H141" s="32">
        <v>43384</v>
      </c>
      <c r="I141" s="28" t="s">
        <v>305</v>
      </c>
      <c r="J141" s="39" t="s">
        <v>306</v>
      </c>
      <c r="K141" s="28" t="s">
        <v>307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" customHeight="1">
      <c r="A142" s="3">
        <v>138</v>
      </c>
      <c r="B142" s="3"/>
      <c r="C142" s="3"/>
      <c r="D142" s="3"/>
      <c r="E142" s="3"/>
      <c r="F142" s="3"/>
      <c r="G142" s="30" t="s">
        <v>14</v>
      </c>
      <c r="H142" s="32">
        <v>44554</v>
      </c>
      <c r="I142" s="28" t="s">
        <v>112</v>
      </c>
      <c r="J142" s="39" t="s">
        <v>42</v>
      </c>
      <c r="K142" s="28" t="s">
        <v>309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" customHeight="1">
      <c r="A143" s="3">
        <v>139</v>
      </c>
      <c r="B143" s="3"/>
      <c r="C143" s="3"/>
      <c r="D143" s="3"/>
      <c r="E143" s="3"/>
      <c r="F143" s="3"/>
      <c r="G143" s="30" t="s">
        <v>14</v>
      </c>
      <c r="H143" s="32">
        <v>42293</v>
      </c>
      <c r="I143" s="28" t="s">
        <v>163</v>
      </c>
      <c r="J143" s="39" t="s">
        <v>42</v>
      </c>
      <c r="K143" s="28" t="s">
        <v>310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" customHeight="1">
      <c r="A144" s="3">
        <v>140</v>
      </c>
      <c r="B144" s="3"/>
      <c r="C144" s="3"/>
      <c r="D144" s="3"/>
      <c r="E144" s="3"/>
      <c r="F144" s="3"/>
      <c r="G144" s="30" t="s">
        <v>14</v>
      </c>
      <c r="H144" s="32">
        <v>43160</v>
      </c>
      <c r="I144" s="28" t="s">
        <v>76</v>
      </c>
      <c r="J144" s="39" t="s">
        <v>42</v>
      </c>
      <c r="K144" s="28" t="s">
        <v>311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" customHeight="1">
      <c r="A145" s="3">
        <v>141</v>
      </c>
      <c r="B145" s="3"/>
      <c r="C145" s="3"/>
      <c r="D145" s="3"/>
      <c r="E145" s="3"/>
      <c r="F145" s="3"/>
      <c r="G145" s="30" t="s">
        <v>14</v>
      </c>
      <c r="H145" s="32">
        <v>45323</v>
      </c>
      <c r="I145" s="28" t="s">
        <v>78</v>
      </c>
      <c r="J145" s="39" t="s">
        <v>42</v>
      </c>
      <c r="K145" s="28" t="s">
        <v>312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" customHeight="1">
      <c r="A146" s="3">
        <v>142</v>
      </c>
      <c r="B146" s="3"/>
      <c r="C146" s="3"/>
      <c r="D146" s="3"/>
      <c r="E146" s="3"/>
      <c r="F146" s="3"/>
      <c r="G146" s="30" t="s">
        <v>14</v>
      </c>
      <c r="H146" s="32">
        <v>43053</v>
      </c>
      <c r="I146" s="28" t="s">
        <v>49</v>
      </c>
      <c r="J146" s="39" t="s">
        <v>42</v>
      </c>
      <c r="K146" s="28" t="s">
        <v>314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" customHeight="1">
      <c r="A147" s="3">
        <v>143</v>
      </c>
      <c r="B147" s="3"/>
      <c r="C147" s="3"/>
      <c r="D147" s="3"/>
      <c r="E147" s="3"/>
      <c r="F147" s="3"/>
      <c r="G147" s="30" t="s">
        <v>14</v>
      </c>
      <c r="H147" s="32">
        <v>45324</v>
      </c>
      <c r="I147" s="28" t="s">
        <v>44</v>
      </c>
      <c r="J147" s="39" t="s">
        <v>315</v>
      </c>
      <c r="K147" s="28" t="s">
        <v>316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" customHeight="1">
      <c r="A148" s="3">
        <v>144</v>
      </c>
      <c r="B148" s="3"/>
      <c r="C148" s="3"/>
      <c r="D148" s="3"/>
      <c r="E148" s="3"/>
      <c r="F148" s="3"/>
      <c r="G148" s="30" t="s">
        <v>14</v>
      </c>
      <c r="H148" s="32">
        <v>43853</v>
      </c>
      <c r="I148" s="28" t="s">
        <v>139</v>
      </c>
      <c r="J148" s="39" t="s">
        <v>42</v>
      </c>
      <c r="K148" s="28" t="s">
        <v>317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" customHeight="1">
      <c r="A149" s="3">
        <v>145</v>
      </c>
      <c r="B149" s="3"/>
      <c r="C149" s="3"/>
      <c r="D149" s="3"/>
      <c r="E149" s="3"/>
      <c r="F149" s="3"/>
      <c r="G149" s="30" t="s">
        <v>14</v>
      </c>
      <c r="H149" s="32">
        <v>42958</v>
      </c>
      <c r="I149" s="28" t="s">
        <v>46</v>
      </c>
      <c r="J149" s="39" t="s">
        <v>318</v>
      </c>
      <c r="K149" s="28" t="s">
        <v>319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" customHeight="1">
      <c r="A150" s="3">
        <v>146</v>
      </c>
      <c r="B150" s="3"/>
      <c r="C150" s="3"/>
      <c r="D150" s="3"/>
      <c r="E150" s="3"/>
      <c r="F150" s="3"/>
      <c r="G150" s="30" t="s">
        <v>14</v>
      </c>
      <c r="H150" s="32">
        <v>43829</v>
      </c>
      <c r="I150" s="28" t="s">
        <v>139</v>
      </c>
      <c r="J150" s="39" t="s">
        <v>42</v>
      </c>
      <c r="K150" s="28" t="s">
        <v>321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" customHeight="1">
      <c r="A151" s="3">
        <v>147</v>
      </c>
      <c r="B151" s="3"/>
      <c r="C151" s="3"/>
      <c r="D151" s="3"/>
      <c r="E151" s="3"/>
      <c r="F151" s="3"/>
      <c r="G151" s="30" t="s">
        <v>14</v>
      </c>
      <c r="H151" s="32">
        <v>44984</v>
      </c>
      <c r="I151" s="28" t="s">
        <v>87</v>
      </c>
      <c r="J151" s="39" t="s">
        <v>42</v>
      </c>
      <c r="K151" s="28" t="s">
        <v>322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" customHeight="1">
      <c r="A152" s="3">
        <v>148</v>
      </c>
      <c r="B152" s="3"/>
      <c r="C152" s="3"/>
      <c r="D152" s="3"/>
      <c r="E152" s="3"/>
      <c r="F152" s="3"/>
      <c r="G152" s="30" t="s">
        <v>14</v>
      </c>
      <c r="H152" s="32">
        <v>45639</v>
      </c>
      <c r="I152" s="28" t="s">
        <v>107</v>
      </c>
      <c r="J152" s="39" t="s">
        <v>42</v>
      </c>
      <c r="K152" s="28" t="s">
        <v>325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" customHeight="1">
      <c r="A153" s="3">
        <v>149</v>
      </c>
      <c r="B153" s="3"/>
      <c r="C153" s="3"/>
      <c r="D153" s="3"/>
      <c r="E153" s="3"/>
      <c r="F153" s="3"/>
      <c r="G153" s="30" t="s">
        <v>14</v>
      </c>
      <c r="H153" s="32">
        <v>45863</v>
      </c>
      <c r="I153" s="28" t="s">
        <v>78</v>
      </c>
      <c r="J153" s="39" t="s">
        <v>42</v>
      </c>
      <c r="K153" s="28" t="s">
        <v>326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" customHeight="1">
      <c r="A154" s="3">
        <v>150</v>
      </c>
      <c r="B154" s="3"/>
      <c r="C154" s="3"/>
      <c r="D154" s="3"/>
      <c r="E154" s="3"/>
      <c r="F154" s="3"/>
      <c r="G154" s="30" t="s">
        <v>14</v>
      </c>
      <c r="H154" s="32">
        <v>45139</v>
      </c>
      <c r="I154" s="28" t="s">
        <v>70</v>
      </c>
      <c r="J154" s="39" t="s">
        <v>42</v>
      </c>
      <c r="K154" s="28" t="s">
        <v>327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" customHeight="1">
      <c r="A155" s="3">
        <v>151</v>
      </c>
      <c r="B155" s="3"/>
      <c r="C155" s="3"/>
      <c r="D155" s="3"/>
      <c r="E155" s="3"/>
      <c r="F155" s="3"/>
      <c r="G155" s="30" t="s">
        <v>14</v>
      </c>
      <c r="H155" s="32">
        <v>45988</v>
      </c>
      <c r="I155" s="28" t="s">
        <v>328</v>
      </c>
      <c r="J155" s="39" t="s">
        <v>42</v>
      </c>
      <c r="K155" s="28" t="s">
        <v>329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" customHeight="1">
      <c r="A156" s="3">
        <v>152</v>
      </c>
      <c r="B156" s="3"/>
      <c r="C156" s="3"/>
      <c r="D156" s="3"/>
      <c r="E156" s="3"/>
      <c r="F156" s="3"/>
      <c r="G156" s="30" t="s">
        <v>14</v>
      </c>
      <c r="H156" s="32">
        <v>44967</v>
      </c>
      <c r="I156" s="28" t="s">
        <v>155</v>
      </c>
      <c r="J156" s="39" t="s">
        <v>331</v>
      </c>
      <c r="K156" s="28" t="s">
        <v>332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" customHeight="1">
      <c r="A157" s="3">
        <v>153</v>
      </c>
      <c r="B157" s="3"/>
      <c r="C157" s="3"/>
      <c r="D157" s="3"/>
      <c r="E157" s="3"/>
      <c r="F157" s="3"/>
      <c r="G157" s="30" t="s">
        <v>14</v>
      </c>
      <c r="H157" s="32">
        <v>45882</v>
      </c>
      <c r="I157" s="28" t="s">
        <v>215</v>
      </c>
      <c r="J157" s="39" t="s">
        <v>42</v>
      </c>
      <c r="K157" s="28" t="s">
        <v>333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" customHeight="1">
      <c r="A158" s="3">
        <v>154</v>
      </c>
      <c r="B158" s="3"/>
      <c r="C158" s="3"/>
      <c r="D158" s="3"/>
      <c r="E158" s="3"/>
      <c r="F158" s="3"/>
      <c r="G158" s="30" t="s">
        <v>14</v>
      </c>
      <c r="H158" s="32">
        <v>44970</v>
      </c>
      <c r="I158" s="28" t="s">
        <v>112</v>
      </c>
      <c r="J158" s="39" t="s">
        <v>42</v>
      </c>
      <c r="K158" s="28" t="s">
        <v>334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" customHeight="1">
      <c r="A159" s="3">
        <v>155</v>
      </c>
      <c r="B159" s="3"/>
      <c r="C159" s="3"/>
      <c r="D159" s="3"/>
      <c r="E159" s="3"/>
      <c r="F159" s="3"/>
      <c r="G159" s="30" t="s">
        <v>14</v>
      </c>
      <c r="H159" s="32">
        <v>42583</v>
      </c>
      <c r="I159" s="28" t="s">
        <v>76</v>
      </c>
      <c r="J159" s="39" t="s">
        <v>42</v>
      </c>
      <c r="K159" s="28" t="s">
        <v>335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" customHeight="1">
      <c r="A160" s="3">
        <v>156</v>
      </c>
      <c r="B160" s="3"/>
      <c r="C160" s="3"/>
      <c r="D160" s="3"/>
      <c r="E160" s="3"/>
      <c r="F160" s="3"/>
      <c r="G160" s="30" t="s">
        <v>14</v>
      </c>
      <c r="H160" s="32">
        <v>43374</v>
      </c>
      <c r="I160" s="28" t="s">
        <v>76</v>
      </c>
      <c r="J160" s="39" t="s">
        <v>42</v>
      </c>
      <c r="K160" s="28" t="s">
        <v>337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" customHeight="1">
      <c r="A161" s="3">
        <v>157</v>
      </c>
      <c r="B161" s="3"/>
      <c r="C161" s="3"/>
      <c r="D161" s="3"/>
      <c r="E161" s="3"/>
      <c r="F161" s="3"/>
      <c r="G161" s="30" t="s">
        <v>14</v>
      </c>
      <c r="H161" s="32">
        <v>43866</v>
      </c>
      <c r="I161" s="28" t="s">
        <v>139</v>
      </c>
      <c r="J161" s="39" t="s">
        <v>42</v>
      </c>
      <c r="K161" s="28" t="s">
        <v>338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" customHeight="1">
      <c r="A162" s="3">
        <v>158</v>
      </c>
      <c r="B162" s="3"/>
      <c r="C162" s="3"/>
      <c r="D162" s="3"/>
      <c r="E162" s="3"/>
      <c r="F162" s="3"/>
      <c r="G162" s="30" t="s">
        <v>14</v>
      </c>
      <c r="H162" s="32">
        <v>41640</v>
      </c>
      <c r="I162" s="28" t="s">
        <v>144</v>
      </c>
      <c r="J162" s="39" t="s">
        <v>42</v>
      </c>
      <c r="K162" s="28" t="s">
        <v>339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" customHeight="1">
      <c r="A163" s="3">
        <v>159</v>
      </c>
      <c r="B163" s="3"/>
      <c r="C163" s="3"/>
      <c r="D163" s="3"/>
      <c r="E163" s="3"/>
      <c r="F163" s="3"/>
      <c r="G163" s="30" t="s">
        <v>14</v>
      </c>
      <c r="H163" s="32">
        <v>42727</v>
      </c>
      <c r="I163" s="28" t="s">
        <v>49</v>
      </c>
      <c r="J163" s="39" t="s">
        <v>42</v>
      </c>
      <c r="K163" s="28" t="s">
        <v>340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" customHeight="1">
      <c r="A164" s="3">
        <v>160</v>
      </c>
      <c r="B164" s="3"/>
      <c r="C164" s="3"/>
      <c r="D164" s="3"/>
      <c r="E164" s="3"/>
      <c r="F164" s="3"/>
      <c r="G164" s="30" t="s">
        <v>14</v>
      </c>
      <c r="H164" s="32">
        <v>44340</v>
      </c>
      <c r="I164" s="28" t="s">
        <v>341</v>
      </c>
      <c r="J164" s="39" t="s">
        <v>343</v>
      </c>
      <c r="K164" s="28" t="s">
        <v>344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" customHeight="1">
      <c r="A165" s="3">
        <v>161</v>
      </c>
      <c r="B165" s="3"/>
      <c r="C165" s="3"/>
      <c r="D165" s="3"/>
      <c r="E165" s="3"/>
      <c r="F165" s="3"/>
      <c r="G165" s="30" t="s">
        <v>14</v>
      </c>
      <c r="H165" s="32">
        <v>42629</v>
      </c>
      <c r="I165" s="28" t="s">
        <v>49</v>
      </c>
      <c r="J165" s="39" t="s">
        <v>42</v>
      </c>
      <c r="K165" s="28" t="s">
        <v>345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" customHeight="1">
      <c r="A166" s="3">
        <v>162</v>
      </c>
      <c r="B166" s="3"/>
      <c r="C166" s="3"/>
      <c r="D166" s="3"/>
      <c r="E166" s="3"/>
      <c r="F166" s="3"/>
      <c r="G166" s="30" t="s">
        <v>14</v>
      </c>
      <c r="H166" s="32">
        <v>45930</v>
      </c>
      <c r="I166" s="28" t="s">
        <v>107</v>
      </c>
      <c r="J166" s="39" t="s">
        <v>42</v>
      </c>
      <c r="K166" s="28" t="s">
        <v>346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" customHeight="1">
      <c r="A167" s="3">
        <v>163</v>
      </c>
      <c r="B167" s="3"/>
      <c r="C167" s="3"/>
      <c r="D167" s="3"/>
      <c r="E167" s="3"/>
      <c r="F167" s="3"/>
      <c r="G167" s="30" t="s">
        <v>14</v>
      </c>
      <c r="H167" s="32">
        <v>44593</v>
      </c>
      <c r="I167" s="28" t="s">
        <v>70</v>
      </c>
      <c r="J167" s="39" t="s">
        <v>42</v>
      </c>
      <c r="K167" s="28" t="s">
        <v>347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" customHeight="1">
      <c r="A168" s="3">
        <v>164</v>
      </c>
      <c r="B168" s="3"/>
      <c r="C168" s="3"/>
      <c r="D168" s="3"/>
      <c r="E168" s="3"/>
      <c r="F168" s="3"/>
      <c r="G168" s="30" t="s">
        <v>14</v>
      </c>
      <c r="H168" s="32">
        <v>45971</v>
      </c>
      <c r="I168" s="28" t="s">
        <v>136</v>
      </c>
      <c r="J168" s="39" t="s">
        <v>92</v>
      </c>
      <c r="K168" s="28" t="s">
        <v>350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" customHeight="1">
      <c r="A169" s="3">
        <v>165</v>
      </c>
      <c r="B169" s="3"/>
      <c r="C169" s="3"/>
      <c r="D169" s="3"/>
      <c r="E169" s="3"/>
      <c r="F169" s="3"/>
      <c r="G169" s="30" t="s">
        <v>14</v>
      </c>
      <c r="H169" s="32">
        <v>45646</v>
      </c>
      <c r="I169" s="28" t="s">
        <v>107</v>
      </c>
      <c r="J169" s="39" t="s">
        <v>42</v>
      </c>
      <c r="K169" s="28" t="s">
        <v>351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" customHeight="1">
      <c r="A170" s="3">
        <v>166</v>
      </c>
      <c r="B170" s="3"/>
      <c r="C170" s="3"/>
      <c r="D170" s="3"/>
      <c r="E170" s="3"/>
      <c r="F170" s="3"/>
      <c r="G170" s="30" t="s">
        <v>14</v>
      </c>
      <c r="H170" s="32">
        <v>44533</v>
      </c>
      <c r="I170" s="28" t="s">
        <v>87</v>
      </c>
      <c r="J170" s="39" t="s">
        <v>42</v>
      </c>
      <c r="K170" s="28" t="s">
        <v>353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" customHeight="1">
      <c r="A171" s="3">
        <v>167</v>
      </c>
      <c r="B171" s="3"/>
      <c r="C171" s="3"/>
      <c r="D171" s="3"/>
      <c r="E171" s="3"/>
      <c r="F171" s="3"/>
      <c r="G171" s="30" t="s">
        <v>14</v>
      </c>
      <c r="H171" s="32">
        <v>45700</v>
      </c>
      <c r="I171" s="28" t="s">
        <v>112</v>
      </c>
      <c r="J171" s="39" t="s">
        <v>42</v>
      </c>
      <c r="K171" s="28" t="s">
        <v>354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" customHeight="1">
      <c r="A172" s="3">
        <v>168</v>
      </c>
      <c r="B172" s="3"/>
      <c r="C172" s="3"/>
      <c r="D172" s="3"/>
      <c r="E172" s="3"/>
      <c r="F172" s="3"/>
      <c r="G172" s="30" t="s">
        <v>14</v>
      </c>
      <c r="H172" s="32">
        <v>45709</v>
      </c>
      <c r="I172" s="28" t="s">
        <v>100</v>
      </c>
      <c r="J172" s="39" t="s">
        <v>42</v>
      </c>
      <c r="K172" s="28" t="s">
        <v>355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" customHeight="1">
      <c r="A173" s="3">
        <v>169</v>
      </c>
      <c r="B173" s="3"/>
      <c r="C173" s="3"/>
      <c r="D173" s="3"/>
      <c r="E173" s="3"/>
      <c r="F173" s="3"/>
      <c r="G173" s="30" t="s">
        <v>14</v>
      </c>
      <c r="H173" s="32">
        <v>43344</v>
      </c>
      <c r="I173" s="28" t="s">
        <v>76</v>
      </c>
      <c r="J173" s="39" t="s">
        <v>42</v>
      </c>
      <c r="K173" s="28" t="s">
        <v>357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" customHeight="1">
      <c r="A174" s="3">
        <v>170</v>
      </c>
      <c r="B174" s="3"/>
      <c r="C174" s="3"/>
      <c r="D174" s="3"/>
      <c r="E174" s="3"/>
      <c r="F174" s="3"/>
      <c r="G174" s="30" t="s">
        <v>14</v>
      </c>
      <c r="H174" s="32">
        <v>43837</v>
      </c>
      <c r="I174" s="28" t="s">
        <v>139</v>
      </c>
      <c r="J174" s="39" t="s">
        <v>42</v>
      </c>
      <c r="K174" s="28" t="s">
        <v>358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" customHeight="1">
      <c r="A175" s="3">
        <v>171</v>
      </c>
      <c r="B175" s="3"/>
      <c r="C175" s="3"/>
      <c r="D175" s="3"/>
      <c r="E175" s="3"/>
      <c r="F175" s="3"/>
      <c r="G175" s="30" t="s">
        <v>14</v>
      </c>
      <c r="H175" s="32">
        <v>44624</v>
      </c>
      <c r="I175" s="28" t="s">
        <v>112</v>
      </c>
      <c r="J175" s="39" t="s">
        <v>42</v>
      </c>
      <c r="K175" s="28" t="s">
        <v>359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" customHeight="1">
      <c r="A176" s="3">
        <v>172</v>
      </c>
      <c r="B176" s="3"/>
      <c r="C176" s="3"/>
      <c r="D176" s="3"/>
      <c r="E176" s="3"/>
      <c r="F176" s="3"/>
      <c r="G176" s="30" t="s">
        <v>14</v>
      </c>
      <c r="H176" s="32">
        <v>45436</v>
      </c>
      <c r="I176" s="28" t="s">
        <v>78</v>
      </c>
      <c r="J176" s="39" t="s">
        <v>42</v>
      </c>
      <c r="K176" s="28" t="s">
        <v>360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" customHeight="1">
      <c r="A177" s="3">
        <v>173</v>
      </c>
      <c r="B177" s="3"/>
      <c r="C177" s="3"/>
      <c r="D177" s="3"/>
      <c r="E177" s="3"/>
      <c r="F177" s="3"/>
      <c r="G177" s="30" t="s">
        <v>14</v>
      </c>
      <c r="H177" s="32">
        <v>45428</v>
      </c>
      <c r="I177" s="28" t="s">
        <v>107</v>
      </c>
      <c r="J177" s="39" t="s">
        <v>42</v>
      </c>
      <c r="K177" s="28" t="s">
        <v>362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" customHeight="1">
      <c r="A178" s="3">
        <v>174</v>
      </c>
      <c r="B178" s="3"/>
      <c r="C178" s="3"/>
      <c r="D178" s="3"/>
      <c r="E178" s="3"/>
      <c r="F178" s="3"/>
      <c r="G178" s="30" t="s">
        <v>14</v>
      </c>
      <c r="H178" s="32">
        <v>46013</v>
      </c>
      <c r="I178" s="28" t="s">
        <v>100</v>
      </c>
      <c r="J178" s="39" t="s">
        <v>42</v>
      </c>
      <c r="K178" s="28" t="s">
        <v>363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" customHeight="1">
      <c r="A179" s="3">
        <v>175</v>
      </c>
      <c r="B179" s="3"/>
      <c r="C179" s="3"/>
      <c r="D179" s="3"/>
      <c r="E179" s="3"/>
      <c r="F179" s="3"/>
      <c r="G179" s="30" t="s">
        <v>14</v>
      </c>
      <c r="H179" s="32">
        <v>44127</v>
      </c>
      <c r="I179" s="28" t="s">
        <v>213</v>
      </c>
      <c r="J179" s="39" t="s">
        <v>364</v>
      </c>
      <c r="K179" s="28" t="s">
        <v>365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" customHeight="1">
      <c r="A180" s="3">
        <v>176</v>
      </c>
      <c r="B180" s="3"/>
      <c r="C180" s="3"/>
      <c r="D180" s="3"/>
      <c r="E180" s="3"/>
      <c r="F180" s="3"/>
      <c r="G180" s="30" t="s">
        <v>14</v>
      </c>
      <c r="H180" s="32">
        <v>44385</v>
      </c>
      <c r="I180" s="28" t="s">
        <v>139</v>
      </c>
      <c r="J180" s="39" t="s">
        <v>42</v>
      </c>
      <c r="K180" s="28" t="s">
        <v>367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" customHeight="1">
      <c r="A181" s="3">
        <v>177</v>
      </c>
      <c r="B181" s="3"/>
      <c r="C181" s="3"/>
      <c r="D181" s="3"/>
      <c r="E181" s="3"/>
      <c r="F181" s="3"/>
      <c r="G181" s="30" t="s">
        <v>14</v>
      </c>
      <c r="H181" s="32">
        <v>41992</v>
      </c>
      <c r="I181" s="28" t="s">
        <v>163</v>
      </c>
      <c r="J181" s="39" t="s">
        <v>42</v>
      </c>
      <c r="K181" s="28" t="s">
        <v>368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" customHeight="1">
      <c r="A182" s="3">
        <v>178</v>
      </c>
      <c r="B182" s="3"/>
      <c r="C182" s="3"/>
      <c r="D182" s="3"/>
      <c r="E182" s="3"/>
      <c r="F182" s="3"/>
      <c r="G182" s="30" t="s">
        <v>14</v>
      </c>
      <c r="H182" s="32">
        <v>45790</v>
      </c>
      <c r="I182" s="28" t="s">
        <v>369</v>
      </c>
      <c r="J182" s="39" t="s">
        <v>42</v>
      </c>
      <c r="K182" s="28" t="s">
        <v>370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" customHeight="1">
      <c r="A183" s="3">
        <v>179</v>
      </c>
      <c r="B183" s="3"/>
      <c r="C183" s="3"/>
      <c r="D183" s="3"/>
      <c r="E183" s="3"/>
      <c r="F183" s="3"/>
      <c r="G183" s="30" t="s">
        <v>14</v>
      </c>
      <c r="H183" s="32">
        <v>45757</v>
      </c>
      <c r="I183" s="28" t="s">
        <v>39</v>
      </c>
      <c r="J183" s="39" t="s">
        <v>42</v>
      </c>
      <c r="K183" s="28" t="s">
        <v>371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" customHeight="1">
      <c r="A184" s="3">
        <v>180</v>
      </c>
      <c r="B184" s="3"/>
      <c r="C184" s="3"/>
      <c r="D184" s="3"/>
      <c r="E184" s="3"/>
      <c r="F184" s="3"/>
      <c r="G184" s="30" t="s">
        <v>14</v>
      </c>
      <c r="H184" s="32">
        <v>43024</v>
      </c>
      <c r="I184" s="28" t="s">
        <v>49</v>
      </c>
      <c r="J184" s="39" t="s">
        <v>42</v>
      </c>
      <c r="K184" s="28" t="s">
        <v>373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" customHeight="1">
      <c r="A185" s="3">
        <v>181</v>
      </c>
      <c r="B185" s="3"/>
      <c r="C185" s="3"/>
      <c r="D185" s="3"/>
      <c r="E185" s="3"/>
      <c r="F185" s="3"/>
      <c r="G185" s="30" t="s">
        <v>14</v>
      </c>
      <c r="H185" s="32">
        <v>44498</v>
      </c>
      <c r="I185" s="28" t="s">
        <v>87</v>
      </c>
      <c r="J185" s="39" t="s">
        <v>42</v>
      </c>
      <c r="K185" s="28" t="s">
        <v>374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" customHeight="1">
      <c r="A186" s="3">
        <v>182</v>
      </c>
      <c r="B186" s="3"/>
      <c r="C186" s="3"/>
      <c r="D186" s="3"/>
      <c r="E186" s="3"/>
      <c r="F186" s="3"/>
      <c r="G186" s="30" t="s">
        <v>14</v>
      </c>
      <c r="H186" s="32">
        <v>45677</v>
      </c>
      <c r="I186" s="28" t="s">
        <v>97</v>
      </c>
      <c r="J186" s="39" t="s">
        <v>42</v>
      </c>
      <c r="K186" s="28" t="s">
        <v>375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" customHeight="1">
      <c r="A187" s="3">
        <v>183</v>
      </c>
      <c r="B187" s="3"/>
      <c r="C187" s="3"/>
      <c r="D187" s="3"/>
      <c r="E187" s="3"/>
      <c r="F187" s="3"/>
      <c r="G187" s="30" t="s">
        <v>14</v>
      </c>
      <c r="H187" s="32">
        <v>45639</v>
      </c>
      <c r="I187" s="28" t="s">
        <v>64</v>
      </c>
      <c r="J187" s="39" t="s">
        <v>42</v>
      </c>
      <c r="K187" s="28" t="s">
        <v>377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" customHeight="1">
      <c r="A188" s="3">
        <v>184</v>
      </c>
      <c r="B188" s="3"/>
      <c r="C188" s="3"/>
      <c r="D188" s="3"/>
      <c r="E188" s="3"/>
      <c r="F188" s="3"/>
      <c r="G188" s="30" t="s">
        <v>14</v>
      </c>
      <c r="H188" s="32">
        <v>43354</v>
      </c>
      <c r="I188" s="28" t="s">
        <v>49</v>
      </c>
      <c r="J188" s="39" t="s">
        <v>42</v>
      </c>
      <c r="K188" s="28" t="s">
        <v>379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" customHeight="1">
      <c r="A189" s="3">
        <v>185</v>
      </c>
      <c r="B189" s="3"/>
      <c r="C189" s="3"/>
      <c r="D189" s="3"/>
      <c r="E189" s="3"/>
      <c r="F189" s="3"/>
      <c r="G189" s="30" t="s">
        <v>14</v>
      </c>
      <c r="H189" s="32">
        <v>42064</v>
      </c>
      <c r="I189" s="28" t="s">
        <v>144</v>
      </c>
      <c r="J189" s="39" t="s">
        <v>42</v>
      </c>
      <c r="K189" s="28" t="s">
        <v>380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" customHeight="1">
      <c r="A190" s="3">
        <v>186</v>
      </c>
      <c r="B190" s="3"/>
      <c r="C190" s="3"/>
      <c r="D190" s="3"/>
      <c r="E190" s="3"/>
      <c r="F190" s="3"/>
      <c r="G190" s="30" t="s">
        <v>14</v>
      </c>
      <c r="H190" s="32">
        <v>43194</v>
      </c>
      <c r="I190" s="28" t="s">
        <v>49</v>
      </c>
      <c r="J190" s="39" t="s">
        <v>42</v>
      </c>
      <c r="K190" s="28" t="s">
        <v>381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" customHeight="1">
      <c r="A191" s="3">
        <v>187</v>
      </c>
      <c r="B191" s="3"/>
      <c r="C191" s="3"/>
      <c r="D191" s="3"/>
      <c r="E191" s="3"/>
      <c r="F191" s="3"/>
      <c r="G191" s="30" t="s">
        <v>14</v>
      </c>
      <c r="H191" s="32">
        <v>43290</v>
      </c>
      <c r="I191" s="28" t="s">
        <v>213</v>
      </c>
      <c r="J191" s="39" t="s">
        <v>92</v>
      </c>
      <c r="K191" s="28" t="s">
        <v>383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" customHeight="1">
      <c r="A192" s="3">
        <v>188</v>
      </c>
      <c r="B192" s="3"/>
      <c r="C192" s="3"/>
      <c r="D192" s="3"/>
      <c r="E192" s="3"/>
      <c r="F192" s="3"/>
      <c r="G192" s="30" t="s">
        <v>14</v>
      </c>
      <c r="H192" s="32">
        <v>45274</v>
      </c>
      <c r="I192" s="28" t="s">
        <v>64</v>
      </c>
      <c r="J192" s="39" t="s">
        <v>42</v>
      </c>
      <c r="K192" s="28" t="s">
        <v>384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" customHeight="1">
      <c r="A193" s="3">
        <v>189</v>
      </c>
      <c r="B193" s="3"/>
      <c r="C193" s="3"/>
      <c r="D193" s="3"/>
      <c r="E193" s="3"/>
      <c r="F193" s="3"/>
      <c r="G193" s="30" t="s">
        <v>14</v>
      </c>
      <c r="H193" s="32">
        <v>43661</v>
      </c>
      <c r="I193" s="28" t="s">
        <v>49</v>
      </c>
      <c r="J193" s="39" t="s">
        <v>42</v>
      </c>
      <c r="K193" s="28" t="s">
        <v>385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" customHeight="1">
      <c r="A194" s="3">
        <v>190</v>
      </c>
      <c r="B194" s="3"/>
      <c r="C194" s="3"/>
      <c r="D194" s="3"/>
      <c r="E194" s="3"/>
      <c r="F194" s="3"/>
      <c r="G194" s="30" t="s">
        <v>14</v>
      </c>
      <c r="H194" s="32">
        <v>44610</v>
      </c>
      <c r="I194" s="28" t="s">
        <v>87</v>
      </c>
      <c r="J194" s="39" t="s">
        <v>42</v>
      </c>
      <c r="K194" s="28" t="s">
        <v>387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" customHeight="1">
      <c r="A195" s="3">
        <v>191</v>
      </c>
      <c r="B195" s="3"/>
      <c r="C195" s="3"/>
      <c r="D195" s="3"/>
      <c r="E195" s="3"/>
      <c r="F195" s="3"/>
      <c r="G195" s="30" t="s">
        <v>14</v>
      </c>
      <c r="H195" s="32">
        <v>45657</v>
      </c>
      <c r="I195" s="28" t="s">
        <v>49</v>
      </c>
      <c r="J195" s="39" t="s">
        <v>42</v>
      </c>
      <c r="K195" s="28" t="s">
        <v>388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" customHeight="1">
      <c r="A196" s="3">
        <v>192</v>
      </c>
      <c r="B196" s="3"/>
      <c r="C196" s="3"/>
      <c r="D196" s="3"/>
      <c r="E196" s="3"/>
      <c r="F196" s="3"/>
      <c r="G196" s="30" t="s">
        <v>14</v>
      </c>
      <c r="H196" s="32">
        <v>44896</v>
      </c>
      <c r="I196" s="28" t="s">
        <v>70</v>
      </c>
      <c r="J196" s="39" t="s">
        <v>42</v>
      </c>
      <c r="K196" s="28" t="s">
        <v>389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" customHeight="1">
      <c r="A197" s="3">
        <v>193</v>
      </c>
      <c r="B197" s="3"/>
      <c r="C197" s="3"/>
      <c r="D197" s="3"/>
      <c r="E197" s="3"/>
      <c r="F197" s="3"/>
      <c r="G197" s="30" t="s">
        <v>14</v>
      </c>
      <c r="H197" s="32">
        <v>45369</v>
      </c>
      <c r="I197" s="28" t="s">
        <v>49</v>
      </c>
      <c r="J197" s="39" t="s">
        <v>42</v>
      </c>
      <c r="K197" s="28" t="s">
        <v>391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" customHeight="1">
      <c r="A198" s="3">
        <v>194</v>
      </c>
      <c r="B198" s="3"/>
      <c r="C198" s="3"/>
      <c r="D198" s="3"/>
      <c r="E198" s="3"/>
      <c r="F198" s="3"/>
      <c r="G198" s="30" t="s">
        <v>14</v>
      </c>
      <c r="H198" s="32">
        <v>45896</v>
      </c>
      <c r="I198" s="28" t="s">
        <v>100</v>
      </c>
      <c r="J198" s="39" t="s">
        <v>42</v>
      </c>
      <c r="K198" s="28" t="s">
        <v>393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" customHeight="1">
      <c r="A199" s="3">
        <v>195</v>
      </c>
      <c r="B199" s="3"/>
      <c r="C199" s="3"/>
      <c r="D199" s="3"/>
      <c r="E199" s="3"/>
      <c r="F199" s="3"/>
      <c r="G199" s="30" t="s">
        <v>14</v>
      </c>
      <c r="H199" s="32">
        <v>42657</v>
      </c>
      <c r="I199" s="28" t="s">
        <v>46</v>
      </c>
      <c r="J199" s="39" t="s">
        <v>394</v>
      </c>
      <c r="K199" s="28" t="s">
        <v>395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" customHeight="1">
      <c r="A200" s="3">
        <v>196</v>
      </c>
      <c r="B200" s="3"/>
      <c r="C200" s="3"/>
      <c r="D200" s="3"/>
      <c r="E200" s="3"/>
      <c r="F200" s="3"/>
      <c r="G200" s="30" t="s">
        <v>14</v>
      </c>
      <c r="H200" s="32">
        <v>45828</v>
      </c>
      <c r="I200" s="28" t="s">
        <v>41</v>
      </c>
      <c r="J200" s="39" t="s">
        <v>42</v>
      </c>
      <c r="K200" s="28" t="s">
        <v>396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" customHeight="1">
      <c r="A201" s="3">
        <v>197</v>
      </c>
      <c r="B201" s="3"/>
      <c r="C201" s="3"/>
      <c r="D201" s="3"/>
      <c r="E201" s="3"/>
      <c r="F201" s="3"/>
      <c r="G201" s="30" t="s">
        <v>14</v>
      </c>
      <c r="H201" s="32">
        <v>45765</v>
      </c>
      <c r="I201" s="28" t="s">
        <v>107</v>
      </c>
      <c r="J201" s="39" t="s">
        <v>42</v>
      </c>
      <c r="K201" s="28" t="s">
        <v>398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" customHeight="1">
      <c r="A202" s="3">
        <v>198</v>
      </c>
      <c r="B202" s="3"/>
      <c r="C202" s="3"/>
      <c r="D202" s="3"/>
      <c r="E202" s="3"/>
      <c r="F202" s="3"/>
      <c r="G202" s="30" t="s">
        <v>14</v>
      </c>
      <c r="H202" s="32">
        <v>45982</v>
      </c>
      <c r="I202" s="28" t="s">
        <v>64</v>
      </c>
      <c r="J202" s="39" t="s">
        <v>42</v>
      </c>
      <c r="K202" s="28" t="s">
        <v>399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" customHeight="1">
      <c r="A203" s="3">
        <v>199</v>
      </c>
      <c r="B203" s="3"/>
      <c r="C203" s="3"/>
      <c r="D203" s="3"/>
      <c r="E203" s="3"/>
      <c r="F203" s="3"/>
      <c r="G203" s="30" t="s">
        <v>14</v>
      </c>
      <c r="H203" s="32">
        <v>45909</v>
      </c>
      <c r="I203" s="28" t="s">
        <v>39</v>
      </c>
      <c r="J203" s="39" t="s">
        <v>42</v>
      </c>
      <c r="K203" s="28" t="s">
        <v>400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" customHeight="1">
      <c r="A204" s="3">
        <v>200</v>
      </c>
      <c r="B204" s="3"/>
      <c r="C204" s="3"/>
      <c r="D204" s="3"/>
      <c r="E204" s="3"/>
      <c r="F204" s="3"/>
      <c r="G204" s="30" t="s">
        <v>14</v>
      </c>
      <c r="H204" s="32">
        <v>44551</v>
      </c>
      <c r="I204" s="28" t="s">
        <v>87</v>
      </c>
      <c r="J204" s="39" t="s">
        <v>42</v>
      </c>
      <c r="K204" s="28" t="s">
        <v>402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" customHeight="1">
      <c r="A205" s="3">
        <v>201</v>
      </c>
      <c r="B205" s="3"/>
      <c r="C205" s="3"/>
      <c r="D205" s="3"/>
      <c r="E205" s="3"/>
      <c r="F205" s="3"/>
      <c r="G205" s="30" t="s">
        <v>14</v>
      </c>
      <c r="H205" s="32">
        <v>45625</v>
      </c>
      <c r="I205" s="28" t="s">
        <v>97</v>
      </c>
      <c r="J205" s="39" t="s">
        <v>42</v>
      </c>
      <c r="K205" s="28" t="s">
        <v>403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" customHeight="1">
      <c r="A206" s="3">
        <v>202</v>
      </c>
      <c r="B206" s="3"/>
      <c r="C206" s="3"/>
      <c r="D206" s="3"/>
      <c r="E206" s="3"/>
      <c r="F206" s="3"/>
      <c r="G206" s="30" t="s">
        <v>14</v>
      </c>
      <c r="H206" s="32">
        <v>45128</v>
      </c>
      <c r="I206" s="28" t="s">
        <v>39</v>
      </c>
      <c r="J206" s="39" t="s">
        <v>42</v>
      </c>
      <c r="K206" s="28" t="s">
        <v>404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" customHeight="1">
      <c r="A207" s="3">
        <v>203</v>
      </c>
      <c r="B207" s="3"/>
      <c r="C207" s="3"/>
      <c r="D207" s="3"/>
      <c r="E207" s="3"/>
      <c r="F207" s="3"/>
      <c r="G207" s="30" t="s">
        <v>14</v>
      </c>
      <c r="H207" s="32">
        <v>45807</v>
      </c>
      <c r="I207" s="28" t="s">
        <v>97</v>
      </c>
      <c r="J207" s="39" t="s">
        <v>42</v>
      </c>
      <c r="K207" s="28" t="s">
        <v>405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" customHeight="1">
      <c r="A208" s="3">
        <v>204</v>
      </c>
      <c r="B208" s="3"/>
      <c r="C208" s="3"/>
      <c r="D208" s="3"/>
      <c r="E208" s="3"/>
      <c r="F208" s="3"/>
      <c r="G208" s="30" t="s">
        <v>14</v>
      </c>
      <c r="H208" s="32">
        <v>45754</v>
      </c>
      <c r="I208" s="28" t="s">
        <v>41</v>
      </c>
      <c r="J208" s="39" t="s">
        <v>42</v>
      </c>
      <c r="K208" s="28" t="s">
        <v>407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" customHeight="1">
      <c r="A209" s="3">
        <v>205</v>
      </c>
      <c r="B209" s="3"/>
      <c r="C209" s="3"/>
      <c r="D209" s="3"/>
      <c r="E209" s="3"/>
      <c r="F209" s="3"/>
      <c r="G209" s="30" t="s">
        <v>14</v>
      </c>
      <c r="H209" s="32">
        <v>42005</v>
      </c>
      <c r="I209" s="28" t="s">
        <v>144</v>
      </c>
      <c r="J209" s="39" t="s">
        <v>42</v>
      </c>
      <c r="K209" s="28" t="s">
        <v>408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" customHeight="1">
      <c r="A210" s="3">
        <v>206</v>
      </c>
      <c r="B210" s="3"/>
      <c r="C210" s="3"/>
      <c r="D210" s="3"/>
      <c r="E210" s="3"/>
      <c r="F210" s="3"/>
      <c r="G210" s="30" t="s">
        <v>14</v>
      </c>
      <c r="H210" s="32">
        <v>43405</v>
      </c>
      <c r="I210" s="28" t="s">
        <v>76</v>
      </c>
      <c r="J210" s="39" t="s">
        <v>42</v>
      </c>
      <c r="K210" s="28" t="s">
        <v>409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" customHeight="1">
      <c r="A211" s="3">
        <v>207</v>
      </c>
      <c r="B211" s="3"/>
      <c r="C211" s="3"/>
      <c r="D211" s="3"/>
      <c r="E211" s="3"/>
      <c r="F211" s="3"/>
      <c r="G211" s="30" t="s">
        <v>14</v>
      </c>
      <c r="H211" s="32">
        <v>45635</v>
      </c>
      <c r="I211" s="28" t="s">
        <v>41</v>
      </c>
      <c r="J211" s="39" t="s">
        <v>42</v>
      </c>
      <c r="K211" s="28" t="s">
        <v>410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" customHeight="1">
      <c r="A212" s="3">
        <v>208</v>
      </c>
      <c r="B212" s="3"/>
      <c r="C212" s="3"/>
      <c r="D212" s="3"/>
      <c r="E212" s="3"/>
      <c r="F212" s="3"/>
      <c r="G212" s="30" t="s">
        <v>14</v>
      </c>
      <c r="H212" s="32">
        <v>42671</v>
      </c>
      <c r="I212" s="28" t="s">
        <v>46</v>
      </c>
      <c r="J212" s="39" t="s">
        <v>411</v>
      </c>
      <c r="K212" s="28" t="s">
        <v>412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" customHeight="1">
      <c r="A213" s="3">
        <v>209</v>
      </c>
      <c r="B213" s="3"/>
      <c r="C213" s="3"/>
      <c r="D213" s="3"/>
      <c r="E213" s="3"/>
      <c r="F213" s="3"/>
      <c r="G213" s="30" t="s">
        <v>14</v>
      </c>
      <c r="H213" s="32">
        <v>42005</v>
      </c>
      <c r="I213" s="28" t="s">
        <v>144</v>
      </c>
      <c r="J213" s="39" t="s">
        <v>42</v>
      </c>
      <c r="K213" s="28" t="s">
        <v>414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" customHeight="1">
      <c r="A214" s="3">
        <v>210</v>
      </c>
      <c r="B214" s="3"/>
      <c r="C214" s="3"/>
      <c r="D214" s="3"/>
      <c r="E214" s="3"/>
      <c r="F214" s="3"/>
      <c r="G214" s="30" t="s">
        <v>14</v>
      </c>
      <c r="H214" s="32">
        <v>45230</v>
      </c>
      <c r="I214" s="28" t="s">
        <v>56</v>
      </c>
      <c r="J214" s="39" t="s">
        <v>415</v>
      </c>
      <c r="K214" s="28" t="s">
        <v>416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" customHeight="1">
      <c r="A215" s="3">
        <v>211</v>
      </c>
      <c r="B215" s="3"/>
      <c r="C215" s="3"/>
      <c r="D215" s="3"/>
      <c r="E215" s="3"/>
      <c r="F215" s="3"/>
      <c r="G215" s="30" t="s">
        <v>14</v>
      </c>
      <c r="H215" s="32">
        <v>45205</v>
      </c>
      <c r="I215" s="28" t="s">
        <v>56</v>
      </c>
      <c r="J215" s="39" t="s">
        <v>417</v>
      </c>
      <c r="K215" s="28" t="s">
        <v>418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" customHeight="1">
      <c r="A216" s="3">
        <v>212</v>
      </c>
      <c r="B216" s="3"/>
      <c r="C216" s="3"/>
      <c r="D216" s="3"/>
      <c r="E216" s="3"/>
      <c r="F216" s="3"/>
      <c r="G216" s="30" t="s">
        <v>14</v>
      </c>
      <c r="H216" s="32">
        <v>44916</v>
      </c>
      <c r="I216" s="28" t="s">
        <v>87</v>
      </c>
      <c r="J216" s="39" t="s">
        <v>42</v>
      </c>
      <c r="K216" s="28" t="s">
        <v>419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customHeight="1">
      <c r="A217" s="3">
        <v>213</v>
      </c>
      <c r="B217" s="3"/>
      <c r="C217" s="3"/>
      <c r="D217" s="3"/>
      <c r="E217" s="3"/>
      <c r="F217" s="3"/>
      <c r="G217" s="30" t="s">
        <v>14</v>
      </c>
      <c r="H217" s="32">
        <v>45280</v>
      </c>
      <c r="I217" s="28" t="s">
        <v>112</v>
      </c>
      <c r="J217" s="39" t="s">
        <v>42</v>
      </c>
      <c r="K217" s="28" t="s">
        <v>421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" customHeight="1">
      <c r="A218" s="3">
        <v>214</v>
      </c>
      <c r="B218" s="3"/>
      <c r="C218" s="3"/>
      <c r="D218" s="3"/>
      <c r="E218" s="3"/>
      <c r="F218" s="3"/>
      <c r="G218" s="30" t="s">
        <v>14</v>
      </c>
      <c r="H218" s="32">
        <v>42258</v>
      </c>
      <c r="I218" s="28" t="s">
        <v>49</v>
      </c>
      <c r="J218" s="39" t="s">
        <v>42</v>
      </c>
      <c r="K218" s="28" t="s">
        <v>422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" customHeight="1">
      <c r="A219" s="3">
        <v>215</v>
      </c>
      <c r="B219" s="3"/>
      <c r="C219" s="3"/>
      <c r="D219" s="3"/>
      <c r="E219" s="3"/>
      <c r="F219" s="3"/>
      <c r="G219" s="30" t="s">
        <v>14</v>
      </c>
      <c r="H219" s="32">
        <v>45558</v>
      </c>
      <c r="I219" s="28" t="s">
        <v>39</v>
      </c>
      <c r="J219" s="39" t="s">
        <v>42</v>
      </c>
      <c r="K219" s="28" t="s">
        <v>423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" customHeight="1">
      <c r="A220" s="3">
        <v>216</v>
      </c>
      <c r="B220" s="3"/>
      <c r="C220" s="3"/>
      <c r="D220" s="3"/>
      <c r="E220" s="3"/>
      <c r="F220" s="3"/>
      <c r="G220" s="30" t="s">
        <v>14</v>
      </c>
      <c r="H220" s="32">
        <v>45341</v>
      </c>
      <c r="I220" s="28" t="s">
        <v>44</v>
      </c>
      <c r="J220" s="39" t="s">
        <v>424</v>
      </c>
      <c r="K220" s="28" t="s">
        <v>426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" customHeight="1">
      <c r="A221" s="3">
        <v>217</v>
      </c>
      <c r="B221" s="3"/>
      <c r="C221" s="3"/>
      <c r="D221" s="3"/>
      <c r="E221" s="3"/>
      <c r="F221" s="3"/>
      <c r="G221" s="30" t="s">
        <v>14</v>
      </c>
      <c r="H221" s="32">
        <v>45637</v>
      </c>
      <c r="I221" s="28" t="s">
        <v>44</v>
      </c>
      <c r="J221" s="39" t="s">
        <v>42</v>
      </c>
      <c r="K221" s="28" t="s">
        <v>427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" customHeight="1">
      <c r="A222" s="3">
        <v>218</v>
      </c>
      <c r="B222" s="3"/>
      <c r="C222" s="3"/>
      <c r="D222" s="3"/>
      <c r="E222" s="3"/>
      <c r="F222" s="3"/>
      <c r="G222" s="30" t="s">
        <v>14</v>
      </c>
      <c r="H222" s="32">
        <v>45338</v>
      </c>
      <c r="I222" s="28" t="s">
        <v>64</v>
      </c>
      <c r="J222" s="39" t="s">
        <v>42</v>
      </c>
      <c r="K222" s="28" t="s">
        <v>429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" customHeight="1">
      <c r="A223" s="3">
        <v>219</v>
      </c>
      <c r="B223" s="3"/>
      <c r="C223" s="3"/>
      <c r="D223" s="3"/>
      <c r="E223" s="3"/>
      <c r="F223" s="3"/>
      <c r="G223" s="30" t="s">
        <v>14</v>
      </c>
      <c r="H223" s="32">
        <v>45721</v>
      </c>
      <c r="I223" s="28" t="s">
        <v>112</v>
      </c>
      <c r="J223" s="39" t="s">
        <v>42</v>
      </c>
      <c r="K223" s="28" t="s">
        <v>430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" customHeight="1">
      <c r="A224" s="3">
        <v>220</v>
      </c>
      <c r="B224" s="3"/>
      <c r="C224" s="3"/>
      <c r="D224" s="3"/>
      <c r="E224" s="3"/>
      <c r="F224" s="3"/>
      <c r="G224" s="30" t="s">
        <v>14</v>
      </c>
      <c r="H224" s="32">
        <v>43524</v>
      </c>
      <c r="I224" s="28" t="s">
        <v>139</v>
      </c>
      <c r="J224" s="39" t="s">
        <v>42</v>
      </c>
      <c r="K224" s="28" t="s">
        <v>431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" customHeight="1">
      <c r="A225" s="3">
        <v>221</v>
      </c>
      <c r="B225" s="3"/>
      <c r="C225" s="3"/>
      <c r="D225" s="3"/>
      <c r="E225" s="3"/>
      <c r="F225" s="3"/>
      <c r="G225" s="30" t="s">
        <v>14</v>
      </c>
      <c r="H225" s="32">
        <v>45378</v>
      </c>
      <c r="I225" s="28" t="s">
        <v>97</v>
      </c>
      <c r="J225" s="39" t="s">
        <v>42</v>
      </c>
      <c r="K225" s="28" t="s">
        <v>433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" customHeight="1">
      <c r="A226" s="3">
        <v>222</v>
      </c>
      <c r="B226" s="3"/>
      <c r="C226" s="3"/>
      <c r="D226" s="3"/>
      <c r="E226" s="3"/>
      <c r="F226" s="3"/>
      <c r="G226" s="30" t="s">
        <v>14</v>
      </c>
      <c r="H226" s="32">
        <v>42766</v>
      </c>
      <c r="I226" s="28" t="s">
        <v>49</v>
      </c>
      <c r="J226" s="39" t="s">
        <v>42</v>
      </c>
      <c r="K226" s="28" t="s">
        <v>434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" customHeight="1">
      <c r="A227" s="3">
        <v>223</v>
      </c>
      <c r="B227" s="3"/>
      <c r="C227" s="3"/>
      <c r="D227" s="3"/>
      <c r="E227" s="3"/>
      <c r="F227" s="3"/>
      <c r="G227" s="30" t="s">
        <v>14</v>
      </c>
      <c r="H227" s="32">
        <v>45672</v>
      </c>
      <c r="I227" s="28" t="s">
        <v>100</v>
      </c>
      <c r="J227" s="39" t="s">
        <v>42</v>
      </c>
      <c r="K227" s="28" t="s">
        <v>435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" customHeight="1">
      <c r="A228" s="3">
        <v>224</v>
      </c>
      <c r="B228" s="3"/>
      <c r="C228" s="3"/>
      <c r="D228" s="3"/>
      <c r="E228" s="3"/>
      <c r="F228" s="3"/>
      <c r="G228" s="30" t="s">
        <v>14</v>
      </c>
      <c r="H228" s="32">
        <v>45295</v>
      </c>
      <c r="I228" s="28" t="s">
        <v>97</v>
      </c>
      <c r="J228" s="39" t="s">
        <v>42</v>
      </c>
      <c r="K228" s="28" t="s">
        <v>436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" customHeight="1">
      <c r="A229" s="3">
        <v>225</v>
      </c>
      <c r="B229" s="3"/>
      <c r="C229" s="3"/>
      <c r="D229" s="3"/>
      <c r="E229" s="3"/>
      <c r="F229" s="3"/>
      <c r="G229" s="30" t="s">
        <v>14</v>
      </c>
      <c r="H229" s="32">
        <v>44764</v>
      </c>
      <c r="I229" s="28" t="s">
        <v>155</v>
      </c>
      <c r="J229" s="39" t="s">
        <v>438</v>
      </c>
      <c r="K229" s="28" t="s">
        <v>439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" customHeight="1">
      <c r="A230" s="3">
        <v>226</v>
      </c>
      <c r="B230" s="3"/>
      <c r="C230" s="3"/>
      <c r="D230" s="3"/>
      <c r="E230" s="3"/>
      <c r="F230" s="3"/>
      <c r="G230" s="30" t="s">
        <v>14</v>
      </c>
      <c r="H230" s="32">
        <v>45933</v>
      </c>
      <c r="I230" s="28" t="s">
        <v>64</v>
      </c>
      <c r="J230" s="39" t="s">
        <v>42</v>
      </c>
      <c r="K230" s="28" t="s">
        <v>440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" customHeight="1">
      <c r="A231" s="3">
        <v>227</v>
      </c>
      <c r="B231" s="3"/>
      <c r="C231" s="3"/>
      <c r="D231" s="3"/>
      <c r="E231" s="3"/>
      <c r="F231" s="3"/>
      <c r="G231" s="30" t="s">
        <v>14</v>
      </c>
      <c r="H231" s="32">
        <v>45499</v>
      </c>
      <c r="I231" s="28" t="s">
        <v>97</v>
      </c>
      <c r="J231" s="39" t="s">
        <v>42</v>
      </c>
      <c r="K231" s="28" t="s">
        <v>441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" customHeight="1">
      <c r="A232" s="3">
        <v>228</v>
      </c>
      <c r="B232" s="3"/>
      <c r="C232" s="3"/>
      <c r="D232" s="3"/>
      <c r="E232" s="3"/>
      <c r="F232" s="3"/>
      <c r="G232" s="30" t="s">
        <v>14</v>
      </c>
      <c r="H232" s="32">
        <v>45440</v>
      </c>
      <c r="I232" s="28" t="s">
        <v>107</v>
      </c>
      <c r="J232" s="39" t="s">
        <v>42</v>
      </c>
      <c r="K232" s="28" t="s">
        <v>442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" customHeight="1">
      <c r="A233" s="3">
        <v>229</v>
      </c>
      <c r="B233" s="3"/>
      <c r="C233" s="3"/>
      <c r="D233" s="3"/>
      <c r="E233" s="3"/>
      <c r="F233" s="3"/>
      <c r="G233" s="30" t="s">
        <v>14</v>
      </c>
      <c r="H233" s="32">
        <v>45794</v>
      </c>
      <c r="I233" s="28" t="s">
        <v>39</v>
      </c>
      <c r="J233" s="39" t="s">
        <v>42</v>
      </c>
      <c r="K233" s="28" t="s">
        <v>444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" customHeight="1">
      <c r="A234" s="3">
        <v>230</v>
      </c>
      <c r="B234" s="3"/>
      <c r="C234" s="3"/>
      <c r="D234" s="3"/>
      <c r="E234" s="3"/>
      <c r="F234" s="3"/>
      <c r="G234" s="30" t="s">
        <v>14</v>
      </c>
      <c r="H234" s="32">
        <v>45863</v>
      </c>
      <c r="I234" s="28" t="s">
        <v>64</v>
      </c>
      <c r="J234" s="39" t="s">
        <v>42</v>
      </c>
      <c r="K234" s="28" t="s">
        <v>445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" customHeight="1">
      <c r="A235" s="3">
        <v>231</v>
      </c>
      <c r="B235" s="3"/>
      <c r="C235" s="3"/>
      <c r="D235" s="3"/>
      <c r="E235" s="3"/>
      <c r="F235" s="3"/>
      <c r="G235" s="30" t="s">
        <v>14</v>
      </c>
      <c r="H235" s="32">
        <v>43405</v>
      </c>
      <c r="I235" s="28" t="s">
        <v>76</v>
      </c>
      <c r="J235" s="39" t="s">
        <v>42</v>
      </c>
      <c r="K235" s="28" t="s">
        <v>446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" customHeight="1">
      <c r="A236" s="3">
        <v>232</v>
      </c>
      <c r="B236" s="3"/>
      <c r="C236" s="3"/>
      <c r="D236" s="3"/>
      <c r="E236" s="3"/>
      <c r="F236" s="3"/>
      <c r="G236" s="30" t="s">
        <v>14</v>
      </c>
      <c r="H236" s="32">
        <v>45376</v>
      </c>
      <c r="I236" s="28" t="s">
        <v>56</v>
      </c>
      <c r="J236" s="39" t="s">
        <v>447</v>
      </c>
      <c r="K236" s="28" t="s">
        <v>448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" customHeight="1">
      <c r="A237" s="3">
        <v>233</v>
      </c>
      <c r="B237" s="3"/>
      <c r="C237" s="3"/>
      <c r="D237" s="3"/>
      <c r="E237" s="3"/>
      <c r="F237" s="3"/>
      <c r="G237" s="30" t="s">
        <v>14</v>
      </c>
      <c r="H237" s="32">
        <v>42461</v>
      </c>
      <c r="I237" s="28" t="s">
        <v>76</v>
      </c>
      <c r="J237" s="39" t="s">
        <v>42</v>
      </c>
      <c r="K237" s="28" t="s">
        <v>450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" customHeight="1">
      <c r="A238" s="3">
        <v>234</v>
      </c>
      <c r="B238" s="3"/>
      <c r="C238" s="3"/>
      <c r="D238" s="3"/>
      <c r="E238" s="3"/>
      <c r="F238" s="3"/>
      <c r="G238" s="30" t="s">
        <v>14</v>
      </c>
      <c r="H238" s="32">
        <v>42727</v>
      </c>
      <c r="I238" s="28" t="s">
        <v>49</v>
      </c>
      <c r="J238" s="39" t="s">
        <v>42</v>
      </c>
      <c r="K238" s="28" t="s">
        <v>451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" customHeight="1">
      <c r="A239" s="3">
        <v>235</v>
      </c>
      <c r="B239" s="3"/>
      <c r="C239" s="3"/>
      <c r="D239" s="3"/>
      <c r="E239" s="3"/>
      <c r="F239" s="3"/>
      <c r="G239" s="30" t="s">
        <v>14</v>
      </c>
      <c r="H239" s="32">
        <v>44179</v>
      </c>
      <c r="I239" s="28" t="s">
        <v>452</v>
      </c>
      <c r="J239" s="39" t="s">
        <v>453</v>
      </c>
      <c r="K239" s="28" t="s">
        <v>454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" customHeight="1">
      <c r="A240" s="3">
        <v>236</v>
      </c>
      <c r="B240" s="3"/>
      <c r="C240" s="3"/>
      <c r="D240" s="3"/>
      <c r="E240" s="3"/>
      <c r="F240" s="3"/>
      <c r="G240" s="30" t="s">
        <v>14</v>
      </c>
      <c r="H240" s="32">
        <v>45848</v>
      </c>
      <c r="I240" s="28" t="s">
        <v>107</v>
      </c>
      <c r="J240" s="39" t="s">
        <v>42</v>
      </c>
      <c r="K240" s="28" t="s">
        <v>456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" customHeight="1">
      <c r="A241" s="3">
        <v>237</v>
      </c>
      <c r="B241" s="3"/>
      <c r="C241" s="3"/>
      <c r="D241" s="3"/>
      <c r="E241" s="3"/>
      <c r="F241" s="3"/>
      <c r="G241" s="30" t="s">
        <v>14</v>
      </c>
      <c r="H241" s="32">
        <v>45224</v>
      </c>
      <c r="I241" s="28" t="s">
        <v>87</v>
      </c>
      <c r="J241" s="39" t="s">
        <v>42</v>
      </c>
      <c r="K241" s="28" t="s">
        <v>457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" customHeight="1">
      <c r="A242" s="3">
        <v>238</v>
      </c>
      <c r="B242" s="3"/>
      <c r="C242" s="3"/>
      <c r="D242" s="3"/>
      <c r="E242" s="3"/>
      <c r="F242" s="3"/>
      <c r="G242" s="30" t="s">
        <v>14</v>
      </c>
      <c r="H242" s="32">
        <v>45839</v>
      </c>
      <c r="I242" s="28" t="s">
        <v>41</v>
      </c>
      <c r="J242" s="39" t="s">
        <v>42</v>
      </c>
      <c r="K242" s="28" t="s">
        <v>458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" customHeight="1">
      <c r="A243" s="3">
        <v>239</v>
      </c>
      <c r="B243" s="3"/>
      <c r="C243" s="3"/>
      <c r="D243" s="3"/>
      <c r="E243" s="3"/>
      <c r="F243" s="3"/>
      <c r="G243" s="30" t="s">
        <v>14</v>
      </c>
      <c r="H243" s="32">
        <v>42217</v>
      </c>
      <c r="I243" s="28" t="s">
        <v>49</v>
      </c>
      <c r="J243" s="39" t="s">
        <v>42</v>
      </c>
      <c r="K243" s="28" t="s">
        <v>459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" customHeight="1">
      <c r="A244" s="3">
        <v>240</v>
      </c>
      <c r="B244" s="3"/>
      <c r="C244" s="3"/>
      <c r="D244" s="3"/>
      <c r="E244" s="3"/>
      <c r="F244" s="3"/>
      <c r="G244" s="30" t="s">
        <v>14</v>
      </c>
      <c r="H244" s="32">
        <v>44823</v>
      </c>
      <c r="I244" s="28" t="s">
        <v>56</v>
      </c>
      <c r="J244" s="39" t="s">
        <v>461</v>
      </c>
      <c r="K244" s="28" t="s">
        <v>462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" customHeight="1">
      <c r="A245" s="3">
        <v>241</v>
      </c>
      <c r="B245" s="3"/>
      <c r="C245" s="3"/>
      <c r="D245" s="3"/>
      <c r="E245" s="3"/>
      <c r="F245" s="3"/>
      <c r="G245" s="30" t="s">
        <v>14</v>
      </c>
      <c r="H245" s="32">
        <v>45258</v>
      </c>
      <c r="I245" s="28" t="s">
        <v>64</v>
      </c>
      <c r="J245" s="39" t="s">
        <v>42</v>
      </c>
      <c r="K245" s="28" t="s">
        <v>463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" customHeight="1">
      <c r="A246" s="3">
        <v>242</v>
      </c>
      <c r="B246" s="3"/>
      <c r="C246" s="3"/>
      <c r="D246" s="3"/>
      <c r="E246" s="3"/>
      <c r="F246" s="3"/>
      <c r="G246" s="30" t="s">
        <v>14</v>
      </c>
      <c r="H246" s="32">
        <v>46007</v>
      </c>
      <c r="I246" s="28" t="s">
        <v>107</v>
      </c>
      <c r="J246" s="39" t="s">
        <v>42</v>
      </c>
      <c r="K246" s="28" t="s">
        <v>464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" customHeight="1">
      <c r="A247" s="3">
        <v>243</v>
      </c>
      <c r="B247" s="3"/>
      <c r="C247" s="3"/>
      <c r="D247" s="3"/>
      <c r="E247" s="3"/>
      <c r="F247" s="3"/>
      <c r="G247" s="30" t="s">
        <v>14</v>
      </c>
      <c r="H247" s="32">
        <v>45132</v>
      </c>
      <c r="I247" s="28" t="s">
        <v>97</v>
      </c>
      <c r="J247" s="39" t="s">
        <v>42</v>
      </c>
      <c r="K247" s="28" t="s">
        <v>465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" customHeight="1">
      <c r="A248" s="3">
        <v>244</v>
      </c>
      <c r="B248" s="3"/>
      <c r="C248" s="3"/>
      <c r="D248" s="3"/>
      <c r="E248" s="3"/>
      <c r="F248" s="3"/>
      <c r="G248" s="30" t="s">
        <v>14</v>
      </c>
      <c r="H248" s="32">
        <v>45558</v>
      </c>
      <c r="I248" s="28" t="s">
        <v>44</v>
      </c>
      <c r="J248" s="39" t="s">
        <v>42</v>
      </c>
      <c r="K248" s="28" t="s">
        <v>467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" customHeight="1">
      <c r="A249" s="3">
        <v>245</v>
      </c>
      <c r="B249" s="3"/>
      <c r="C249" s="3"/>
      <c r="D249" s="3"/>
      <c r="E249" s="3"/>
      <c r="F249" s="3"/>
      <c r="G249" s="30" t="s">
        <v>14</v>
      </c>
      <c r="H249" s="32">
        <v>45789</v>
      </c>
      <c r="I249" s="28" t="s">
        <v>97</v>
      </c>
      <c r="J249" s="39" t="s">
        <v>42</v>
      </c>
      <c r="K249" s="28" t="s">
        <v>468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" customHeight="1">
      <c r="A250" s="3">
        <v>246</v>
      </c>
      <c r="B250" s="3"/>
      <c r="C250" s="3"/>
      <c r="D250" s="3"/>
      <c r="E250" s="3"/>
      <c r="F250" s="3"/>
      <c r="G250" s="30" t="s">
        <v>14</v>
      </c>
      <c r="H250" s="32">
        <v>45568</v>
      </c>
      <c r="I250" s="28" t="s">
        <v>100</v>
      </c>
      <c r="J250" s="39" t="s">
        <v>42</v>
      </c>
      <c r="K250" s="28" t="s">
        <v>469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" customHeight="1">
      <c r="A251" s="3">
        <v>247</v>
      </c>
      <c r="B251" s="3"/>
      <c r="C251" s="3"/>
      <c r="D251" s="3"/>
      <c r="E251" s="3"/>
      <c r="F251" s="3"/>
      <c r="G251" s="30" t="s">
        <v>14</v>
      </c>
      <c r="H251" s="32">
        <v>43517</v>
      </c>
      <c r="I251" s="28" t="s">
        <v>139</v>
      </c>
      <c r="J251" s="39" t="s">
        <v>42</v>
      </c>
      <c r="K251" s="28" t="s">
        <v>470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" customHeight="1">
      <c r="A252" s="3">
        <v>248</v>
      </c>
      <c r="B252" s="3"/>
      <c r="C252" s="3"/>
      <c r="D252" s="3"/>
      <c r="E252" s="3"/>
      <c r="F252" s="3"/>
      <c r="G252" s="30" t="s">
        <v>14</v>
      </c>
      <c r="H252" s="32">
        <v>45566</v>
      </c>
      <c r="I252" s="28" t="s">
        <v>39</v>
      </c>
      <c r="J252" s="39" t="s">
        <v>42</v>
      </c>
      <c r="K252" s="28" t="s">
        <v>472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" customHeight="1">
      <c r="A253" s="3">
        <v>249</v>
      </c>
      <c r="B253" s="3"/>
      <c r="C253" s="3"/>
      <c r="D253" s="3"/>
      <c r="E253" s="3"/>
      <c r="F253" s="3"/>
      <c r="G253" s="30" t="s">
        <v>14</v>
      </c>
      <c r="H253" s="32">
        <v>43567</v>
      </c>
      <c r="I253" s="28" t="s">
        <v>49</v>
      </c>
      <c r="J253" s="39" t="s">
        <v>42</v>
      </c>
      <c r="K253" s="28" t="s">
        <v>473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" customHeight="1">
      <c r="A254" s="3">
        <v>250</v>
      </c>
      <c r="B254" s="3"/>
      <c r="C254" s="3"/>
      <c r="D254" s="3"/>
      <c r="E254" s="3"/>
      <c r="F254" s="3"/>
      <c r="G254" s="30" t="s">
        <v>14</v>
      </c>
      <c r="H254" s="32">
        <v>46014</v>
      </c>
      <c r="I254" s="28" t="s">
        <v>64</v>
      </c>
      <c r="J254" s="39" t="s">
        <v>42</v>
      </c>
      <c r="K254" s="28" t="s">
        <v>474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" customHeight="1">
      <c r="A255" s="3">
        <v>251</v>
      </c>
      <c r="B255" s="3"/>
      <c r="C255" s="3"/>
      <c r="D255" s="3"/>
      <c r="E255" s="3"/>
      <c r="F255" s="3"/>
      <c r="G255" s="30" t="s">
        <v>14</v>
      </c>
      <c r="H255" s="32">
        <v>44769</v>
      </c>
      <c r="I255" s="28" t="s">
        <v>475</v>
      </c>
      <c r="J255" s="39" t="s">
        <v>476</v>
      </c>
      <c r="K255" s="28" t="s">
        <v>477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" customHeight="1">
      <c r="A256" s="3">
        <v>252</v>
      </c>
      <c r="B256" s="3"/>
      <c r="C256" s="3"/>
      <c r="D256" s="3"/>
      <c r="E256" s="3"/>
      <c r="F256" s="3"/>
      <c r="G256" s="30" t="s">
        <v>14</v>
      </c>
      <c r="H256" s="32">
        <v>45259</v>
      </c>
      <c r="I256" s="28" t="s">
        <v>64</v>
      </c>
      <c r="J256" s="39" t="s">
        <v>42</v>
      </c>
      <c r="K256" s="28" t="s">
        <v>480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" customHeight="1">
      <c r="A257" s="3">
        <v>253</v>
      </c>
      <c r="B257" s="3"/>
      <c r="C257" s="3"/>
      <c r="D257" s="3"/>
      <c r="E257" s="3"/>
      <c r="F257" s="3"/>
      <c r="G257" s="30" t="s">
        <v>14</v>
      </c>
      <c r="H257" s="32">
        <v>45750</v>
      </c>
      <c r="I257" s="28" t="s">
        <v>39</v>
      </c>
      <c r="J257" s="39" t="s">
        <v>42</v>
      </c>
      <c r="K257" s="28" t="s">
        <v>481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" customHeight="1">
      <c r="A258" s="3">
        <v>254</v>
      </c>
      <c r="B258" s="3"/>
      <c r="C258" s="3"/>
      <c r="D258" s="3"/>
      <c r="E258" s="3"/>
      <c r="F258" s="3"/>
      <c r="G258" s="30" t="s">
        <v>14</v>
      </c>
      <c r="H258" s="32">
        <v>43623</v>
      </c>
      <c r="I258" s="28" t="s">
        <v>305</v>
      </c>
      <c r="J258" s="39" t="s">
        <v>483</v>
      </c>
      <c r="K258" s="28" t="s">
        <v>484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" customHeight="1">
      <c r="A259" s="3">
        <v>255</v>
      </c>
      <c r="B259" s="3"/>
      <c r="C259" s="3"/>
      <c r="D259" s="3"/>
      <c r="E259" s="3"/>
      <c r="F259" s="3"/>
      <c r="G259" s="30" t="s">
        <v>14</v>
      </c>
      <c r="H259" s="32">
        <v>45982</v>
      </c>
      <c r="I259" s="28" t="s">
        <v>136</v>
      </c>
      <c r="J259" s="39" t="s">
        <v>92</v>
      </c>
      <c r="K259" s="28" t="s">
        <v>485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" customHeight="1">
      <c r="A260" s="3">
        <v>256</v>
      </c>
      <c r="B260" s="3"/>
      <c r="C260" s="3"/>
      <c r="D260" s="3"/>
      <c r="E260" s="3"/>
      <c r="F260" s="3"/>
      <c r="G260" s="30" t="s">
        <v>14</v>
      </c>
      <c r="H260" s="32">
        <v>44498</v>
      </c>
      <c r="I260" s="28" t="s">
        <v>87</v>
      </c>
      <c r="J260" s="39" t="s">
        <v>42</v>
      </c>
      <c r="K260" s="28" t="s">
        <v>486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" customHeight="1">
      <c r="A261" s="3">
        <v>257</v>
      </c>
      <c r="B261" s="3"/>
      <c r="C261" s="3"/>
      <c r="D261" s="3"/>
      <c r="E261" s="3"/>
      <c r="F261" s="3"/>
      <c r="G261" s="30" t="s">
        <v>14</v>
      </c>
      <c r="H261" s="32">
        <v>45785</v>
      </c>
      <c r="I261" s="28" t="s">
        <v>39</v>
      </c>
      <c r="J261" s="39" t="s">
        <v>42</v>
      </c>
      <c r="K261" s="28" t="s">
        <v>488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" customHeight="1">
      <c r="A262" s="3">
        <v>258</v>
      </c>
      <c r="B262" s="3"/>
      <c r="C262" s="3"/>
      <c r="D262" s="3"/>
      <c r="E262" s="3"/>
      <c r="F262" s="3"/>
      <c r="G262" s="30" t="s">
        <v>14</v>
      </c>
      <c r="H262" s="32">
        <v>42156</v>
      </c>
      <c r="I262" s="28" t="s">
        <v>144</v>
      </c>
      <c r="J262" s="39" t="s">
        <v>42</v>
      </c>
      <c r="K262" s="28" t="s">
        <v>489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" customHeight="1">
      <c r="A263" s="3">
        <v>259</v>
      </c>
      <c r="B263" s="3"/>
      <c r="C263" s="3"/>
      <c r="D263" s="3"/>
      <c r="E263" s="3"/>
      <c r="F263" s="3"/>
      <c r="G263" s="30" t="s">
        <v>14</v>
      </c>
      <c r="H263" s="32">
        <v>43374</v>
      </c>
      <c r="I263" s="28" t="s">
        <v>76</v>
      </c>
      <c r="J263" s="39" t="s">
        <v>42</v>
      </c>
      <c r="K263" s="28" t="s">
        <v>490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" customHeight="1">
      <c r="A264" s="3">
        <v>260</v>
      </c>
      <c r="B264" s="3"/>
      <c r="C264" s="3"/>
      <c r="D264" s="3"/>
      <c r="E264" s="3"/>
      <c r="F264" s="3"/>
      <c r="G264" s="30" t="s">
        <v>14</v>
      </c>
      <c r="H264" s="32">
        <v>45575</v>
      </c>
      <c r="I264" s="28" t="s">
        <v>64</v>
      </c>
      <c r="J264" s="39" t="s">
        <v>42</v>
      </c>
      <c r="K264" s="28" t="s">
        <v>494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" customHeight="1">
      <c r="A265" s="3">
        <v>261</v>
      </c>
      <c r="B265" s="3"/>
      <c r="C265" s="3"/>
      <c r="D265" s="3"/>
      <c r="E265" s="3"/>
      <c r="F265" s="3"/>
      <c r="G265" s="30" t="s">
        <v>14</v>
      </c>
      <c r="H265" s="32">
        <v>44389</v>
      </c>
      <c r="I265" s="28" t="s">
        <v>495</v>
      </c>
      <c r="J265" s="39" t="s">
        <v>496</v>
      </c>
      <c r="K265" s="28" t="s">
        <v>497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" customHeight="1">
      <c r="A266" s="3">
        <v>262</v>
      </c>
      <c r="B266" s="3"/>
      <c r="C266" s="3"/>
      <c r="D266" s="3"/>
      <c r="E266" s="3"/>
      <c r="F266" s="3"/>
      <c r="G266" s="30" t="s">
        <v>14</v>
      </c>
      <c r="H266" s="32">
        <v>42657</v>
      </c>
      <c r="I266" s="28" t="s">
        <v>46</v>
      </c>
      <c r="J266" s="39" t="s">
        <v>498</v>
      </c>
      <c r="K266" s="28" t="s">
        <v>499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" customHeight="1">
      <c r="A267" s="3">
        <v>263</v>
      </c>
      <c r="B267" s="3"/>
      <c r="C267" s="3"/>
      <c r="D267" s="3"/>
      <c r="E267" s="3"/>
      <c r="F267" s="3"/>
      <c r="G267" s="30" t="s">
        <v>14</v>
      </c>
      <c r="H267" s="32">
        <v>45946</v>
      </c>
      <c r="I267" s="28" t="s">
        <v>68</v>
      </c>
      <c r="J267" s="39" t="s">
        <v>42</v>
      </c>
      <c r="K267" s="28" t="s">
        <v>500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" customHeight="1">
      <c r="A268" s="3">
        <v>264</v>
      </c>
      <c r="B268" s="3"/>
      <c r="C268" s="3"/>
      <c r="D268" s="3"/>
      <c r="E268" s="3"/>
      <c r="F268" s="3"/>
      <c r="G268" s="30" t="s">
        <v>14</v>
      </c>
      <c r="H268" s="32">
        <v>44519</v>
      </c>
      <c r="I268" s="28" t="s">
        <v>87</v>
      </c>
      <c r="J268" s="39" t="s">
        <v>42</v>
      </c>
      <c r="K268" s="28" t="s">
        <v>502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" customHeight="1">
      <c r="A269" s="3">
        <v>265</v>
      </c>
      <c r="B269" s="3"/>
      <c r="C269" s="3"/>
      <c r="D269" s="3"/>
      <c r="E269" s="3"/>
      <c r="F269" s="3"/>
      <c r="G269" s="30" t="s">
        <v>14</v>
      </c>
      <c r="H269" s="32">
        <v>42758</v>
      </c>
      <c r="I269" s="28" t="s">
        <v>49</v>
      </c>
      <c r="J269" s="39" t="s">
        <v>42</v>
      </c>
      <c r="K269" s="28" t="s">
        <v>503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" customHeight="1">
      <c r="A270" s="3">
        <v>266</v>
      </c>
      <c r="B270" s="3"/>
      <c r="C270" s="3"/>
      <c r="D270" s="3"/>
      <c r="E270" s="3"/>
      <c r="F270" s="3"/>
      <c r="G270" s="30" t="s">
        <v>14</v>
      </c>
      <c r="H270" s="32">
        <v>45108</v>
      </c>
      <c r="I270" s="28" t="s">
        <v>70</v>
      </c>
      <c r="J270" s="39" t="s">
        <v>42</v>
      </c>
      <c r="K270" s="28" t="s">
        <v>504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" customHeight="1">
      <c r="A271" s="3">
        <v>267</v>
      </c>
      <c r="B271" s="3"/>
      <c r="C271" s="3"/>
      <c r="D271" s="3"/>
      <c r="E271" s="3"/>
      <c r="F271" s="3"/>
      <c r="G271" s="30" t="s">
        <v>14</v>
      </c>
      <c r="H271" s="32">
        <v>45635</v>
      </c>
      <c r="I271" s="28" t="s">
        <v>506</v>
      </c>
      <c r="J271" s="39" t="s">
        <v>42</v>
      </c>
      <c r="K271" s="28" t="s">
        <v>507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" customHeight="1">
      <c r="A272" s="3">
        <v>268</v>
      </c>
      <c r="B272" s="3"/>
      <c r="C272" s="3"/>
      <c r="D272" s="3"/>
      <c r="E272" s="3"/>
      <c r="F272" s="3"/>
      <c r="G272" s="30" t="s">
        <v>14</v>
      </c>
      <c r="H272" s="32">
        <v>45106</v>
      </c>
      <c r="I272" s="28" t="s">
        <v>78</v>
      </c>
      <c r="J272" s="39" t="s">
        <v>42</v>
      </c>
      <c r="K272" s="28" t="s">
        <v>508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" customHeight="1">
      <c r="A273" s="3">
        <v>269</v>
      </c>
      <c r="B273" s="3"/>
      <c r="C273" s="3"/>
      <c r="D273" s="3"/>
      <c r="E273" s="3"/>
      <c r="F273" s="3"/>
      <c r="G273" s="30" t="s">
        <v>14</v>
      </c>
      <c r="H273" s="32">
        <v>45786</v>
      </c>
      <c r="I273" s="28" t="s">
        <v>41</v>
      </c>
      <c r="J273" s="39" t="s">
        <v>42</v>
      </c>
      <c r="K273" s="28" t="s">
        <v>509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" customHeight="1">
      <c r="A274" s="3">
        <v>270</v>
      </c>
      <c r="B274" s="3"/>
      <c r="C274" s="3"/>
      <c r="D274" s="3"/>
      <c r="E274" s="3"/>
      <c r="F274" s="3"/>
      <c r="G274" s="30" t="s">
        <v>14</v>
      </c>
      <c r="H274" s="32">
        <v>44562</v>
      </c>
      <c r="I274" s="28" t="s">
        <v>70</v>
      </c>
      <c r="J274" s="39" t="s">
        <v>42</v>
      </c>
      <c r="K274" s="28" t="s">
        <v>511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" customHeight="1">
      <c r="A275" s="3">
        <v>271</v>
      </c>
      <c r="B275" s="3"/>
      <c r="C275" s="3"/>
      <c r="D275" s="3"/>
      <c r="E275" s="3"/>
      <c r="F275" s="3"/>
      <c r="G275" s="30" t="s">
        <v>14</v>
      </c>
      <c r="H275" s="32">
        <v>45457</v>
      </c>
      <c r="I275" s="28" t="s">
        <v>41</v>
      </c>
      <c r="J275" s="39" t="s">
        <v>42</v>
      </c>
      <c r="K275" s="28" t="s">
        <v>512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" customHeight="1">
      <c r="A276" s="3">
        <v>272</v>
      </c>
      <c r="B276" s="3"/>
      <c r="C276" s="3"/>
      <c r="D276" s="3"/>
      <c r="E276" s="3"/>
      <c r="F276" s="3"/>
      <c r="G276" s="30" t="s">
        <v>14</v>
      </c>
      <c r="H276" s="32">
        <v>45994</v>
      </c>
      <c r="I276" s="28" t="s">
        <v>107</v>
      </c>
      <c r="J276" s="39" t="s">
        <v>42</v>
      </c>
      <c r="K276" s="28" t="s">
        <v>513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" customHeight="1">
      <c r="A277" s="3">
        <v>273</v>
      </c>
      <c r="B277" s="3"/>
      <c r="C277" s="3"/>
      <c r="D277" s="3"/>
      <c r="E277" s="3"/>
      <c r="F277" s="3"/>
      <c r="G277" s="30" t="s">
        <v>14</v>
      </c>
      <c r="H277" s="32">
        <v>42522</v>
      </c>
      <c r="I277" s="28" t="s">
        <v>76</v>
      </c>
      <c r="J277" s="39" t="s">
        <v>42</v>
      </c>
      <c r="K277" s="28" t="s">
        <v>515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" customHeight="1">
      <c r="A278" s="3">
        <v>274</v>
      </c>
      <c r="B278" s="3"/>
      <c r="C278" s="3"/>
      <c r="D278" s="3"/>
      <c r="E278" s="3"/>
      <c r="F278" s="3"/>
      <c r="G278" s="30" t="s">
        <v>14</v>
      </c>
      <c r="H278" s="32">
        <v>45504</v>
      </c>
      <c r="I278" s="28" t="s">
        <v>78</v>
      </c>
      <c r="J278" s="39" t="s">
        <v>42</v>
      </c>
      <c r="K278" s="28" t="s">
        <v>516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" customHeight="1">
      <c r="A279" s="3">
        <v>275</v>
      </c>
      <c r="B279" s="3"/>
      <c r="C279" s="3"/>
      <c r="D279" s="3"/>
      <c r="E279" s="3"/>
      <c r="F279" s="3"/>
      <c r="G279" s="30" t="s">
        <v>14</v>
      </c>
      <c r="H279" s="32">
        <v>45790</v>
      </c>
      <c r="I279" s="28" t="s">
        <v>107</v>
      </c>
      <c r="J279" s="39" t="s">
        <v>42</v>
      </c>
      <c r="K279" s="28" t="s">
        <v>517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" customHeight="1">
      <c r="A280" s="3">
        <v>276</v>
      </c>
      <c r="B280" s="3"/>
      <c r="C280" s="3"/>
      <c r="D280" s="3"/>
      <c r="E280" s="3"/>
      <c r="F280" s="3"/>
      <c r="G280" s="30" t="s">
        <v>14</v>
      </c>
      <c r="H280" s="32">
        <v>45931</v>
      </c>
      <c r="I280" s="28" t="s">
        <v>70</v>
      </c>
      <c r="J280" s="39" t="s">
        <v>42</v>
      </c>
      <c r="K280" s="28" t="s">
        <v>518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" customHeight="1">
      <c r="A281" s="3">
        <v>277</v>
      </c>
      <c r="B281" s="3"/>
      <c r="C281" s="3"/>
      <c r="D281" s="3"/>
      <c r="E281" s="3"/>
      <c r="F281" s="3"/>
      <c r="G281" s="30" t="s">
        <v>14</v>
      </c>
      <c r="H281" s="32">
        <v>45852</v>
      </c>
      <c r="I281" s="28" t="s">
        <v>97</v>
      </c>
      <c r="J281" s="39" t="s">
        <v>42</v>
      </c>
      <c r="K281" s="28" t="s">
        <v>520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" customHeight="1">
      <c r="A282" s="3">
        <v>278</v>
      </c>
      <c r="B282" s="3"/>
      <c r="C282" s="3"/>
      <c r="D282" s="3"/>
      <c r="E282" s="3"/>
      <c r="F282" s="3"/>
      <c r="G282" s="30" t="s">
        <v>14</v>
      </c>
      <c r="H282" s="32">
        <v>43101</v>
      </c>
      <c r="I282" s="28" t="s">
        <v>76</v>
      </c>
      <c r="J282" s="39" t="s">
        <v>42</v>
      </c>
      <c r="K282" s="28" t="s">
        <v>521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" customHeight="1">
      <c r="A283" s="3">
        <v>279</v>
      </c>
      <c r="B283" s="3"/>
      <c r="C283" s="3"/>
      <c r="D283" s="3"/>
      <c r="E283" s="3"/>
      <c r="F283" s="3"/>
      <c r="G283" s="30" t="s">
        <v>14</v>
      </c>
      <c r="H283" s="32">
        <v>45821</v>
      </c>
      <c r="I283" s="28" t="s">
        <v>64</v>
      </c>
      <c r="J283" s="39" t="s">
        <v>42</v>
      </c>
      <c r="K283" s="28" t="s">
        <v>522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" customHeight="1">
      <c r="A284" s="3">
        <v>280</v>
      </c>
      <c r="B284" s="3"/>
      <c r="C284" s="3"/>
      <c r="D284" s="3"/>
      <c r="E284" s="3"/>
      <c r="F284" s="3"/>
      <c r="G284" s="30" t="s">
        <v>14</v>
      </c>
      <c r="H284" s="32">
        <v>45894</v>
      </c>
      <c r="I284" s="28" t="s">
        <v>39</v>
      </c>
      <c r="J284" s="39" t="s">
        <v>42</v>
      </c>
      <c r="K284" s="28" t="s">
        <v>523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" customHeight="1">
      <c r="A285" s="3">
        <v>281</v>
      </c>
      <c r="B285" s="3"/>
      <c r="C285" s="3"/>
      <c r="D285" s="3"/>
      <c r="E285" s="3"/>
      <c r="F285" s="3"/>
      <c r="G285" s="30" t="s">
        <v>14</v>
      </c>
      <c r="H285" s="32">
        <v>45743</v>
      </c>
      <c r="I285" s="28" t="s">
        <v>104</v>
      </c>
      <c r="J285" s="39" t="s">
        <v>42</v>
      </c>
      <c r="K285" s="28" t="s">
        <v>525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" customHeight="1">
      <c r="A286" s="3">
        <v>282</v>
      </c>
      <c r="B286" s="3"/>
      <c r="C286" s="3"/>
      <c r="D286" s="3"/>
      <c r="E286" s="3"/>
      <c r="F286" s="3"/>
      <c r="G286" s="30" t="s">
        <v>14</v>
      </c>
      <c r="H286" s="32">
        <v>45520</v>
      </c>
      <c r="I286" s="28" t="s">
        <v>78</v>
      </c>
      <c r="J286" s="39" t="s">
        <v>92</v>
      </c>
      <c r="K286" s="28" t="s">
        <v>526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" customHeight="1">
      <c r="A287" s="3">
        <v>283</v>
      </c>
      <c r="B287" s="3"/>
      <c r="C287" s="3"/>
      <c r="D287" s="3"/>
      <c r="E287" s="3"/>
      <c r="F287" s="3"/>
      <c r="G287" s="30" t="s">
        <v>14</v>
      </c>
      <c r="H287" s="32">
        <v>45492</v>
      </c>
      <c r="I287" s="28" t="s">
        <v>41</v>
      </c>
      <c r="J287" s="39" t="s">
        <v>42</v>
      </c>
      <c r="K287" s="28" t="s">
        <v>527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" customHeight="1">
      <c r="A288" s="3">
        <v>284</v>
      </c>
      <c r="B288" s="3"/>
      <c r="C288" s="3"/>
      <c r="D288" s="3"/>
      <c r="E288" s="3"/>
      <c r="F288" s="3"/>
      <c r="G288" s="30" t="s">
        <v>14</v>
      </c>
      <c r="H288" s="32">
        <v>45714</v>
      </c>
      <c r="I288" s="28" t="s">
        <v>114</v>
      </c>
      <c r="J288" s="39" t="s">
        <v>42</v>
      </c>
      <c r="K288" s="28" t="s">
        <v>529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" customHeight="1">
      <c r="A289" s="3">
        <v>285</v>
      </c>
      <c r="B289" s="3"/>
      <c r="C289" s="3"/>
      <c r="D289" s="3"/>
      <c r="E289" s="3"/>
      <c r="F289" s="3"/>
      <c r="G289" s="30" t="s">
        <v>14</v>
      </c>
      <c r="H289" s="32">
        <v>45257</v>
      </c>
      <c r="I289" s="28" t="s">
        <v>39</v>
      </c>
      <c r="J289" s="39" t="s">
        <v>42</v>
      </c>
      <c r="K289" s="28" t="s">
        <v>530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" customHeight="1">
      <c r="A290" s="3">
        <v>286</v>
      </c>
      <c r="B290" s="3"/>
      <c r="C290" s="3"/>
      <c r="D290" s="3"/>
      <c r="E290" s="3"/>
      <c r="F290" s="3"/>
      <c r="G290" s="30" t="s">
        <v>14</v>
      </c>
      <c r="H290" s="32">
        <v>45882</v>
      </c>
      <c r="I290" s="28" t="s">
        <v>64</v>
      </c>
      <c r="J290" s="39" t="s">
        <v>42</v>
      </c>
      <c r="K290" s="28" t="s">
        <v>531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" customHeight="1">
      <c r="A291" s="3">
        <v>287</v>
      </c>
      <c r="B291" s="3"/>
      <c r="C291" s="3"/>
      <c r="D291" s="3"/>
      <c r="E291" s="3"/>
      <c r="F291" s="3"/>
      <c r="G291" s="30" t="s">
        <v>14</v>
      </c>
      <c r="H291" s="32">
        <v>42306</v>
      </c>
      <c r="I291" s="28" t="s">
        <v>49</v>
      </c>
      <c r="J291" s="39" t="s">
        <v>42</v>
      </c>
      <c r="K291" s="28" t="s">
        <v>532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" customHeight="1">
      <c r="A292" s="3">
        <v>288</v>
      </c>
      <c r="B292" s="3"/>
      <c r="C292" s="3"/>
      <c r="D292" s="3"/>
      <c r="E292" s="3"/>
      <c r="F292" s="3"/>
      <c r="G292" s="30" t="s">
        <v>14</v>
      </c>
      <c r="H292" s="32">
        <v>43585</v>
      </c>
      <c r="I292" s="28" t="s">
        <v>49</v>
      </c>
      <c r="J292" s="39" t="s">
        <v>42</v>
      </c>
      <c r="K292" s="28" t="s">
        <v>533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" customHeight="1">
      <c r="A293" s="3">
        <v>289</v>
      </c>
      <c r="B293" s="3"/>
      <c r="C293" s="3"/>
      <c r="D293" s="3"/>
      <c r="E293" s="3"/>
      <c r="F293" s="3"/>
      <c r="G293" s="30" t="s">
        <v>14</v>
      </c>
      <c r="H293" s="32">
        <v>45198</v>
      </c>
      <c r="I293" s="28" t="s">
        <v>39</v>
      </c>
      <c r="J293" s="39" t="s">
        <v>42</v>
      </c>
      <c r="K293" s="28" t="s">
        <v>536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" customHeight="1">
      <c r="A294" s="3">
        <v>290</v>
      </c>
      <c r="B294" s="3"/>
      <c r="C294" s="3"/>
      <c r="D294" s="3"/>
      <c r="E294" s="3"/>
      <c r="F294" s="3"/>
      <c r="G294" s="30" t="s">
        <v>14</v>
      </c>
      <c r="H294" s="32">
        <v>45941</v>
      </c>
      <c r="I294" s="28" t="s">
        <v>39</v>
      </c>
      <c r="J294" s="39" t="s">
        <v>42</v>
      </c>
      <c r="K294" s="28" t="s">
        <v>537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" customHeight="1">
      <c r="A295" s="3">
        <v>291</v>
      </c>
      <c r="B295" s="3"/>
      <c r="C295" s="3"/>
      <c r="D295" s="3"/>
      <c r="E295" s="3"/>
      <c r="F295" s="3"/>
      <c r="G295" s="30" t="s">
        <v>14</v>
      </c>
      <c r="H295" s="32">
        <v>45944</v>
      </c>
      <c r="I295" s="28" t="s">
        <v>97</v>
      </c>
      <c r="J295" s="39" t="s">
        <v>42</v>
      </c>
      <c r="K295" s="28" t="s">
        <v>538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" customHeight="1">
      <c r="A296" s="3">
        <v>292</v>
      </c>
      <c r="B296" s="3"/>
      <c r="C296" s="3"/>
      <c r="D296" s="3"/>
      <c r="E296" s="3"/>
      <c r="F296" s="3"/>
      <c r="G296" s="30" t="s">
        <v>14</v>
      </c>
      <c r="H296" s="32">
        <v>42604</v>
      </c>
      <c r="I296" s="28" t="s">
        <v>46</v>
      </c>
      <c r="J296" s="39" t="s">
        <v>540</v>
      </c>
      <c r="K296" s="28" t="s">
        <v>541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" customHeight="1">
      <c r="A297" s="3">
        <v>293</v>
      </c>
      <c r="B297" s="3"/>
      <c r="C297" s="3"/>
      <c r="D297" s="3"/>
      <c r="E297" s="3"/>
      <c r="F297" s="3"/>
      <c r="G297" s="30" t="s">
        <v>14</v>
      </c>
      <c r="H297" s="32">
        <v>43469</v>
      </c>
      <c r="I297" s="28" t="s">
        <v>139</v>
      </c>
      <c r="J297" s="39" t="s">
        <v>42</v>
      </c>
      <c r="K297" s="28" t="s">
        <v>542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" customHeight="1">
      <c r="A298" s="3">
        <v>294</v>
      </c>
      <c r="B298" s="3"/>
      <c r="C298" s="3"/>
      <c r="D298" s="3"/>
      <c r="E298" s="3"/>
      <c r="F298" s="3"/>
      <c r="G298" s="30" t="s">
        <v>14</v>
      </c>
      <c r="H298" s="32">
        <v>45427</v>
      </c>
      <c r="I298" s="28" t="s">
        <v>107</v>
      </c>
      <c r="J298" s="39" t="s">
        <v>42</v>
      </c>
      <c r="K298" s="28" t="s">
        <v>543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" customHeight="1">
      <c r="A299" s="3">
        <v>295</v>
      </c>
      <c r="B299" s="3"/>
      <c r="C299" s="3"/>
      <c r="D299" s="3"/>
      <c r="E299" s="3"/>
      <c r="F299" s="3"/>
      <c r="G299" s="30" t="s">
        <v>14</v>
      </c>
      <c r="H299" s="32">
        <v>45940</v>
      </c>
      <c r="I299" s="28" t="s">
        <v>64</v>
      </c>
      <c r="J299" s="39" t="s">
        <v>42</v>
      </c>
      <c r="K299" s="28" t="s">
        <v>545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" customHeight="1">
      <c r="A300" s="3">
        <v>296</v>
      </c>
      <c r="B300" s="3"/>
      <c r="C300" s="3"/>
      <c r="D300" s="3"/>
      <c r="E300" s="3"/>
      <c r="F300" s="3"/>
      <c r="G300" s="30" t="s">
        <v>14</v>
      </c>
      <c r="H300" s="32">
        <v>45656</v>
      </c>
      <c r="I300" s="28" t="s">
        <v>107</v>
      </c>
      <c r="J300" s="39" t="s">
        <v>42</v>
      </c>
      <c r="K300" s="28" t="s">
        <v>546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" customHeight="1">
      <c r="A301" s="3">
        <v>297</v>
      </c>
      <c r="B301" s="3"/>
      <c r="C301" s="3"/>
      <c r="D301" s="3"/>
      <c r="E301" s="3"/>
      <c r="F301" s="3"/>
      <c r="G301" s="30" t="s">
        <v>14</v>
      </c>
      <c r="H301" s="32">
        <v>45695</v>
      </c>
      <c r="I301" s="28" t="s">
        <v>107</v>
      </c>
      <c r="J301" s="39" t="s">
        <v>42</v>
      </c>
      <c r="K301" s="28" t="s">
        <v>548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" customHeight="1">
      <c r="A302" s="3">
        <v>298</v>
      </c>
      <c r="B302" s="3"/>
      <c r="C302" s="3"/>
      <c r="D302" s="3"/>
      <c r="E302" s="3"/>
      <c r="F302" s="3"/>
      <c r="G302" s="30" t="s">
        <v>14</v>
      </c>
      <c r="H302" s="32">
        <v>45894</v>
      </c>
      <c r="I302" s="28" t="s">
        <v>550</v>
      </c>
      <c r="J302" s="39" t="s">
        <v>42</v>
      </c>
      <c r="K302" s="28" t="s">
        <v>551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" customHeight="1">
      <c r="A303" s="3">
        <v>299</v>
      </c>
      <c r="B303" s="3"/>
      <c r="C303" s="3"/>
      <c r="D303" s="3"/>
      <c r="E303" s="3"/>
      <c r="F303" s="3"/>
      <c r="G303" s="30" t="s">
        <v>14</v>
      </c>
      <c r="H303" s="32">
        <v>42036</v>
      </c>
      <c r="I303" s="28" t="s">
        <v>144</v>
      </c>
      <c r="J303" s="39" t="s">
        <v>42</v>
      </c>
      <c r="K303" s="28" t="s">
        <v>553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" customHeight="1">
      <c r="A304" s="3">
        <v>300</v>
      </c>
      <c r="B304" s="3"/>
      <c r="C304" s="3"/>
      <c r="D304" s="3"/>
      <c r="E304" s="3"/>
      <c r="F304" s="3"/>
      <c r="G304" s="30" t="s">
        <v>14</v>
      </c>
      <c r="H304" s="32">
        <v>42005</v>
      </c>
      <c r="I304" s="28" t="s">
        <v>144</v>
      </c>
      <c r="J304" s="39" t="s">
        <v>42</v>
      </c>
      <c r="K304" s="28" t="s">
        <v>554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" customHeight="1">
      <c r="A305" s="3">
        <v>301</v>
      </c>
      <c r="B305" s="3"/>
      <c r="C305" s="3"/>
      <c r="D305" s="3"/>
      <c r="E305" s="3"/>
      <c r="F305" s="3"/>
      <c r="G305" s="30" t="s">
        <v>14</v>
      </c>
      <c r="H305" s="32">
        <v>41791</v>
      </c>
      <c r="I305" s="28" t="s">
        <v>144</v>
      </c>
      <c r="J305" s="39" t="s">
        <v>42</v>
      </c>
      <c r="K305" s="28" t="s">
        <v>556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" customHeight="1">
      <c r="A306" s="3">
        <v>302</v>
      </c>
      <c r="B306" s="3"/>
      <c r="C306" s="3"/>
      <c r="D306" s="3"/>
      <c r="E306" s="3"/>
      <c r="F306" s="3"/>
      <c r="G306" s="30" t="s">
        <v>14</v>
      </c>
      <c r="H306" s="32">
        <v>45979</v>
      </c>
      <c r="I306" s="28" t="s">
        <v>64</v>
      </c>
      <c r="J306" s="39" t="s">
        <v>42</v>
      </c>
      <c r="K306" s="28" t="s">
        <v>557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" customHeight="1">
      <c r="A307" s="3">
        <v>303</v>
      </c>
      <c r="B307" s="3"/>
      <c r="C307" s="3"/>
      <c r="D307" s="3"/>
      <c r="E307" s="3"/>
      <c r="F307" s="3"/>
      <c r="G307" s="30" t="s">
        <v>14</v>
      </c>
      <c r="H307" s="32">
        <v>45931</v>
      </c>
      <c r="I307" s="28" t="s">
        <v>136</v>
      </c>
      <c r="J307" s="39" t="s">
        <v>92</v>
      </c>
      <c r="K307" s="28" t="s">
        <v>559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" customHeight="1">
      <c r="A308" s="3">
        <v>304</v>
      </c>
      <c r="B308" s="3"/>
      <c r="C308" s="3"/>
      <c r="D308" s="3"/>
      <c r="E308" s="3"/>
      <c r="F308" s="3"/>
      <c r="G308" s="30" t="s">
        <v>14</v>
      </c>
      <c r="H308" s="32">
        <v>45974</v>
      </c>
      <c r="I308" s="28" t="s">
        <v>215</v>
      </c>
      <c r="J308" s="39" t="s">
        <v>42</v>
      </c>
      <c r="K308" s="28" t="s">
        <v>561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" customHeight="1">
      <c r="A309" s="3">
        <v>305</v>
      </c>
      <c r="B309" s="3"/>
      <c r="C309" s="3"/>
      <c r="D309" s="3"/>
      <c r="E309" s="3"/>
      <c r="F309" s="3"/>
      <c r="G309" s="30" t="s">
        <v>14</v>
      </c>
      <c r="H309" s="32">
        <v>44665</v>
      </c>
      <c r="I309" s="28" t="s">
        <v>87</v>
      </c>
      <c r="J309" s="39" t="s">
        <v>42</v>
      </c>
      <c r="K309" s="28" t="s">
        <v>562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" customHeight="1">
      <c r="A310" s="3">
        <v>306</v>
      </c>
      <c r="B310" s="3"/>
      <c r="C310" s="3"/>
      <c r="D310" s="3"/>
      <c r="E310" s="3"/>
      <c r="F310" s="3"/>
      <c r="G310" s="30" t="s">
        <v>14</v>
      </c>
      <c r="H310" s="32">
        <v>41699</v>
      </c>
      <c r="I310" s="28" t="s">
        <v>144</v>
      </c>
      <c r="J310" s="39" t="s">
        <v>42</v>
      </c>
      <c r="K310" s="28" t="s">
        <v>564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" customHeight="1">
      <c r="A311" s="3">
        <v>307</v>
      </c>
      <c r="B311" s="3"/>
      <c r="C311" s="3"/>
      <c r="D311" s="3"/>
      <c r="E311" s="3"/>
      <c r="F311" s="3"/>
      <c r="G311" s="30" t="s">
        <v>14</v>
      </c>
      <c r="H311" s="32">
        <v>42348</v>
      </c>
      <c r="I311" s="28" t="s">
        <v>49</v>
      </c>
      <c r="J311" s="39" t="s">
        <v>42</v>
      </c>
      <c r="K311" s="28" t="s">
        <v>565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" customHeight="1">
      <c r="A312" s="3">
        <v>308</v>
      </c>
      <c r="B312" s="3"/>
      <c r="C312" s="3"/>
      <c r="D312" s="3"/>
      <c r="E312" s="3"/>
      <c r="F312" s="3"/>
      <c r="G312" s="30" t="s">
        <v>14</v>
      </c>
      <c r="H312" s="32">
        <v>45981</v>
      </c>
      <c r="I312" s="28" t="s">
        <v>107</v>
      </c>
      <c r="J312" s="39" t="s">
        <v>42</v>
      </c>
      <c r="K312" s="28" t="s">
        <v>566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" customHeight="1">
      <c r="A313" s="3">
        <v>309</v>
      </c>
      <c r="B313" s="3"/>
      <c r="C313" s="3"/>
      <c r="D313" s="3"/>
      <c r="E313" s="3"/>
      <c r="F313" s="3"/>
      <c r="G313" s="30" t="s">
        <v>14</v>
      </c>
      <c r="H313" s="32">
        <v>46000</v>
      </c>
      <c r="I313" s="28" t="s">
        <v>107</v>
      </c>
      <c r="J313" s="39" t="s">
        <v>42</v>
      </c>
      <c r="K313" s="28" t="s">
        <v>569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" customHeight="1">
      <c r="A314" s="3">
        <v>310</v>
      </c>
      <c r="B314" s="3"/>
      <c r="C314" s="3"/>
      <c r="D314" s="3"/>
      <c r="E314" s="3"/>
      <c r="F314" s="3"/>
      <c r="G314" s="30" t="s">
        <v>14</v>
      </c>
      <c r="H314" s="32">
        <v>45455</v>
      </c>
      <c r="I314" s="28" t="s">
        <v>107</v>
      </c>
      <c r="J314" s="39" t="s">
        <v>42</v>
      </c>
      <c r="K314" s="28" t="s">
        <v>570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" customHeight="1">
      <c r="A315" s="3">
        <v>311</v>
      </c>
      <c r="B315" s="3"/>
      <c r="C315" s="3"/>
      <c r="D315" s="3"/>
      <c r="E315" s="3"/>
      <c r="F315" s="3"/>
      <c r="G315" s="30" t="s">
        <v>14</v>
      </c>
      <c r="H315" s="32">
        <v>45828</v>
      </c>
      <c r="I315" s="28" t="s">
        <v>107</v>
      </c>
      <c r="J315" s="39" t="s">
        <v>42</v>
      </c>
      <c r="K315" s="28" t="s">
        <v>571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" customHeight="1">
      <c r="A316" s="3">
        <v>312</v>
      </c>
      <c r="B316" s="3"/>
      <c r="C316" s="3"/>
      <c r="D316" s="3"/>
      <c r="E316" s="3"/>
      <c r="F316" s="3"/>
      <c r="G316" s="30" t="s">
        <v>14</v>
      </c>
      <c r="H316" s="32">
        <v>45897</v>
      </c>
      <c r="I316" s="28" t="s">
        <v>107</v>
      </c>
      <c r="J316" s="39" t="s">
        <v>42</v>
      </c>
      <c r="K316" s="28" t="s">
        <v>572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" customHeight="1">
      <c r="A317" s="3">
        <v>313</v>
      </c>
      <c r="B317" s="3"/>
      <c r="C317" s="3"/>
      <c r="D317" s="3"/>
      <c r="E317" s="3"/>
      <c r="F317" s="3"/>
      <c r="G317" s="30" t="s">
        <v>14</v>
      </c>
      <c r="H317" s="32">
        <v>45775</v>
      </c>
      <c r="I317" s="28" t="s">
        <v>107</v>
      </c>
      <c r="J317" s="39" t="s">
        <v>42</v>
      </c>
      <c r="K317" s="28" t="s">
        <v>574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" customHeight="1">
      <c r="A318" s="3">
        <v>314</v>
      </c>
      <c r="B318" s="3"/>
      <c r="C318" s="3"/>
      <c r="D318" s="3"/>
      <c r="E318" s="3"/>
      <c r="F318" s="3"/>
      <c r="G318" s="30" t="s">
        <v>14</v>
      </c>
      <c r="H318" s="32">
        <v>45246</v>
      </c>
      <c r="I318" s="28" t="s">
        <v>107</v>
      </c>
      <c r="J318" s="39" t="s">
        <v>42</v>
      </c>
      <c r="K318" s="28" t="s">
        <v>576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" customHeight="1">
      <c r="A319" s="3">
        <v>315</v>
      </c>
      <c r="B319" s="3"/>
      <c r="C319" s="3"/>
      <c r="D319" s="3"/>
      <c r="E319" s="3"/>
      <c r="F319" s="3"/>
      <c r="G319" s="30" t="s">
        <v>14</v>
      </c>
      <c r="H319" s="32">
        <v>45926</v>
      </c>
      <c r="I319" s="28" t="s">
        <v>107</v>
      </c>
      <c r="J319" s="39" t="s">
        <v>42</v>
      </c>
      <c r="K319" s="28" t="s">
        <v>577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" customHeight="1">
      <c r="A320" s="3">
        <v>316</v>
      </c>
      <c r="B320" s="3"/>
      <c r="C320" s="3"/>
      <c r="D320" s="3"/>
      <c r="E320" s="3"/>
      <c r="F320" s="3"/>
      <c r="G320" s="30" t="s">
        <v>14</v>
      </c>
      <c r="H320" s="32">
        <v>45672</v>
      </c>
      <c r="I320" s="28" t="s">
        <v>107</v>
      </c>
      <c r="J320" s="39" t="s">
        <v>42</v>
      </c>
      <c r="K320" s="28" t="s">
        <v>578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" customHeight="1">
      <c r="A321" s="3">
        <v>317</v>
      </c>
      <c r="B321" s="3"/>
      <c r="C321" s="3"/>
      <c r="D321" s="3"/>
      <c r="E321" s="3"/>
      <c r="F321" s="3"/>
      <c r="G321" s="30" t="s">
        <v>14</v>
      </c>
      <c r="H321" s="32">
        <v>42377</v>
      </c>
      <c r="I321" s="28" t="s">
        <v>49</v>
      </c>
      <c r="J321" s="39" t="s">
        <v>42</v>
      </c>
      <c r="K321" s="28" t="s">
        <v>580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" customHeight="1">
      <c r="A322" s="3">
        <v>318</v>
      </c>
      <c r="B322" s="3"/>
      <c r="C322" s="3"/>
      <c r="D322" s="3"/>
      <c r="E322" s="3"/>
      <c r="F322" s="3"/>
      <c r="G322" s="30" t="s">
        <v>14</v>
      </c>
      <c r="H322" s="32">
        <v>45440</v>
      </c>
      <c r="I322" s="28" t="s">
        <v>39</v>
      </c>
      <c r="J322" s="39" t="s">
        <v>42</v>
      </c>
      <c r="K322" s="28" t="s">
        <v>581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" customHeight="1">
      <c r="A323" s="3">
        <v>319</v>
      </c>
      <c r="B323" s="3"/>
      <c r="C323" s="3"/>
      <c r="D323" s="3"/>
      <c r="E323" s="3"/>
      <c r="F323" s="3"/>
      <c r="G323" s="30" t="s">
        <v>14</v>
      </c>
      <c r="H323" s="32">
        <v>44018</v>
      </c>
      <c r="I323" s="28" t="s">
        <v>213</v>
      </c>
      <c r="J323" s="39" t="s">
        <v>92</v>
      </c>
      <c r="K323" s="28" t="s">
        <v>582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" customHeight="1">
      <c r="A324" s="3">
        <v>320</v>
      </c>
      <c r="B324" s="3"/>
      <c r="C324" s="3"/>
      <c r="D324" s="3"/>
      <c r="E324" s="3"/>
      <c r="F324" s="3"/>
      <c r="G324" s="30" t="s">
        <v>14</v>
      </c>
      <c r="H324" s="32">
        <v>44952</v>
      </c>
      <c r="I324" s="28" t="s">
        <v>583</v>
      </c>
      <c r="J324" s="39" t="s">
        <v>584</v>
      </c>
      <c r="K324" s="28" t="s">
        <v>585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" customHeight="1">
      <c r="A325" s="3">
        <v>321</v>
      </c>
      <c r="B325" s="3"/>
      <c r="C325" s="3"/>
      <c r="D325" s="3"/>
      <c r="E325" s="3"/>
      <c r="F325" s="3"/>
      <c r="G325" s="28" t="s">
        <v>14</v>
      </c>
      <c r="H325" s="32">
        <v>43371</v>
      </c>
      <c r="I325" s="28" t="s">
        <v>213</v>
      </c>
      <c r="J325" s="39" t="s">
        <v>587</v>
      </c>
      <c r="K325" s="28" t="s">
        <v>588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" customHeight="1">
      <c r="A326" s="3">
        <v>322</v>
      </c>
      <c r="B326" s="3"/>
      <c r="C326" s="3"/>
      <c r="D326" s="3"/>
      <c r="E326" s="3"/>
      <c r="F326" s="3"/>
      <c r="G326" s="28" t="s">
        <v>14</v>
      </c>
      <c r="H326" s="32">
        <v>42727</v>
      </c>
      <c r="I326" s="28" t="s">
        <v>52</v>
      </c>
      <c r="J326" s="39" t="s">
        <v>587</v>
      </c>
      <c r="K326" s="28" t="s">
        <v>589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" customHeight="1">
      <c r="A327" s="3">
        <v>323</v>
      </c>
      <c r="B327" s="3"/>
      <c r="C327" s="3"/>
      <c r="D327" s="3"/>
      <c r="E327" s="3"/>
      <c r="F327" s="3"/>
      <c r="G327" s="28" t="s">
        <v>14</v>
      </c>
      <c r="H327" s="32">
        <v>43761</v>
      </c>
      <c r="I327" s="28" t="s">
        <v>213</v>
      </c>
      <c r="J327" s="39" t="s">
        <v>587</v>
      </c>
      <c r="K327" s="28" t="s">
        <v>590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" customHeight="1">
      <c r="A328" s="3">
        <v>324</v>
      </c>
      <c r="B328" s="3"/>
      <c r="C328" s="3"/>
      <c r="D328" s="3"/>
      <c r="E328" s="3"/>
      <c r="F328" s="3"/>
      <c r="G328" s="28" t="s">
        <v>14</v>
      </c>
      <c r="H328" s="32">
        <v>44978</v>
      </c>
      <c r="I328" s="28" t="s">
        <v>591</v>
      </c>
      <c r="J328" s="39" t="s">
        <v>587</v>
      </c>
      <c r="K328" s="28" t="s">
        <v>592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" customHeight="1">
      <c r="A329" s="3">
        <v>325</v>
      </c>
      <c r="B329" s="3"/>
      <c r="C329" s="3"/>
      <c r="D329" s="3"/>
      <c r="E329" s="3"/>
      <c r="F329" s="3"/>
      <c r="G329" s="28" t="s">
        <v>14</v>
      </c>
      <c r="H329" s="32">
        <v>44732</v>
      </c>
      <c r="I329" s="28" t="s">
        <v>591</v>
      </c>
      <c r="J329" s="39" t="s">
        <v>587</v>
      </c>
      <c r="K329" s="28" t="s">
        <v>593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" customHeight="1">
      <c r="A330" s="3">
        <v>326</v>
      </c>
      <c r="B330" s="3"/>
      <c r="C330" s="3"/>
      <c r="D330" s="3"/>
      <c r="E330" s="3"/>
      <c r="F330" s="3"/>
      <c r="G330" s="28" t="s">
        <v>14</v>
      </c>
      <c r="H330" s="32">
        <v>43490</v>
      </c>
      <c r="I330" s="28" t="s">
        <v>213</v>
      </c>
      <c r="J330" s="39" t="s">
        <v>587</v>
      </c>
      <c r="K330" s="28" t="s">
        <v>595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" customHeight="1">
      <c r="A331" s="3">
        <v>327</v>
      </c>
      <c r="B331" s="3"/>
      <c r="C331" s="3"/>
      <c r="D331" s="3"/>
      <c r="E331" s="3"/>
      <c r="F331" s="3"/>
      <c r="G331" s="28" t="s">
        <v>14</v>
      </c>
      <c r="H331" s="32">
        <v>44904</v>
      </c>
      <c r="I331" s="28" t="s">
        <v>591</v>
      </c>
      <c r="J331" s="39" t="s">
        <v>587</v>
      </c>
      <c r="K331" s="28" t="s">
        <v>596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" customHeight="1">
      <c r="A332" s="3">
        <v>328</v>
      </c>
      <c r="B332" s="3"/>
      <c r="C332" s="3"/>
      <c r="D332" s="3"/>
      <c r="E332" s="3"/>
      <c r="F332" s="3"/>
      <c r="G332" s="28" t="s">
        <v>14</v>
      </c>
      <c r="H332" s="32">
        <v>44770</v>
      </c>
      <c r="I332" s="28" t="s">
        <v>597</v>
      </c>
      <c r="J332" s="39" t="s">
        <v>587</v>
      </c>
      <c r="K332" s="28" t="s">
        <v>598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" customHeight="1">
      <c r="A333" s="3">
        <v>329</v>
      </c>
      <c r="B333" s="3"/>
      <c r="C333" s="3"/>
      <c r="D333" s="3"/>
      <c r="E333" s="3"/>
      <c r="F333" s="3"/>
      <c r="G333" s="28" t="s">
        <v>14</v>
      </c>
      <c r="H333" s="32">
        <v>44706</v>
      </c>
      <c r="I333" s="28" t="s">
        <v>597</v>
      </c>
      <c r="J333" s="39" t="s">
        <v>587</v>
      </c>
      <c r="K333" s="28" t="s">
        <v>599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" customHeight="1">
      <c r="A334" s="3">
        <v>330</v>
      </c>
      <c r="B334" s="66"/>
      <c r="C334" s="67"/>
      <c r="D334" s="67"/>
      <c r="E334" s="67"/>
      <c r="F334" s="67"/>
      <c r="G334" s="28" t="s">
        <v>14</v>
      </c>
      <c r="H334" s="67">
        <v>45124</v>
      </c>
      <c r="I334" s="11" t="s">
        <v>601</v>
      </c>
      <c r="J334" s="9" t="s">
        <v>602</v>
      </c>
      <c r="K334" s="6" t="s">
        <v>603</v>
      </c>
      <c r="L334" s="68"/>
      <c r="M334" s="68"/>
      <c r="N334" s="38"/>
      <c r="O334" s="38"/>
      <c r="P334" s="38"/>
      <c r="Q334" s="38"/>
      <c r="R334" s="68"/>
      <c r="S334" s="68"/>
      <c r="T334" s="68"/>
      <c r="U334" s="9"/>
      <c r="V334" s="9"/>
      <c r="W334" s="10"/>
      <c r="X334" s="10"/>
      <c r="Y334" s="11"/>
      <c r="Z334" s="11"/>
    </row>
    <row r="335" spans="1:26" ht="12" customHeight="1">
      <c r="A335" s="3">
        <v>331</v>
      </c>
      <c r="B335" s="66"/>
      <c r="C335" s="67"/>
      <c r="D335" s="67"/>
      <c r="E335" s="67"/>
      <c r="F335" s="67"/>
      <c r="G335" s="28" t="s">
        <v>14</v>
      </c>
      <c r="H335" s="67">
        <v>44650</v>
      </c>
      <c r="I335" s="11" t="s">
        <v>604</v>
      </c>
      <c r="J335" s="9" t="s">
        <v>605</v>
      </c>
      <c r="K335" s="6" t="s">
        <v>606</v>
      </c>
      <c r="L335" s="68"/>
      <c r="M335" s="68"/>
      <c r="N335" s="38"/>
      <c r="O335" s="38"/>
      <c r="P335" s="38"/>
      <c r="Q335" s="38"/>
      <c r="R335" s="68"/>
      <c r="S335" s="95"/>
      <c r="T335" s="68"/>
      <c r="U335" s="9"/>
      <c r="V335" s="9"/>
      <c r="W335" s="10"/>
      <c r="X335" s="10"/>
      <c r="Y335" s="11"/>
      <c r="Z335" s="11"/>
    </row>
    <row r="336" spans="1:26" ht="12" customHeight="1">
      <c r="A336" s="3">
        <v>332</v>
      </c>
      <c r="B336" s="66"/>
      <c r="C336" s="67"/>
      <c r="D336" s="67"/>
      <c r="E336" s="67"/>
      <c r="F336" s="67"/>
      <c r="G336" s="28" t="s">
        <v>14</v>
      </c>
      <c r="H336" s="67">
        <v>45981</v>
      </c>
      <c r="I336" s="115" t="s">
        <v>136</v>
      </c>
      <c r="J336" s="94">
        <v>3128059968</v>
      </c>
      <c r="K336" s="116" t="s">
        <v>608</v>
      </c>
      <c r="L336" s="68"/>
      <c r="M336" s="68"/>
      <c r="N336" s="38"/>
      <c r="O336" s="38"/>
      <c r="P336" s="38"/>
      <c r="Q336" s="38"/>
      <c r="R336" s="68"/>
      <c r="S336" s="95"/>
      <c r="T336" s="68"/>
      <c r="U336" s="6"/>
      <c r="V336" s="9"/>
      <c r="W336" s="10"/>
      <c r="X336" s="10"/>
      <c r="Y336" s="11"/>
      <c r="Z336" s="11"/>
    </row>
    <row r="337" spans="1:26" ht="12" customHeight="1">
      <c r="A337" s="3">
        <v>333</v>
      </c>
      <c r="B337" s="66"/>
      <c r="C337" s="67"/>
      <c r="D337" s="67"/>
      <c r="E337" s="67"/>
      <c r="F337" s="67"/>
      <c r="G337" s="28" t="s">
        <v>14</v>
      </c>
      <c r="H337" s="67">
        <v>45482</v>
      </c>
      <c r="I337" s="3" t="s">
        <v>100</v>
      </c>
      <c r="J337" s="9">
        <v>5568602227</v>
      </c>
      <c r="K337" s="6" t="s">
        <v>609</v>
      </c>
      <c r="L337" s="68"/>
      <c r="M337" s="68"/>
      <c r="N337" s="38"/>
      <c r="O337" s="38"/>
      <c r="P337" s="38"/>
      <c r="Q337" s="38"/>
      <c r="R337" s="68"/>
      <c r="S337" s="68"/>
      <c r="T337" s="68"/>
      <c r="U337" s="9"/>
      <c r="V337" s="9"/>
      <c r="W337" s="26" t="s">
        <v>611</v>
      </c>
      <c r="X337" s="10"/>
      <c r="Y337" s="11"/>
      <c r="Z337" s="11"/>
    </row>
    <row r="338" spans="1:26" ht="12" customHeight="1">
      <c r="A338" s="3">
        <v>334</v>
      </c>
      <c r="B338" s="3"/>
      <c r="C338" s="5"/>
      <c r="D338" s="3"/>
      <c r="E338" s="3"/>
      <c r="F338" s="3"/>
      <c r="G338" s="28" t="s">
        <v>14</v>
      </c>
      <c r="H338" s="67">
        <v>43220</v>
      </c>
      <c r="I338" s="3" t="s">
        <v>49</v>
      </c>
      <c r="J338" s="9">
        <v>3748000937</v>
      </c>
      <c r="K338" s="6" t="s">
        <v>612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" customHeight="1">
      <c r="A339" s="3">
        <v>335</v>
      </c>
      <c r="B339" s="3"/>
      <c r="C339" s="5"/>
      <c r="D339" s="3"/>
      <c r="E339" s="3"/>
      <c r="F339" s="3"/>
      <c r="G339" s="28" t="s">
        <v>14</v>
      </c>
      <c r="H339" s="67">
        <v>42248</v>
      </c>
      <c r="I339" s="3" t="s">
        <v>49</v>
      </c>
      <c r="J339" s="9">
        <v>5058700184</v>
      </c>
      <c r="K339" s="6" t="s">
        <v>613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" customHeight="1">
      <c r="A340" s="3">
        <v>336</v>
      </c>
      <c r="B340" s="3"/>
      <c r="C340" s="5"/>
      <c r="D340" s="3"/>
      <c r="E340" s="3"/>
      <c r="F340" s="3"/>
      <c r="G340" s="28" t="s">
        <v>14</v>
      </c>
      <c r="H340" s="67">
        <v>43277</v>
      </c>
      <c r="I340" s="3" t="s">
        <v>49</v>
      </c>
      <c r="J340" s="9">
        <v>7718000953</v>
      </c>
      <c r="K340" s="6" t="s">
        <v>615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" customHeight="1">
      <c r="A341" s="3"/>
      <c r="B341" s="3"/>
      <c r="C341" s="5"/>
      <c r="D341" s="3"/>
      <c r="E341" s="3"/>
      <c r="F341" s="3"/>
      <c r="G341" s="2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" customHeight="1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" customHeight="1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" customHeight="1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" customHeight="1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" customHeight="1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" customHeight="1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" customHeight="1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" customHeight="1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" customHeight="1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" customHeight="1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" customHeight="1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" customHeight="1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" customHeight="1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" customHeight="1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" customHeight="1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" customHeight="1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" customHeight="1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" customHeight="1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" customHeight="1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" customHeight="1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" customHeight="1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" customHeight="1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" customHeight="1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" customHeight="1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" customHeight="1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" customHeight="1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" customHeight="1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" customHeight="1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" customHeight="1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" customHeight="1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" customHeight="1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" customHeight="1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" customHeight="1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" customHeight="1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" customHeight="1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" customHeight="1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" customHeight="1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" customHeight="1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" customHeight="1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" customHeight="1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" customHeight="1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" customHeight="1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" customHeight="1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" customHeight="1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" customHeight="1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" customHeight="1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" customHeight="1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" customHeight="1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" customHeight="1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" customHeight="1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" customHeight="1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" customHeight="1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" customHeight="1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" customHeight="1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" customHeight="1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" customHeight="1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" customHeight="1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" customHeight="1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" customHeight="1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" customHeight="1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" customHeight="1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" customHeight="1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" customHeight="1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" customHeight="1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" customHeight="1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" customHeight="1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" customHeight="1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" customHeight="1">
      <c r="A409" s="3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" customHeight="1">
      <c r="A410" s="3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" customHeight="1">
      <c r="A411" s="3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" customHeight="1">
      <c r="A412" s="3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" customHeight="1">
      <c r="A413" s="3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" customHeight="1">
      <c r="A414" s="3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" customHeight="1">
      <c r="A415" s="3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" customHeight="1">
      <c r="A416" s="3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" customHeight="1">
      <c r="A417" s="3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" customHeight="1">
      <c r="A418" s="3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" customHeight="1">
      <c r="A419" s="3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" customHeight="1">
      <c r="A420" s="3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" customHeight="1">
      <c r="A421" s="3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" customHeight="1">
      <c r="A422" s="3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" customHeight="1">
      <c r="A423" s="3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" customHeight="1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" customHeight="1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" customHeight="1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" customHeight="1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" customHeight="1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" customHeight="1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" customHeight="1">
      <c r="A430" s="3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" customHeight="1">
      <c r="A431" s="3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" customHeight="1">
      <c r="A432" s="3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" customHeight="1">
      <c r="A433" s="3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" customHeight="1">
      <c r="A434" s="3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" customHeight="1">
      <c r="A435" s="3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" customHeight="1">
      <c r="A436" s="3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" customHeight="1">
      <c r="A437" s="3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" customHeight="1">
      <c r="A438" s="3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" customHeight="1">
      <c r="A439" s="3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" customHeight="1">
      <c r="A440" s="3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" customHeight="1">
      <c r="A441" s="3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" customHeight="1">
      <c r="A442" s="3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" customHeight="1">
      <c r="A443" s="3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" customHeight="1">
      <c r="A444" s="3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" customHeight="1">
      <c r="A445" s="3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" customHeight="1">
      <c r="A446" s="3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" customHeight="1">
      <c r="A447" s="3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" customHeight="1">
      <c r="A448" s="3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" customHeight="1">
      <c r="A449" s="3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" customHeight="1">
      <c r="A450" s="3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" customHeight="1">
      <c r="A451" s="3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" customHeight="1">
      <c r="A452" s="3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" customHeight="1">
      <c r="A453" s="3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" customHeight="1">
      <c r="A454" s="3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" customHeight="1">
      <c r="A455" s="3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" customHeight="1">
      <c r="A456" s="3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" customHeight="1">
      <c r="A457" s="3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" customHeight="1">
      <c r="A458" s="3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" customHeight="1">
      <c r="A459" s="3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" customHeight="1">
      <c r="A460" s="3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" customHeight="1">
      <c r="A461" s="3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" customHeight="1">
      <c r="A462" s="3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" customHeight="1">
      <c r="A463" s="3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" customHeight="1">
      <c r="A464" s="3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" customHeight="1">
      <c r="A465" s="3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" customHeight="1">
      <c r="A466" s="3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" customHeight="1">
      <c r="A467" s="3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" customHeight="1">
      <c r="A468" s="3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" customHeight="1">
      <c r="A469" s="3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" customHeight="1">
      <c r="A470" s="3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" customHeight="1">
      <c r="A471" s="3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" customHeight="1">
      <c r="A472" s="3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" customHeight="1">
      <c r="A473" s="3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" customHeight="1">
      <c r="A474" s="3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" customHeight="1">
      <c r="A475" s="3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" customHeight="1">
      <c r="A476" s="3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" customHeight="1">
      <c r="A477" s="3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" customHeight="1">
      <c r="A478" s="3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" customHeight="1">
      <c r="A479" s="3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" customHeight="1">
      <c r="A480" s="3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" customHeight="1">
      <c r="A481" s="3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" customHeight="1">
      <c r="A482" s="3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" customHeight="1">
      <c r="A483" s="3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" customHeight="1">
      <c r="A484" s="3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" customHeight="1">
      <c r="A485" s="3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" customHeight="1">
      <c r="A486" s="3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" customHeight="1">
      <c r="A487" s="3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" customHeight="1">
      <c r="A488" s="3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" customHeight="1">
      <c r="A489" s="3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" customHeight="1">
      <c r="A490" s="3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" customHeight="1">
      <c r="A491" s="3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" customHeight="1">
      <c r="A492" s="3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" customHeight="1">
      <c r="A493" s="3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" customHeight="1">
      <c r="A494" s="3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" customHeight="1">
      <c r="A495" s="3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" customHeight="1">
      <c r="A496" s="3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" customHeight="1">
      <c r="A497" s="3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" customHeight="1">
      <c r="A498" s="3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" customHeight="1">
      <c r="A499" s="3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" customHeight="1">
      <c r="A500" s="3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" customHeight="1">
      <c r="A501" s="3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" customHeight="1">
      <c r="A502" s="3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" customHeight="1">
      <c r="A503" s="3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" customHeight="1">
      <c r="A504" s="3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" customHeight="1">
      <c r="A505" s="3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" customHeight="1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" customHeight="1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" customHeight="1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" customHeight="1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" customHeight="1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" customHeight="1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" customHeight="1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" customHeight="1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" customHeight="1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" customHeight="1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" customHeight="1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" customHeight="1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" customHeight="1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" customHeight="1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" customHeight="1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" customHeight="1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" customHeight="1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" customHeight="1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" customHeight="1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" customHeight="1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" customHeight="1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" customHeight="1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" customHeight="1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" customHeight="1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" customHeight="1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" customHeight="1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" customHeight="1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" customHeight="1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" customHeight="1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" customHeight="1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" customHeight="1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" customHeight="1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" customHeight="1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" customHeight="1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" customHeight="1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" customHeight="1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" customHeight="1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" customHeight="1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" customHeight="1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" customHeight="1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" customHeight="1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" customHeight="1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" customHeight="1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" customHeight="1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" customHeight="1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" customHeight="1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" customHeight="1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" customHeight="1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" customHeight="1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" customHeight="1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" customHeight="1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" customHeight="1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" customHeight="1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" customHeight="1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" customHeight="1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" customHeight="1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" customHeight="1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" customHeight="1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" customHeight="1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" customHeight="1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" customHeight="1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" customHeight="1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" customHeight="1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" customHeight="1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" customHeight="1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" customHeight="1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" customHeight="1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" customHeight="1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" customHeight="1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" customHeight="1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" customHeight="1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" customHeight="1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" customHeight="1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" customHeight="1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" customHeight="1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" customHeight="1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" customHeight="1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" customHeight="1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" customHeight="1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" customHeight="1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" customHeight="1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" customHeight="1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" customHeight="1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" customHeight="1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" customHeight="1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" customHeight="1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" customHeight="1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" customHeight="1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" customHeight="1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" customHeight="1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" customHeight="1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" customHeight="1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" customHeight="1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" customHeight="1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" customHeight="1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" customHeight="1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" customHeight="1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" customHeight="1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" customHeight="1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" customHeight="1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" customHeight="1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" customHeight="1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" customHeight="1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" customHeight="1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" customHeight="1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" customHeight="1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" customHeight="1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" customHeight="1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" customHeight="1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" customHeight="1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" customHeight="1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" customHeight="1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" customHeight="1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" customHeight="1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" customHeight="1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" customHeight="1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" customHeight="1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" customHeight="1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" customHeight="1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" customHeight="1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" customHeight="1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" customHeight="1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" customHeight="1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" customHeight="1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" customHeight="1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" customHeight="1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" customHeight="1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" customHeight="1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" customHeight="1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" customHeight="1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" customHeight="1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" customHeight="1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" customHeight="1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" customHeight="1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" customHeight="1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" customHeight="1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" customHeight="1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" customHeight="1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" customHeight="1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" customHeight="1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" customHeight="1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" customHeight="1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" customHeight="1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" customHeight="1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" customHeight="1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" customHeight="1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" customHeight="1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" customHeight="1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" customHeight="1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" customHeight="1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" customHeight="1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" customHeight="1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" customHeight="1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" customHeight="1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" customHeight="1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" customHeight="1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" customHeight="1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" customHeight="1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" customHeight="1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" customHeight="1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" customHeight="1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" customHeight="1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" customHeight="1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" customHeight="1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" customHeight="1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" customHeight="1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" customHeight="1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" customHeight="1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" customHeight="1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" customHeight="1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" customHeight="1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" customHeight="1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" customHeight="1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" customHeight="1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" customHeight="1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" customHeight="1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" customHeight="1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" customHeight="1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" customHeight="1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" customHeight="1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" customHeight="1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" customHeight="1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" customHeight="1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" customHeight="1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" customHeight="1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" customHeight="1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" customHeight="1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" customHeight="1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" customHeight="1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" customHeight="1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" customHeight="1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" customHeight="1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" customHeight="1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" customHeight="1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" customHeight="1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" customHeight="1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" customHeight="1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" customHeight="1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" customHeight="1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" customHeight="1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" customHeight="1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" customHeight="1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" customHeight="1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" customHeight="1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" customHeight="1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" customHeight="1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" customHeight="1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" customHeight="1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" customHeight="1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" customHeight="1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" customHeight="1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" customHeight="1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" customHeight="1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" customHeight="1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" customHeight="1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" customHeight="1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" customHeight="1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" customHeight="1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" customHeight="1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" customHeight="1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" customHeight="1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" customHeight="1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" customHeight="1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" customHeight="1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" customHeight="1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" customHeight="1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" customHeight="1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" customHeight="1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" customHeight="1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" customHeight="1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" customHeight="1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" customHeight="1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" customHeight="1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" customHeight="1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" customHeight="1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" customHeight="1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" customHeight="1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" customHeight="1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" customHeight="1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" customHeight="1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" customHeight="1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" customHeight="1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" customHeight="1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" customHeight="1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" customHeight="1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" customHeight="1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" customHeight="1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" customHeight="1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" customHeight="1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" customHeight="1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" customHeight="1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" customHeight="1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" customHeight="1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" customHeight="1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" customHeight="1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" customHeight="1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" customHeight="1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" customHeight="1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" customHeight="1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" customHeight="1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" customHeight="1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" customHeight="1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" customHeight="1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" customHeight="1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" customHeight="1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" customHeight="1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" customHeight="1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" customHeight="1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" customHeight="1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" customHeight="1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" customHeight="1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" customHeight="1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" customHeight="1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" customHeight="1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" customHeight="1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" customHeight="1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" customHeight="1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" customHeight="1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" customHeight="1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" customHeight="1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" customHeight="1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" customHeight="1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" customHeight="1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" customHeight="1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" customHeight="1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" customHeight="1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" customHeight="1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" customHeight="1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" customHeight="1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" customHeight="1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" customHeight="1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" customHeight="1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" customHeight="1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" customHeight="1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" customHeight="1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" customHeight="1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" customHeight="1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" customHeight="1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" customHeight="1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" customHeight="1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" customHeight="1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" customHeight="1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" customHeight="1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" customHeight="1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" customHeight="1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" customHeight="1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" customHeight="1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" customHeight="1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" customHeight="1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" customHeight="1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" customHeight="1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" customHeight="1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" customHeight="1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" customHeight="1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" customHeight="1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" customHeight="1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" customHeight="1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" customHeight="1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" customHeight="1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" customHeight="1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" customHeight="1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" customHeight="1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" customHeight="1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" customHeight="1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" customHeight="1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" customHeight="1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" customHeight="1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" customHeight="1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" customHeight="1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" customHeight="1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" customHeight="1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" customHeight="1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" customHeight="1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" customHeight="1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" customHeight="1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" customHeight="1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" customHeight="1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" customHeight="1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" customHeight="1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" customHeight="1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" customHeight="1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" customHeight="1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" customHeight="1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" customHeight="1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" customHeight="1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" customHeight="1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" customHeight="1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" customHeight="1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" customHeight="1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" customHeight="1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" customHeight="1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" customHeight="1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" customHeight="1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" customHeight="1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" customHeight="1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" customHeight="1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" customHeight="1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" customHeight="1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" customHeight="1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" customHeight="1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" customHeight="1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" customHeight="1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" customHeight="1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" customHeight="1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" customHeight="1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" customHeight="1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" customHeight="1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" customHeight="1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" customHeight="1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" customHeight="1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" customHeight="1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" customHeight="1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" customHeight="1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" customHeight="1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" customHeight="1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" customHeight="1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" customHeight="1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" customHeight="1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" customHeight="1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" customHeight="1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" customHeight="1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" customHeight="1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" customHeight="1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" customHeight="1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" customHeight="1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" customHeight="1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" customHeight="1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" customHeight="1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" customHeight="1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" customHeight="1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" customHeight="1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" customHeight="1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" customHeight="1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" customHeight="1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" customHeight="1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" customHeight="1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" customHeight="1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" customHeight="1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" customHeight="1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" customHeight="1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" customHeight="1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" customHeight="1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" customHeight="1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" customHeight="1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" customHeight="1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" customHeight="1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" customHeight="1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" customHeight="1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" customHeight="1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" customHeight="1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" customHeight="1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" customHeight="1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" customHeight="1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" customHeight="1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" customHeight="1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" customHeight="1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" customHeight="1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" customHeight="1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" customHeight="1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" customHeight="1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" customHeight="1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" customHeight="1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" customHeight="1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" customHeight="1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" customHeight="1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" customHeight="1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" customHeight="1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" customHeight="1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" customHeight="1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" customHeight="1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" customHeight="1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" customHeight="1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" customHeight="1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" customHeight="1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" customHeight="1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" customHeight="1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" customHeight="1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" customHeight="1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" customHeight="1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" customHeight="1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" customHeight="1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" customHeight="1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" customHeight="1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" customHeight="1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" customHeight="1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" customHeight="1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" customHeight="1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" customHeight="1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" customHeight="1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" customHeight="1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" customHeight="1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" customHeight="1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" customHeight="1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" customHeight="1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" customHeight="1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" customHeight="1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" customHeight="1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" customHeight="1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" customHeight="1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" customHeight="1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" customHeight="1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" customHeight="1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" customHeight="1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" customHeight="1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" customHeight="1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" customHeight="1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" customHeight="1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" customHeight="1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" customHeight="1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" customHeight="1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" customHeight="1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" customHeight="1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" customHeight="1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" customHeight="1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" customHeight="1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" customHeight="1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" customHeight="1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" customHeight="1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" customHeight="1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" customHeight="1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" customHeight="1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" customHeight="1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" customHeight="1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" customHeight="1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" customHeight="1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" customHeight="1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" customHeight="1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" customHeight="1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" customHeight="1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" customHeight="1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" customHeight="1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" customHeight="1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" customHeight="1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" customHeight="1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" customHeight="1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3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메인</vt:lpstr>
      <vt:lpstr>데이터시트</vt:lpstr>
      <vt:lpstr>검색불가(336개사_26년 6월)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dcamp</dc:creator>
  <cp:lastModifiedBy>MINCHUL KIM</cp:lastModifiedBy>
  <dcterms:created xsi:type="dcterms:W3CDTF">2026-06-08T00:41:57Z</dcterms:created>
  <dcterms:modified xsi:type="dcterms:W3CDTF">2026-09-15T09:36:33Z</dcterms:modified>
</cp:coreProperties>
</file>